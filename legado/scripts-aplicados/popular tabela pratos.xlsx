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cardapio_hospitalar2026\scripts a aplicar\"/>
    </mc:Choice>
  </mc:AlternateContent>
  <xr:revisionPtr revIDLastSave="0" documentId="13_ncr:1_{1DB5C0D8-1F45-4162-9B5E-200672ADB01D}" xr6:coauthVersionLast="47" xr6:coauthVersionMax="47" xr10:uidLastSave="{00000000-0000-0000-0000-000000000000}"/>
  <bookViews>
    <workbookView xWindow="1350" yWindow="-120" windowWidth="27570" windowHeight="16440" tabRatio="784" activeTab="1" xr2:uid="{50DF5994-DD06-465B-B665-95F5AB3CDD21}"/>
  </bookViews>
  <sheets>
    <sheet name="plan1" sheetId="1" r:id="rId1"/>
    <sheet name="plan1 (2)" sheetId="8" r:id="rId2"/>
    <sheet name="check_pratos" sheetId="11" r:id="rId3"/>
    <sheet name="composicao_pratos" sheetId="5" r:id="rId4"/>
    <sheet name="Planilha5" sheetId="9" r:id="rId5"/>
    <sheet name="pratos" sheetId="3" r:id="rId6"/>
    <sheet name="ingredientes" sheetId="2" r:id="rId7"/>
    <sheet name="pratos_hospital" sheetId="4" r:id="rId8"/>
    <sheet name="tamanho_porcoes" sheetId="6" r:id="rId9"/>
    <sheet name="tipo_preparacoes" sheetId="7" r:id="rId10"/>
  </sheets>
  <definedNames>
    <definedName name="_xlnm._FilterDatabase" localSheetId="0" hidden="1">plan1!$A$1:$E$1024</definedName>
    <definedName name="_xlnm._FilterDatabase" localSheetId="1" hidden="1">'plan1 (2)'!$A$1:$E$675</definedName>
    <definedName name="_xlnm._FilterDatabase" localSheetId="8" hidden="1">tamanho_porcoes!$A$1:$C$410</definedName>
    <definedName name="ASH">#N/A</definedName>
    <definedName name="_xlnm.Database">#REF!</definedName>
    <definedName name="CALCIUM">#N/A</definedName>
    <definedName name="CARBOHYDRT">#N/A</definedName>
    <definedName name="CHOLESTRL">#N/A</definedName>
    <definedName name="Conferencia">#REF!</definedName>
    <definedName name="Consulta">#REF!</definedName>
    <definedName name="Consulta1">#REF!</definedName>
    <definedName name="COPPER">#N/A</definedName>
    <definedName name="DS">#REF!</definedName>
    <definedName name="ENERG_KCAL">#N/A</definedName>
    <definedName name="FA_MONO">#N/A</definedName>
    <definedName name="FA_POLY">#N/A</definedName>
    <definedName name="FA_SAT">#N/A</definedName>
    <definedName name="FIBER_TD">#N/A</definedName>
    <definedName name="FOLATE">#N/A</definedName>
    <definedName name="FS">#REF!</definedName>
    <definedName name="FSDFG">#REF!</definedName>
    <definedName name="GMWT_1">#N/A</definedName>
    <definedName name="GMWT_2">#N/A</definedName>
    <definedName name="GMWT_DESC1">#N/A</definedName>
    <definedName name="GMWT_DESC2">#N/A</definedName>
    <definedName name="IRON">#N/A</definedName>
    <definedName name="karilene">#REF!</definedName>
    <definedName name="MAGNESIUM">#N/A</definedName>
    <definedName name="MANGANESE">#N/A</definedName>
    <definedName name="MERDA">#REF!</definedName>
    <definedName name="NDB_NO">#N/A</definedName>
    <definedName name="NIACIN">#N/A</definedName>
    <definedName name="NUTR_DEF">#REF!</definedName>
    <definedName name="PANTO_ACID">#N/A</definedName>
    <definedName name="PHOSPHORUS">#N/A</definedName>
    <definedName name="POTASSIUM">#N/A</definedName>
    <definedName name="PROTEIN">#N/A</definedName>
    <definedName name="REFUSE_PCT">#N/A</definedName>
    <definedName name="ResulAcGr_Tabela_de_referência_cruzada">#REF!</definedName>
    <definedName name="RIBOFLAVIN">#N/A</definedName>
    <definedName name="SABADO">#REF!</definedName>
    <definedName name="SELENIUM">#N/A</definedName>
    <definedName name="semana">#REF!</definedName>
    <definedName name="SHRT_DESC">#N/A</definedName>
    <definedName name="SODIUM">#N/A</definedName>
    <definedName name="TACO_ALIMENTOS_MS">#REF!</definedName>
    <definedName name="teste">#REF!</definedName>
    <definedName name="THIAMIN">#N/A</definedName>
    <definedName name="TOT_LIPID">#N/A</definedName>
    <definedName name="VIT_A">#N/A</definedName>
    <definedName name="VIT_B12">#N/A</definedName>
    <definedName name="VIT_B6">#N/A</definedName>
    <definedName name="VIT_C">#N/A</definedName>
    <definedName name="VIT_E">#N/A</definedName>
    <definedName name="WATER">#N/A</definedName>
    <definedName name="ZINC">#N/A</definedName>
  </definedNames>
  <calcPr calcId="191029"/>
  <pivotCaches>
    <pivotCache cacheId="8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637" i="8" l="1"/>
  <c r="R637" i="8"/>
  <c r="S637" i="8"/>
  <c r="Q638" i="8"/>
  <c r="R638" i="8"/>
  <c r="S638" i="8"/>
  <c r="Q639" i="8"/>
  <c r="R639" i="8"/>
  <c r="S639" i="8"/>
  <c r="Q640" i="8"/>
  <c r="R640" i="8"/>
  <c r="S640" i="8"/>
  <c r="Q641" i="8"/>
  <c r="R641" i="8"/>
  <c r="S641" i="8"/>
  <c r="Q642" i="8"/>
  <c r="R642" i="8"/>
  <c r="S642" i="8"/>
  <c r="Q643" i="8"/>
  <c r="R643" i="8"/>
  <c r="S643" i="8"/>
  <c r="Q644" i="8"/>
  <c r="R644" i="8"/>
  <c r="S644" i="8"/>
  <c r="Q645" i="8"/>
  <c r="R645" i="8"/>
  <c r="S645" i="8"/>
  <c r="Q646" i="8"/>
  <c r="R646" i="8"/>
  <c r="S646" i="8"/>
  <c r="Q647" i="8"/>
  <c r="R647" i="8"/>
  <c r="S647" i="8"/>
  <c r="Q648" i="8"/>
  <c r="R648" i="8"/>
  <c r="S648" i="8"/>
  <c r="Q649" i="8"/>
  <c r="R649" i="8"/>
  <c r="S649" i="8"/>
  <c r="Q650" i="8"/>
  <c r="R650" i="8"/>
  <c r="S650" i="8"/>
  <c r="Q651" i="8"/>
  <c r="R651" i="8"/>
  <c r="S651" i="8"/>
  <c r="Q652" i="8"/>
  <c r="R652" i="8"/>
  <c r="S652" i="8"/>
  <c r="Q653" i="8"/>
  <c r="R653" i="8"/>
  <c r="S653" i="8"/>
  <c r="Q654" i="8"/>
  <c r="R654" i="8"/>
  <c r="S654" i="8"/>
  <c r="Q655" i="8"/>
  <c r="R655" i="8"/>
  <c r="S655" i="8"/>
  <c r="Q656" i="8"/>
  <c r="R656" i="8"/>
  <c r="S656" i="8"/>
  <c r="Q657" i="8"/>
  <c r="R657" i="8"/>
  <c r="S657" i="8"/>
  <c r="Q658" i="8"/>
  <c r="R658" i="8"/>
  <c r="S658" i="8"/>
  <c r="Q659" i="8"/>
  <c r="R659" i="8"/>
  <c r="S659" i="8"/>
  <c r="Q660" i="8"/>
  <c r="R660" i="8"/>
  <c r="S660" i="8"/>
  <c r="Q661" i="8"/>
  <c r="R661" i="8"/>
  <c r="S661" i="8"/>
  <c r="Q662" i="8"/>
  <c r="R662" i="8"/>
  <c r="S662" i="8"/>
  <c r="Q663" i="8"/>
  <c r="R663" i="8"/>
  <c r="S663" i="8"/>
  <c r="Q664" i="8"/>
  <c r="R664" i="8"/>
  <c r="S664" i="8"/>
  <c r="Q665" i="8"/>
  <c r="R665" i="8"/>
  <c r="S665" i="8"/>
  <c r="Q666" i="8"/>
  <c r="R666" i="8"/>
  <c r="S666" i="8"/>
  <c r="Q667" i="8"/>
  <c r="R667" i="8"/>
  <c r="S667" i="8"/>
  <c r="Q668" i="8"/>
  <c r="R668" i="8"/>
  <c r="S668" i="8"/>
  <c r="Q669" i="8"/>
  <c r="R669" i="8"/>
  <c r="S669" i="8"/>
  <c r="Q670" i="8"/>
  <c r="R670" i="8"/>
  <c r="S670" i="8"/>
  <c r="Q671" i="8"/>
  <c r="R671" i="8"/>
  <c r="S671" i="8"/>
  <c r="Q672" i="8"/>
  <c r="R672" i="8"/>
  <c r="S672" i="8"/>
  <c r="Q673" i="8"/>
  <c r="R673" i="8"/>
  <c r="S673" i="8"/>
  <c r="Q674" i="8"/>
  <c r="R674" i="8"/>
  <c r="S674" i="8"/>
  <c r="Q675" i="8"/>
  <c r="R675" i="8"/>
  <c r="S675" i="8"/>
  <c r="O636" i="8"/>
  <c r="S636" i="8"/>
  <c r="R636" i="8"/>
  <c r="Q636" i="8"/>
  <c r="S635" i="8"/>
  <c r="R635" i="8"/>
  <c r="Q635" i="8"/>
  <c r="S634" i="8"/>
  <c r="R634" i="8"/>
  <c r="Q634" i="8"/>
  <c r="S633" i="8"/>
  <c r="R633" i="8"/>
  <c r="Q633" i="8"/>
  <c r="S632" i="8"/>
  <c r="R632" i="8"/>
  <c r="Q632" i="8"/>
  <c r="S631" i="8"/>
  <c r="R631" i="8"/>
  <c r="Q631" i="8"/>
  <c r="S630" i="8"/>
  <c r="R630" i="8"/>
  <c r="Q630" i="8"/>
  <c r="S629" i="8"/>
  <c r="R629" i="8"/>
  <c r="Q629" i="8"/>
  <c r="S628" i="8"/>
  <c r="R628" i="8"/>
  <c r="Q628" i="8"/>
  <c r="S627" i="8"/>
  <c r="R627" i="8"/>
  <c r="Q627" i="8"/>
  <c r="S626" i="8"/>
  <c r="R626" i="8"/>
  <c r="Q626" i="8"/>
  <c r="S625" i="8"/>
  <c r="R625" i="8"/>
  <c r="Q625" i="8"/>
  <c r="S624" i="8"/>
  <c r="R624" i="8"/>
  <c r="Q624" i="8"/>
  <c r="S623" i="8"/>
  <c r="R623" i="8"/>
  <c r="Q623" i="8"/>
  <c r="S622" i="8"/>
  <c r="R622" i="8"/>
  <c r="Q622" i="8"/>
  <c r="A361" i="11"/>
  <c r="A360" i="11"/>
  <c r="A359" i="11"/>
  <c r="A358" i="11"/>
  <c r="A357" i="11"/>
  <c r="A356" i="11"/>
  <c r="A355" i="11"/>
  <c r="A354" i="11"/>
  <c r="A353" i="11"/>
  <c r="A352" i="11"/>
  <c r="A351" i="11"/>
  <c r="A350" i="11"/>
  <c r="A349" i="11"/>
  <c r="A348" i="11"/>
  <c r="A347" i="11"/>
  <c r="A346" i="11"/>
  <c r="A345" i="11"/>
  <c r="A344" i="11"/>
  <c r="A343" i="11"/>
  <c r="A342" i="11"/>
  <c r="A341" i="11"/>
  <c r="A340" i="11"/>
  <c r="A339" i="11"/>
  <c r="A338" i="11"/>
  <c r="A337" i="11"/>
  <c r="A336" i="11"/>
  <c r="A335" i="11"/>
  <c r="A334" i="11"/>
  <c r="A333" i="11"/>
  <c r="A332" i="11"/>
  <c r="A331" i="11"/>
  <c r="A330" i="11"/>
  <c r="A329" i="11"/>
  <c r="A328" i="11"/>
  <c r="A327" i="11"/>
  <c r="A326" i="11"/>
  <c r="A325" i="11"/>
  <c r="A324" i="11"/>
  <c r="A323" i="11"/>
  <c r="A322" i="11"/>
  <c r="A321" i="11"/>
  <c r="A320" i="11"/>
  <c r="A319" i="11"/>
  <c r="A318" i="11"/>
  <c r="A317" i="11"/>
  <c r="A316" i="11"/>
  <c r="A315" i="11"/>
  <c r="A314" i="11"/>
  <c r="A313" i="11"/>
  <c r="A312" i="11"/>
  <c r="A311" i="11"/>
  <c r="A310" i="11"/>
  <c r="A309" i="11"/>
  <c r="A308" i="11"/>
  <c r="A307" i="11"/>
  <c r="A306" i="11"/>
  <c r="A305" i="11"/>
  <c r="A304" i="11"/>
  <c r="A303" i="11"/>
  <c r="A302" i="11"/>
  <c r="A301" i="11"/>
  <c r="A300" i="11"/>
  <c r="A299" i="11"/>
  <c r="A298" i="11"/>
  <c r="A297" i="11"/>
  <c r="A296" i="11"/>
  <c r="A295" i="11"/>
  <c r="A294" i="11"/>
  <c r="A293" i="11"/>
  <c r="A292" i="11"/>
  <c r="A291" i="11"/>
  <c r="A290" i="11"/>
  <c r="A289" i="11"/>
  <c r="A288" i="11"/>
  <c r="A287" i="11"/>
  <c r="A286" i="11"/>
  <c r="A285" i="11"/>
  <c r="A284" i="11"/>
  <c r="A283" i="11"/>
  <c r="A282" i="11"/>
  <c r="A281" i="11"/>
  <c r="A280" i="11"/>
  <c r="A279" i="11"/>
  <c r="A278" i="11"/>
  <c r="A277" i="11"/>
  <c r="A276" i="11"/>
  <c r="A275" i="11"/>
  <c r="A274" i="11"/>
  <c r="A273" i="11"/>
  <c r="A272" i="11"/>
  <c r="A271" i="11"/>
  <c r="A270" i="11"/>
  <c r="A269" i="11"/>
  <c r="A268" i="11"/>
  <c r="A267" i="11"/>
  <c r="A266" i="11"/>
  <c r="A265" i="11"/>
  <c r="A264" i="11"/>
  <c r="A263" i="11"/>
  <c r="A262" i="11"/>
  <c r="A261" i="11"/>
  <c r="A260" i="11"/>
  <c r="A259" i="11"/>
  <c r="A258" i="11"/>
  <c r="A257" i="11"/>
  <c r="A256" i="11"/>
  <c r="A255" i="11"/>
  <c r="A254" i="11"/>
  <c r="A253" i="11"/>
  <c r="A252" i="11"/>
  <c r="A251" i="11"/>
  <c r="A250" i="11"/>
  <c r="A249" i="11"/>
  <c r="A248" i="11"/>
  <c r="A247" i="11"/>
  <c r="A246" i="11"/>
  <c r="A245" i="11"/>
  <c r="A244" i="11"/>
  <c r="A243" i="11"/>
  <c r="A242" i="11"/>
  <c r="A241" i="11"/>
  <c r="A240" i="11"/>
  <c r="A239" i="11"/>
  <c r="A238" i="11"/>
  <c r="A237" i="11"/>
  <c r="A236" i="11"/>
  <c r="A235" i="11"/>
  <c r="A234" i="11"/>
  <c r="A233" i="11"/>
  <c r="A232" i="11"/>
  <c r="A231" i="11"/>
  <c r="A230" i="11"/>
  <c r="A229" i="11"/>
  <c r="A228" i="11"/>
  <c r="A227" i="11"/>
  <c r="A226" i="11"/>
  <c r="A225" i="11"/>
  <c r="A224" i="11"/>
  <c r="A223" i="11"/>
  <c r="A222" i="11"/>
  <c r="A221" i="11"/>
  <c r="A220" i="11"/>
  <c r="A219" i="11"/>
  <c r="A218" i="11"/>
  <c r="A217" i="11"/>
  <c r="A216" i="11"/>
  <c r="A215" i="11"/>
  <c r="A214" i="11"/>
  <c r="A213" i="11"/>
  <c r="A212" i="11"/>
  <c r="A211" i="11"/>
  <c r="A210" i="11"/>
  <c r="A209" i="11"/>
  <c r="A208" i="11"/>
  <c r="A207" i="11"/>
  <c r="A206" i="11"/>
  <c r="A205" i="11"/>
  <c r="A204" i="11"/>
  <c r="A203" i="11"/>
  <c r="A202" i="11"/>
  <c r="A201" i="11"/>
  <c r="A200" i="11"/>
  <c r="A199" i="11"/>
  <c r="A198" i="11"/>
  <c r="A197" i="11"/>
  <c r="A196" i="11"/>
  <c r="A195" i="11"/>
  <c r="A194" i="11"/>
  <c r="A193" i="11"/>
  <c r="A192" i="11"/>
  <c r="A191" i="11"/>
  <c r="A190" i="11"/>
  <c r="A189" i="11"/>
  <c r="A188" i="11"/>
  <c r="A187" i="11"/>
  <c r="A186" i="11"/>
  <c r="A185" i="11"/>
  <c r="A184" i="11"/>
  <c r="A183" i="11"/>
  <c r="A182" i="11"/>
  <c r="A181" i="11"/>
  <c r="A180" i="11"/>
  <c r="A179" i="11"/>
  <c r="A178" i="11"/>
  <c r="A177" i="11"/>
  <c r="A176" i="11"/>
  <c r="A175" i="11"/>
  <c r="A174" i="11"/>
  <c r="A173" i="11"/>
  <c r="A172" i="11"/>
  <c r="A171" i="11"/>
  <c r="A170" i="11"/>
  <c r="A169" i="11"/>
  <c r="A168" i="11"/>
  <c r="A167" i="11"/>
  <c r="A166" i="11"/>
  <c r="A165" i="11"/>
  <c r="A164" i="11"/>
  <c r="A163" i="11"/>
  <c r="A162" i="11"/>
  <c r="A161" i="11"/>
  <c r="A160" i="11"/>
  <c r="A159" i="11"/>
  <c r="A158" i="11"/>
  <c r="A157" i="11"/>
  <c r="A156" i="11"/>
  <c r="A155" i="11"/>
  <c r="A154" i="11"/>
  <c r="A153" i="11"/>
  <c r="A152" i="11"/>
  <c r="A151" i="11"/>
  <c r="A150" i="11"/>
  <c r="A149" i="11"/>
  <c r="A148" i="11"/>
  <c r="A147" i="11"/>
  <c r="A146" i="11"/>
  <c r="A145" i="11"/>
  <c r="A144" i="11"/>
  <c r="A143" i="11"/>
  <c r="A142" i="11"/>
  <c r="A141" i="11"/>
  <c r="A140" i="11"/>
  <c r="A139" i="11"/>
  <c r="A138" i="11"/>
  <c r="A137" i="11"/>
  <c r="A136" i="11"/>
  <c r="A135" i="11"/>
  <c r="A134" i="11"/>
  <c r="A133" i="11"/>
  <c r="A132" i="11"/>
  <c r="A131" i="11"/>
  <c r="A130" i="11"/>
  <c r="A129" i="11"/>
  <c r="A128" i="11"/>
  <c r="A127" i="11"/>
  <c r="A126" i="11"/>
  <c r="A125" i="11"/>
  <c r="A124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2" i="11"/>
  <c r="A213" i="8"/>
  <c r="H213" i="8" s="1"/>
  <c r="Q213" i="8" s="1"/>
  <c r="C213" i="8"/>
  <c r="I213" i="8" s="1"/>
  <c r="R213" i="8" s="1"/>
  <c r="J213" i="8"/>
  <c r="S213" i="8" s="1"/>
  <c r="A118" i="8"/>
  <c r="H118" i="8" s="1"/>
  <c r="Q118" i="8" s="1"/>
  <c r="C118" i="8"/>
  <c r="I118" i="8" s="1"/>
  <c r="R118" i="8" s="1"/>
  <c r="J118" i="8"/>
  <c r="S118" i="8" s="1"/>
  <c r="J675" i="8"/>
  <c r="C675" i="8"/>
  <c r="I675" i="8" s="1"/>
  <c r="A675" i="8"/>
  <c r="H675" i="8" s="1"/>
  <c r="J674" i="8"/>
  <c r="C674" i="8"/>
  <c r="I674" i="8" s="1"/>
  <c r="A674" i="8"/>
  <c r="H674" i="8" s="1"/>
  <c r="J673" i="8"/>
  <c r="C673" i="8"/>
  <c r="I673" i="8" s="1"/>
  <c r="A673" i="8"/>
  <c r="H673" i="8" s="1"/>
  <c r="J672" i="8"/>
  <c r="C672" i="8"/>
  <c r="I672" i="8" s="1"/>
  <c r="A672" i="8"/>
  <c r="H672" i="8" s="1"/>
  <c r="J671" i="8"/>
  <c r="C671" i="8"/>
  <c r="I671" i="8" s="1"/>
  <c r="A671" i="8"/>
  <c r="H671" i="8" s="1"/>
  <c r="J670" i="8"/>
  <c r="C670" i="8"/>
  <c r="I670" i="8" s="1"/>
  <c r="A670" i="8"/>
  <c r="H670" i="8" s="1"/>
  <c r="J669" i="8"/>
  <c r="C669" i="8"/>
  <c r="I669" i="8" s="1"/>
  <c r="A669" i="8"/>
  <c r="H669" i="8" s="1"/>
  <c r="J668" i="8"/>
  <c r="C668" i="8"/>
  <c r="I668" i="8" s="1"/>
  <c r="A668" i="8"/>
  <c r="H668" i="8" s="1"/>
  <c r="J667" i="8"/>
  <c r="C667" i="8"/>
  <c r="I667" i="8" s="1"/>
  <c r="A667" i="8"/>
  <c r="H667" i="8" s="1"/>
  <c r="J666" i="8"/>
  <c r="C666" i="8"/>
  <c r="I666" i="8" s="1"/>
  <c r="A666" i="8"/>
  <c r="H666" i="8" s="1"/>
  <c r="J665" i="8"/>
  <c r="C665" i="8"/>
  <c r="I665" i="8" s="1"/>
  <c r="A665" i="8"/>
  <c r="H665" i="8" s="1"/>
  <c r="J664" i="8"/>
  <c r="C664" i="8"/>
  <c r="I664" i="8" s="1"/>
  <c r="A664" i="8"/>
  <c r="H664" i="8" s="1"/>
  <c r="J663" i="8"/>
  <c r="C663" i="8"/>
  <c r="I663" i="8" s="1"/>
  <c r="A663" i="8"/>
  <c r="H663" i="8" s="1"/>
  <c r="J662" i="8"/>
  <c r="C662" i="8"/>
  <c r="I662" i="8" s="1"/>
  <c r="A662" i="8"/>
  <c r="H662" i="8" s="1"/>
  <c r="J661" i="8"/>
  <c r="C661" i="8"/>
  <c r="I661" i="8" s="1"/>
  <c r="A661" i="8"/>
  <c r="H661" i="8" s="1"/>
  <c r="J660" i="8"/>
  <c r="C660" i="8"/>
  <c r="I660" i="8" s="1"/>
  <c r="A660" i="8"/>
  <c r="H660" i="8" s="1"/>
  <c r="J659" i="8"/>
  <c r="C659" i="8"/>
  <c r="I659" i="8" s="1"/>
  <c r="A659" i="8"/>
  <c r="H659" i="8" s="1"/>
  <c r="J658" i="8"/>
  <c r="C658" i="8"/>
  <c r="I658" i="8" s="1"/>
  <c r="A658" i="8"/>
  <c r="H658" i="8" s="1"/>
  <c r="J657" i="8"/>
  <c r="C657" i="8"/>
  <c r="I657" i="8" s="1"/>
  <c r="A657" i="8"/>
  <c r="H657" i="8" s="1"/>
  <c r="J656" i="8"/>
  <c r="C656" i="8"/>
  <c r="I656" i="8" s="1"/>
  <c r="A656" i="8"/>
  <c r="H656" i="8" s="1"/>
  <c r="J655" i="8"/>
  <c r="C655" i="8"/>
  <c r="I655" i="8" s="1"/>
  <c r="A655" i="8"/>
  <c r="H655" i="8" s="1"/>
  <c r="J654" i="8"/>
  <c r="C654" i="8"/>
  <c r="I654" i="8" s="1"/>
  <c r="A654" i="8"/>
  <c r="H654" i="8" s="1"/>
  <c r="J653" i="8"/>
  <c r="C653" i="8"/>
  <c r="I653" i="8" s="1"/>
  <c r="A653" i="8"/>
  <c r="H653" i="8" s="1"/>
  <c r="J652" i="8"/>
  <c r="C652" i="8"/>
  <c r="I652" i="8" s="1"/>
  <c r="A652" i="8"/>
  <c r="H652" i="8" s="1"/>
  <c r="J651" i="8"/>
  <c r="C651" i="8"/>
  <c r="I651" i="8" s="1"/>
  <c r="A651" i="8"/>
  <c r="H651" i="8" s="1"/>
  <c r="J650" i="8"/>
  <c r="C650" i="8"/>
  <c r="I650" i="8" s="1"/>
  <c r="A650" i="8"/>
  <c r="H650" i="8" s="1"/>
  <c r="J649" i="8"/>
  <c r="C649" i="8"/>
  <c r="I649" i="8" s="1"/>
  <c r="A649" i="8"/>
  <c r="H649" i="8" s="1"/>
  <c r="J648" i="8"/>
  <c r="C648" i="8"/>
  <c r="I648" i="8" s="1"/>
  <c r="A648" i="8"/>
  <c r="H648" i="8" s="1"/>
  <c r="J647" i="8"/>
  <c r="C647" i="8"/>
  <c r="I647" i="8" s="1"/>
  <c r="A647" i="8"/>
  <c r="H647" i="8" s="1"/>
  <c r="J646" i="8"/>
  <c r="C646" i="8"/>
  <c r="I646" i="8" s="1"/>
  <c r="A646" i="8"/>
  <c r="H646" i="8" s="1"/>
  <c r="J645" i="8"/>
  <c r="C645" i="8"/>
  <c r="I645" i="8" s="1"/>
  <c r="A645" i="8"/>
  <c r="H645" i="8" s="1"/>
  <c r="J644" i="8"/>
  <c r="C644" i="8"/>
  <c r="I644" i="8" s="1"/>
  <c r="A644" i="8"/>
  <c r="H644" i="8" s="1"/>
  <c r="J643" i="8"/>
  <c r="C643" i="8"/>
  <c r="I643" i="8" s="1"/>
  <c r="A643" i="8"/>
  <c r="H643" i="8" s="1"/>
  <c r="J642" i="8"/>
  <c r="C642" i="8"/>
  <c r="I642" i="8" s="1"/>
  <c r="A642" i="8"/>
  <c r="H642" i="8" s="1"/>
  <c r="J641" i="8"/>
  <c r="C641" i="8"/>
  <c r="I641" i="8" s="1"/>
  <c r="A641" i="8"/>
  <c r="H641" i="8" s="1"/>
  <c r="J640" i="8"/>
  <c r="C640" i="8"/>
  <c r="I640" i="8" s="1"/>
  <c r="A640" i="8"/>
  <c r="H640" i="8" s="1"/>
  <c r="J639" i="8"/>
  <c r="C639" i="8"/>
  <c r="I639" i="8" s="1"/>
  <c r="A639" i="8"/>
  <c r="H639" i="8" s="1"/>
  <c r="J638" i="8"/>
  <c r="C638" i="8"/>
  <c r="I638" i="8" s="1"/>
  <c r="A638" i="8"/>
  <c r="H638" i="8" s="1"/>
  <c r="J637" i="8"/>
  <c r="C637" i="8"/>
  <c r="I637" i="8" s="1"/>
  <c r="A637" i="8"/>
  <c r="H637" i="8" s="1"/>
  <c r="J636" i="8"/>
  <c r="C636" i="8"/>
  <c r="I636" i="8" s="1"/>
  <c r="A636" i="8"/>
  <c r="H636" i="8" s="1"/>
  <c r="J635" i="8"/>
  <c r="C635" i="8"/>
  <c r="I635" i="8" s="1"/>
  <c r="A635" i="8"/>
  <c r="H635" i="8" s="1"/>
  <c r="J634" i="8"/>
  <c r="C634" i="8"/>
  <c r="I634" i="8" s="1"/>
  <c r="A634" i="8"/>
  <c r="H634" i="8" s="1"/>
  <c r="J633" i="8"/>
  <c r="C633" i="8"/>
  <c r="I633" i="8" s="1"/>
  <c r="A633" i="8"/>
  <c r="H633" i="8" s="1"/>
  <c r="J632" i="8"/>
  <c r="C632" i="8"/>
  <c r="I632" i="8" s="1"/>
  <c r="A632" i="8"/>
  <c r="H632" i="8" s="1"/>
  <c r="J631" i="8"/>
  <c r="C631" i="8"/>
  <c r="I631" i="8" s="1"/>
  <c r="A631" i="8"/>
  <c r="H631" i="8" s="1"/>
  <c r="J630" i="8"/>
  <c r="C630" i="8"/>
  <c r="I630" i="8" s="1"/>
  <c r="A630" i="8"/>
  <c r="H630" i="8" s="1"/>
  <c r="J629" i="8"/>
  <c r="C629" i="8"/>
  <c r="I629" i="8" s="1"/>
  <c r="A629" i="8"/>
  <c r="H629" i="8" s="1"/>
  <c r="J628" i="8"/>
  <c r="C628" i="8"/>
  <c r="I628" i="8" s="1"/>
  <c r="A628" i="8"/>
  <c r="H628" i="8" s="1"/>
  <c r="J627" i="8"/>
  <c r="C627" i="8"/>
  <c r="I627" i="8" s="1"/>
  <c r="A627" i="8"/>
  <c r="H627" i="8" s="1"/>
  <c r="J626" i="8"/>
  <c r="C626" i="8"/>
  <c r="I626" i="8" s="1"/>
  <c r="A626" i="8"/>
  <c r="H626" i="8" s="1"/>
  <c r="J625" i="8"/>
  <c r="C625" i="8"/>
  <c r="I625" i="8" s="1"/>
  <c r="A625" i="8"/>
  <c r="H625" i="8" s="1"/>
  <c r="J624" i="8"/>
  <c r="C624" i="8"/>
  <c r="I624" i="8" s="1"/>
  <c r="A624" i="8"/>
  <c r="H624" i="8" s="1"/>
  <c r="J623" i="8"/>
  <c r="C623" i="8"/>
  <c r="I623" i="8" s="1"/>
  <c r="A623" i="8"/>
  <c r="H623" i="8" s="1"/>
  <c r="J622" i="8"/>
  <c r="C622" i="8"/>
  <c r="I622" i="8" s="1"/>
  <c r="A622" i="8"/>
  <c r="H622" i="8" s="1"/>
  <c r="J621" i="8"/>
  <c r="S621" i="8" s="1"/>
  <c r="C621" i="8"/>
  <c r="I621" i="8" s="1"/>
  <c r="R621" i="8" s="1"/>
  <c r="A621" i="8"/>
  <c r="H621" i="8" s="1"/>
  <c r="Q621" i="8" s="1"/>
  <c r="J620" i="8"/>
  <c r="S620" i="8" s="1"/>
  <c r="C620" i="8"/>
  <c r="I620" i="8" s="1"/>
  <c r="R620" i="8" s="1"/>
  <c r="A620" i="8"/>
  <c r="H620" i="8" s="1"/>
  <c r="Q620" i="8" s="1"/>
  <c r="J619" i="8"/>
  <c r="S619" i="8" s="1"/>
  <c r="C619" i="8"/>
  <c r="I619" i="8" s="1"/>
  <c r="R619" i="8" s="1"/>
  <c r="A619" i="8"/>
  <c r="H619" i="8" s="1"/>
  <c r="Q619" i="8" s="1"/>
  <c r="J618" i="8"/>
  <c r="S618" i="8" s="1"/>
  <c r="C618" i="8"/>
  <c r="I618" i="8" s="1"/>
  <c r="R618" i="8" s="1"/>
  <c r="A618" i="8"/>
  <c r="H618" i="8" s="1"/>
  <c r="Q618" i="8" s="1"/>
  <c r="J617" i="8"/>
  <c r="S617" i="8" s="1"/>
  <c r="C617" i="8"/>
  <c r="I617" i="8" s="1"/>
  <c r="R617" i="8" s="1"/>
  <c r="A617" i="8"/>
  <c r="H617" i="8" s="1"/>
  <c r="Q617" i="8" s="1"/>
  <c r="J616" i="8"/>
  <c r="S616" i="8" s="1"/>
  <c r="C616" i="8"/>
  <c r="I616" i="8" s="1"/>
  <c r="R616" i="8" s="1"/>
  <c r="A616" i="8"/>
  <c r="H616" i="8" s="1"/>
  <c r="Q616" i="8" s="1"/>
  <c r="J615" i="8"/>
  <c r="S615" i="8" s="1"/>
  <c r="C615" i="8"/>
  <c r="I615" i="8" s="1"/>
  <c r="R615" i="8" s="1"/>
  <c r="A615" i="8"/>
  <c r="H615" i="8" s="1"/>
  <c r="Q615" i="8" s="1"/>
  <c r="J614" i="8"/>
  <c r="S614" i="8" s="1"/>
  <c r="C614" i="8"/>
  <c r="I614" i="8" s="1"/>
  <c r="R614" i="8" s="1"/>
  <c r="A614" i="8"/>
  <c r="H614" i="8" s="1"/>
  <c r="Q614" i="8" s="1"/>
  <c r="J613" i="8"/>
  <c r="S613" i="8" s="1"/>
  <c r="C613" i="8"/>
  <c r="I613" i="8" s="1"/>
  <c r="R613" i="8" s="1"/>
  <c r="A613" i="8"/>
  <c r="H613" i="8" s="1"/>
  <c r="Q613" i="8" s="1"/>
  <c r="J612" i="8"/>
  <c r="S612" i="8" s="1"/>
  <c r="C612" i="8"/>
  <c r="I612" i="8" s="1"/>
  <c r="R612" i="8" s="1"/>
  <c r="A612" i="8"/>
  <c r="H612" i="8" s="1"/>
  <c r="Q612" i="8" s="1"/>
  <c r="J611" i="8"/>
  <c r="S611" i="8" s="1"/>
  <c r="C611" i="8"/>
  <c r="I611" i="8" s="1"/>
  <c r="R611" i="8" s="1"/>
  <c r="A611" i="8"/>
  <c r="H611" i="8" s="1"/>
  <c r="Q611" i="8" s="1"/>
  <c r="J610" i="8"/>
  <c r="S610" i="8" s="1"/>
  <c r="C610" i="8"/>
  <c r="I610" i="8" s="1"/>
  <c r="R610" i="8" s="1"/>
  <c r="A610" i="8"/>
  <c r="H610" i="8" s="1"/>
  <c r="Q610" i="8" s="1"/>
  <c r="J609" i="8"/>
  <c r="S609" i="8" s="1"/>
  <c r="C609" i="8"/>
  <c r="I609" i="8" s="1"/>
  <c r="R609" i="8" s="1"/>
  <c r="A609" i="8"/>
  <c r="H609" i="8" s="1"/>
  <c r="Q609" i="8" s="1"/>
  <c r="J608" i="8"/>
  <c r="S608" i="8" s="1"/>
  <c r="C608" i="8"/>
  <c r="I608" i="8" s="1"/>
  <c r="R608" i="8" s="1"/>
  <c r="A608" i="8"/>
  <c r="H608" i="8" s="1"/>
  <c r="Q608" i="8" s="1"/>
  <c r="J607" i="8"/>
  <c r="S607" i="8" s="1"/>
  <c r="C607" i="8"/>
  <c r="I607" i="8" s="1"/>
  <c r="R607" i="8" s="1"/>
  <c r="A607" i="8"/>
  <c r="H607" i="8" s="1"/>
  <c r="Q607" i="8" s="1"/>
  <c r="J606" i="8"/>
  <c r="S606" i="8" s="1"/>
  <c r="C606" i="8"/>
  <c r="I606" i="8" s="1"/>
  <c r="R606" i="8" s="1"/>
  <c r="A606" i="8"/>
  <c r="H606" i="8" s="1"/>
  <c r="Q606" i="8" s="1"/>
  <c r="J605" i="8"/>
  <c r="S605" i="8" s="1"/>
  <c r="C605" i="8"/>
  <c r="I605" i="8" s="1"/>
  <c r="R605" i="8" s="1"/>
  <c r="A605" i="8"/>
  <c r="H605" i="8" s="1"/>
  <c r="Q605" i="8" s="1"/>
  <c r="J604" i="8"/>
  <c r="S604" i="8" s="1"/>
  <c r="C604" i="8"/>
  <c r="I604" i="8" s="1"/>
  <c r="R604" i="8" s="1"/>
  <c r="A604" i="8"/>
  <c r="H604" i="8" s="1"/>
  <c r="Q604" i="8" s="1"/>
  <c r="J603" i="8"/>
  <c r="S603" i="8" s="1"/>
  <c r="C603" i="8"/>
  <c r="I603" i="8" s="1"/>
  <c r="R603" i="8" s="1"/>
  <c r="A603" i="8"/>
  <c r="H603" i="8" s="1"/>
  <c r="Q603" i="8" s="1"/>
  <c r="J602" i="8"/>
  <c r="S602" i="8" s="1"/>
  <c r="C602" i="8"/>
  <c r="I602" i="8" s="1"/>
  <c r="R602" i="8" s="1"/>
  <c r="A602" i="8"/>
  <c r="H602" i="8" s="1"/>
  <c r="Q602" i="8" s="1"/>
  <c r="J601" i="8"/>
  <c r="S601" i="8" s="1"/>
  <c r="C601" i="8"/>
  <c r="I601" i="8" s="1"/>
  <c r="R601" i="8" s="1"/>
  <c r="A601" i="8"/>
  <c r="H601" i="8" s="1"/>
  <c r="Q601" i="8" s="1"/>
  <c r="J600" i="8"/>
  <c r="S600" i="8" s="1"/>
  <c r="C600" i="8"/>
  <c r="I600" i="8" s="1"/>
  <c r="R600" i="8" s="1"/>
  <c r="A600" i="8"/>
  <c r="H600" i="8" s="1"/>
  <c r="Q600" i="8" s="1"/>
  <c r="J599" i="8"/>
  <c r="S599" i="8" s="1"/>
  <c r="C599" i="8"/>
  <c r="I599" i="8" s="1"/>
  <c r="R599" i="8" s="1"/>
  <c r="A599" i="8"/>
  <c r="H599" i="8" s="1"/>
  <c r="Q599" i="8" s="1"/>
  <c r="J598" i="8"/>
  <c r="S598" i="8" s="1"/>
  <c r="C598" i="8"/>
  <c r="I598" i="8" s="1"/>
  <c r="R598" i="8" s="1"/>
  <c r="A598" i="8"/>
  <c r="H598" i="8" s="1"/>
  <c r="Q598" i="8" s="1"/>
  <c r="J597" i="8"/>
  <c r="S597" i="8" s="1"/>
  <c r="C597" i="8"/>
  <c r="I597" i="8" s="1"/>
  <c r="R597" i="8" s="1"/>
  <c r="A597" i="8"/>
  <c r="H597" i="8" s="1"/>
  <c r="Q597" i="8" s="1"/>
  <c r="J596" i="8"/>
  <c r="S596" i="8" s="1"/>
  <c r="C596" i="8"/>
  <c r="I596" i="8" s="1"/>
  <c r="R596" i="8" s="1"/>
  <c r="A596" i="8"/>
  <c r="H596" i="8" s="1"/>
  <c r="Q596" i="8" s="1"/>
  <c r="J595" i="8"/>
  <c r="S595" i="8" s="1"/>
  <c r="C595" i="8"/>
  <c r="I595" i="8" s="1"/>
  <c r="R595" i="8" s="1"/>
  <c r="A595" i="8"/>
  <c r="H595" i="8" s="1"/>
  <c r="Q595" i="8" s="1"/>
  <c r="J594" i="8"/>
  <c r="S594" i="8" s="1"/>
  <c r="C594" i="8"/>
  <c r="I594" i="8" s="1"/>
  <c r="R594" i="8" s="1"/>
  <c r="A594" i="8"/>
  <c r="H594" i="8" s="1"/>
  <c r="Q594" i="8" s="1"/>
  <c r="J593" i="8"/>
  <c r="S593" i="8" s="1"/>
  <c r="C593" i="8"/>
  <c r="I593" i="8" s="1"/>
  <c r="R593" i="8" s="1"/>
  <c r="A593" i="8"/>
  <c r="H593" i="8" s="1"/>
  <c r="Q593" i="8" s="1"/>
  <c r="J592" i="8"/>
  <c r="S592" i="8" s="1"/>
  <c r="C592" i="8"/>
  <c r="I592" i="8" s="1"/>
  <c r="R592" i="8" s="1"/>
  <c r="A592" i="8"/>
  <c r="H592" i="8" s="1"/>
  <c r="Q592" i="8" s="1"/>
  <c r="J591" i="8"/>
  <c r="S591" i="8" s="1"/>
  <c r="C591" i="8"/>
  <c r="I591" i="8" s="1"/>
  <c r="R591" i="8" s="1"/>
  <c r="A591" i="8"/>
  <c r="H591" i="8" s="1"/>
  <c r="Q591" i="8" s="1"/>
  <c r="J590" i="8"/>
  <c r="S590" i="8" s="1"/>
  <c r="C590" i="8"/>
  <c r="I590" i="8" s="1"/>
  <c r="R590" i="8" s="1"/>
  <c r="A590" i="8"/>
  <c r="H590" i="8" s="1"/>
  <c r="Q590" i="8" s="1"/>
  <c r="J589" i="8"/>
  <c r="S589" i="8" s="1"/>
  <c r="C589" i="8"/>
  <c r="I589" i="8" s="1"/>
  <c r="R589" i="8" s="1"/>
  <c r="A589" i="8"/>
  <c r="H589" i="8" s="1"/>
  <c r="Q589" i="8" s="1"/>
  <c r="J588" i="8"/>
  <c r="S588" i="8" s="1"/>
  <c r="C588" i="8"/>
  <c r="I588" i="8" s="1"/>
  <c r="R588" i="8" s="1"/>
  <c r="A588" i="8"/>
  <c r="H588" i="8" s="1"/>
  <c r="Q588" i="8" s="1"/>
  <c r="J587" i="8"/>
  <c r="S587" i="8" s="1"/>
  <c r="C587" i="8"/>
  <c r="I587" i="8" s="1"/>
  <c r="R587" i="8" s="1"/>
  <c r="A587" i="8"/>
  <c r="H587" i="8" s="1"/>
  <c r="Q587" i="8" s="1"/>
  <c r="J586" i="8"/>
  <c r="S586" i="8" s="1"/>
  <c r="C586" i="8"/>
  <c r="I586" i="8" s="1"/>
  <c r="R586" i="8" s="1"/>
  <c r="A586" i="8"/>
  <c r="H586" i="8" s="1"/>
  <c r="Q586" i="8" s="1"/>
  <c r="J585" i="8"/>
  <c r="S585" i="8" s="1"/>
  <c r="C585" i="8"/>
  <c r="I585" i="8" s="1"/>
  <c r="R585" i="8" s="1"/>
  <c r="A585" i="8"/>
  <c r="H585" i="8" s="1"/>
  <c r="Q585" i="8" s="1"/>
  <c r="J584" i="8"/>
  <c r="S584" i="8" s="1"/>
  <c r="C584" i="8"/>
  <c r="I584" i="8" s="1"/>
  <c r="R584" i="8" s="1"/>
  <c r="A584" i="8"/>
  <c r="H584" i="8" s="1"/>
  <c r="Q584" i="8" s="1"/>
  <c r="J583" i="8"/>
  <c r="S583" i="8" s="1"/>
  <c r="C583" i="8"/>
  <c r="I583" i="8" s="1"/>
  <c r="R583" i="8" s="1"/>
  <c r="A583" i="8"/>
  <c r="H583" i="8" s="1"/>
  <c r="Q583" i="8" s="1"/>
  <c r="J582" i="8"/>
  <c r="S582" i="8" s="1"/>
  <c r="C582" i="8"/>
  <c r="I582" i="8" s="1"/>
  <c r="R582" i="8" s="1"/>
  <c r="A582" i="8"/>
  <c r="H582" i="8" s="1"/>
  <c r="Q582" i="8" s="1"/>
  <c r="J581" i="8"/>
  <c r="S581" i="8" s="1"/>
  <c r="C581" i="8"/>
  <c r="I581" i="8" s="1"/>
  <c r="R581" i="8" s="1"/>
  <c r="A581" i="8"/>
  <c r="H581" i="8" s="1"/>
  <c r="Q581" i="8" s="1"/>
  <c r="J580" i="8"/>
  <c r="S580" i="8" s="1"/>
  <c r="C580" i="8"/>
  <c r="I580" i="8" s="1"/>
  <c r="R580" i="8" s="1"/>
  <c r="A580" i="8"/>
  <c r="H580" i="8" s="1"/>
  <c r="Q580" i="8" s="1"/>
  <c r="J579" i="8"/>
  <c r="S579" i="8" s="1"/>
  <c r="C579" i="8"/>
  <c r="I579" i="8" s="1"/>
  <c r="R579" i="8" s="1"/>
  <c r="A579" i="8"/>
  <c r="H579" i="8" s="1"/>
  <c r="Q579" i="8" s="1"/>
  <c r="J578" i="8"/>
  <c r="S578" i="8" s="1"/>
  <c r="C578" i="8"/>
  <c r="I578" i="8" s="1"/>
  <c r="R578" i="8" s="1"/>
  <c r="A578" i="8"/>
  <c r="H578" i="8" s="1"/>
  <c r="Q578" i="8" s="1"/>
  <c r="J577" i="8"/>
  <c r="S577" i="8" s="1"/>
  <c r="C577" i="8"/>
  <c r="I577" i="8" s="1"/>
  <c r="R577" i="8" s="1"/>
  <c r="A577" i="8"/>
  <c r="H577" i="8" s="1"/>
  <c r="Q577" i="8" s="1"/>
  <c r="J576" i="8"/>
  <c r="S576" i="8" s="1"/>
  <c r="C576" i="8"/>
  <c r="I576" i="8" s="1"/>
  <c r="R576" i="8" s="1"/>
  <c r="A576" i="8"/>
  <c r="H576" i="8" s="1"/>
  <c r="Q576" i="8" s="1"/>
  <c r="J575" i="8"/>
  <c r="S575" i="8" s="1"/>
  <c r="C575" i="8"/>
  <c r="I575" i="8" s="1"/>
  <c r="R575" i="8" s="1"/>
  <c r="A575" i="8"/>
  <c r="H575" i="8" s="1"/>
  <c r="Q575" i="8" s="1"/>
  <c r="J574" i="8"/>
  <c r="S574" i="8" s="1"/>
  <c r="C574" i="8"/>
  <c r="I574" i="8" s="1"/>
  <c r="R574" i="8" s="1"/>
  <c r="A574" i="8"/>
  <c r="H574" i="8" s="1"/>
  <c r="Q574" i="8" s="1"/>
  <c r="J573" i="8"/>
  <c r="S573" i="8" s="1"/>
  <c r="C573" i="8"/>
  <c r="I573" i="8" s="1"/>
  <c r="R573" i="8" s="1"/>
  <c r="A573" i="8"/>
  <c r="H573" i="8" s="1"/>
  <c r="Q573" i="8" s="1"/>
  <c r="J572" i="8"/>
  <c r="S572" i="8" s="1"/>
  <c r="C572" i="8"/>
  <c r="I572" i="8" s="1"/>
  <c r="R572" i="8" s="1"/>
  <c r="A572" i="8"/>
  <c r="H572" i="8" s="1"/>
  <c r="Q572" i="8" s="1"/>
  <c r="J571" i="8"/>
  <c r="S571" i="8" s="1"/>
  <c r="C571" i="8"/>
  <c r="I571" i="8" s="1"/>
  <c r="R571" i="8" s="1"/>
  <c r="A571" i="8"/>
  <c r="H571" i="8" s="1"/>
  <c r="Q571" i="8" s="1"/>
  <c r="J570" i="8"/>
  <c r="S570" i="8" s="1"/>
  <c r="C570" i="8"/>
  <c r="I570" i="8" s="1"/>
  <c r="R570" i="8" s="1"/>
  <c r="A570" i="8"/>
  <c r="H570" i="8" s="1"/>
  <c r="Q570" i="8" s="1"/>
  <c r="J569" i="8"/>
  <c r="S569" i="8" s="1"/>
  <c r="C569" i="8"/>
  <c r="I569" i="8" s="1"/>
  <c r="R569" i="8" s="1"/>
  <c r="A569" i="8"/>
  <c r="H569" i="8" s="1"/>
  <c r="Q569" i="8" s="1"/>
  <c r="J568" i="8"/>
  <c r="S568" i="8" s="1"/>
  <c r="C568" i="8"/>
  <c r="I568" i="8" s="1"/>
  <c r="R568" i="8" s="1"/>
  <c r="A568" i="8"/>
  <c r="H568" i="8" s="1"/>
  <c r="Q568" i="8" s="1"/>
  <c r="J567" i="8"/>
  <c r="S567" i="8" s="1"/>
  <c r="C567" i="8"/>
  <c r="I567" i="8" s="1"/>
  <c r="R567" i="8" s="1"/>
  <c r="A567" i="8"/>
  <c r="H567" i="8" s="1"/>
  <c r="Q567" i="8" s="1"/>
  <c r="J566" i="8"/>
  <c r="S566" i="8" s="1"/>
  <c r="C566" i="8"/>
  <c r="I566" i="8" s="1"/>
  <c r="R566" i="8" s="1"/>
  <c r="A566" i="8"/>
  <c r="H566" i="8" s="1"/>
  <c r="Q566" i="8" s="1"/>
  <c r="J565" i="8"/>
  <c r="S565" i="8" s="1"/>
  <c r="C565" i="8"/>
  <c r="I565" i="8" s="1"/>
  <c r="R565" i="8" s="1"/>
  <c r="A565" i="8"/>
  <c r="H565" i="8" s="1"/>
  <c r="Q565" i="8" s="1"/>
  <c r="J564" i="8"/>
  <c r="S564" i="8" s="1"/>
  <c r="C564" i="8"/>
  <c r="I564" i="8" s="1"/>
  <c r="R564" i="8" s="1"/>
  <c r="A564" i="8"/>
  <c r="H564" i="8" s="1"/>
  <c r="Q564" i="8" s="1"/>
  <c r="J563" i="8"/>
  <c r="S563" i="8" s="1"/>
  <c r="C563" i="8"/>
  <c r="I563" i="8" s="1"/>
  <c r="R563" i="8" s="1"/>
  <c r="A563" i="8"/>
  <c r="H563" i="8" s="1"/>
  <c r="Q563" i="8" s="1"/>
  <c r="J562" i="8"/>
  <c r="S562" i="8" s="1"/>
  <c r="C562" i="8"/>
  <c r="I562" i="8" s="1"/>
  <c r="R562" i="8" s="1"/>
  <c r="A562" i="8"/>
  <c r="H562" i="8" s="1"/>
  <c r="Q562" i="8" s="1"/>
  <c r="J561" i="8"/>
  <c r="S561" i="8" s="1"/>
  <c r="C561" i="8"/>
  <c r="I561" i="8" s="1"/>
  <c r="R561" i="8" s="1"/>
  <c r="A561" i="8"/>
  <c r="H561" i="8" s="1"/>
  <c r="Q561" i="8" s="1"/>
  <c r="J560" i="8"/>
  <c r="S560" i="8" s="1"/>
  <c r="C560" i="8"/>
  <c r="I560" i="8" s="1"/>
  <c r="R560" i="8" s="1"/>
  <c r="A560" i="8"/>
  <c r="H560" i="8" s="1"/>
  <c r="Q560" i="8" s="1"/>
  <c r="J559" i="8"/>
  <c r="S559" i="8" s="1"/>
  <c r="C559" i="8"/>
  <c r="I559" i="8" s="1"/>
  <c r="R559" i="8" s="1"/>
  <c r="A559" i="8"/>
  <c r="H559" i="8" s="1"/>
  <c r="Q559" i="8" s="1"/>
  <c r="J558" i="8"/>
  <c r="S558" i="8" s="1"/>
  <c r="C558" i="8"/>
  <c r="I558" i="8" s="1"/>
  <c r="R558" i="8" s="1"/>
  <c r="A558" i="8"/>
  <c r="H558" i="8" s="1"/>
  <c r="Q558" i="8" s="1"/>
  <c r="J557" i="8"/>
  <c r="S557" i="8" s="1"/>
  <c r="C557" i="8"/>
  <c r="I557" i="8" s="1"/>
  <c r="R557" i="8" s="1"/>
  <c r="A557" i="8"/>
  <c r="H557" i="8" s="1"/>
  <c r="Q557" i="8" s="1"/>
  <c r="J556" i="8"/>
  <c r="S556" i="8" s="1"/>
  <c r="C556" i="8"/>
  <c r="I556" i="8" s="1"/>
  <c r="R556" i="8" s="1"/>
  <c r="A556" i="8"/>
  <c r="H556" i="8" s="1"/>
  <c r="Q556" i="8" s="1"/>
  <c r="J555" i="8"/>
  <c r="S555" i="8" s="1"/>
  <c r="C555" i="8"/>
  <c r="I555" i="8" s="1"/>
  <c r="R555" i="8" s="1"/>
  <c r="A555" i="8"/>
  <c r="H555" i="8" s="1"/>
  <c r="Q555" i="8" s="1"/>
  <c r="J554" i="8"/>
  <c r="S554" i="8" s="1"/>
  <c r="C554" i="8"/>
  <c r="I554" i="8" s="1"/>
  <c r="R554" i="8" s="1"/>
  <c r="A554" i="8"/>
  <c r="H554" i="8" s="1"/>
  <c r="Q554" i="8" s="1"/>
  <c r="J553" i="8"/>
  <c r="S553" i="8" s="1"/>
  <c r="C553" i="8"/>
  <c r="I553" i="8" s="1"/>
  <c r="R553" i="8" s="1"/>
  <c r="A553" i="8"/>
  <c r="H553" i="8" s="1"/>
  <c r="Q553" i="8" s="1"/>
  <c r="J552" i="8"/>
  <c r="S552" i="8" s="1"/>
  <c r="C552" i="8"/>
  <c r="I552" i="8" s="1"/>
  <c r="R552" i="8" s="1"/>
  <c r="A552" i="8"/>
  <c r="H552" i="8" s="1"/>
  <c r="Q552" i="8" s="1"/>
  <c r="J551" i="8"/>
  <c r="S551" i="8" s="1"/>
  <c r="C551" i="8"/>
  <c r="I551" i="8" s="1"/>
  <c r="R551" i="8" s="1"/>
  <c r="A551" i="8"/>
  <c r="H551" i="8" s="1"/>
  <c r="Q551" i="8" s="1"/>
  <c r="J550" i="8"/>
  <c r="S550" i="8" s="1"/>
  <c r="C550" i="8"/>
  <c r="I550" i="8" s="1"/>
  <c r="R550" i="8" s="1"/>
  <c r="A550" i="8"/>
  <c r="H550" i="8" s="1"/>
  <c r="Q550" i="8" s="1"/>
  <c r="J549" i="8"/>
  <c r="S549" i="8" s="1"/>
  <c r="C549" i="8"/>
  <c r="I549" i="8" s="1"/>
  <c r="R549" i="8" s="1"/>
  <c r="A549" i="8"/>
  <c r="H549" i="8" s="1"/>
  <c r="Q549" i="8" s="1"/>
  <c r="J548" i="8"/>
  <c r="S548" i="8" s="1"/>
  <c r="C548" i="8"/>
  <c r="I548" i="8" s="1"/>
  <c r="R548" i="8" s="1"/>
  <c r="A548" i="8"/>
  <c r="H548" i="8" s="1"/>
  <c r="Q548" i="8" s="1"/>
  <c r="J547" i="8"/>
  <c r="S547" i="8" s="1"/>
  <c r="C547" i="8"/>
  <c r="I547" i="8" s="1"/>
  <c r="R547" i="8" s="1"/>
  <c r="A547" i="8"/>
  <c r="H547" i="8" s="1"/>
  <c r="Q547" i="8" s="1"/>
  <c r="J546" i="8"/>
  <c r="S546" i="8" s="1"/>
  <c r="C546" i="8"/>
  <c r="I546" i="8" s="1"/>
  <c r="R546" i="8" s="1"/>
  <c r="A546" i="8"/>
  <c r="H546" i="8" s="1"/>
  <c r="Q546" i="8" s="1"/>
  <c r="J545" i="8"/>
  <c r="S545" i="8" s="1"/>
  <c r="C545" i="8"/>
  <c r="I545" i="8" s="1"/>
  <c r="R545" i="8" s="1"/>
  <c r="A545" i="8"/>
  <c r="H545" i="8" s="1"/>
  <c r="Q545" i="8" s="1"/>
  <c r="J544" i="8"/>
  <c r="S544" i="8" s="1"/>
  <c r="C544" i="8"/>
  <c r="I544" i="8" s="1"/>
  <c r="R544" i="8" s="1"/>
  <c r="A544" i="8"/>
  <c r="H544" i="8" s="1"/>
  <c r="Q544" i="8" s="1"/>
  <c r="J543" i="8"/>
  <c r="S543" i="8" s="1"/>
  <c r="C543" i="8"/>
  <c r="I543" i="8" s="1"/>
  <c r="R543" i="8" s="1"/>
  <c r="A543" i="8"/>
  <c r="H543" i="8" s="1"/>
  <c r="Q543" i="8" s="1"/>
  <c r="J542" i="8"/>
  <c r="S542" i="8" s="1"/>
  <c r="C542" i="8"/>
  <c r="I542" i="8" s="1"/>
  <c r="R542" i="8" s="1"/>
  <c r="A542" i="8"/>
  <c r="H542" i="8" s="1"/>
  <c r="Q542" i="8" s="1"/>
  <c r="J541" i="8"/>
  <c r="S541" i="8" s="1"/>
  <c r="C541" i="8"/>
  <c r="I541" i="8" s="1"/>
  <c r="R541" i="8" s="1"/>
  <c r="A541" i="8"/>
  <c r="H541" i="8" s="1"/>
  <c r="Q541" i="8" s="1"/>
  <c r="J540" i="8"/>
  <c r="S540" i="8" s="1"/>
  <c r="C540" i="8"/>
  <c r="I540" i="8" s="1"/>
  <c r="R540" i="8" s="1"/>
  <c r="A540" i="8"/>
  <c r="H540" i="8" s="1"/>
  <c r="Q540" i="8" s="1"/>
  <c r="J539" i="8"/>
  <c r="S539" i="8" s="1"/>
  <c r="C539" i="8"/>
  <c r="I539" i="8" s="1"/>
  <c r="R539" i="8" s="1"/>
  <c r="A539" i="8"/>
  <c r="H539" i="8" s="1"/>
  <c r="Q539" i="8" s="1"/>
  <c r="J538" i="8"/>
  <c r="S538" i="8" s="1"/>
  <c r="C538" i="8"/>
  <c r="I538" i="8" s="1"/>
  <c r="R538" i="8" s="1"/>
  <c r="A538" i="8"/>
  <c r="H538" i="8" s="1"/>
  <c r="Q538" i="8" s="1"/>
  <c r="J537" i="8"/>
  <c r="S537" i="8" s="1"/>
  <c r="C537" i="8"/>
  <c r="I537" i="8" s="1"/>
  <c r="R537" i="8" s="1"/>
  <c r="A537" i="8"/>
  <c r="H537" i="8" s="1"/>
  <c r="Q537" i="8" s="1"/>
  <c r="J536" i="8"/>
  <c r="S536" i="8" s="1"/>
  <c r="C536" i="8"/>
  <c r="I536" i="8" s="1"/>
  <c r="R536" i="8" s="1"/>
  <c r="A536" i="8"/>
  <c r="H536" i="8" s="1"/>
  <c r="Q536" i="8" s="1"/>
  <c r="J535" i="8"/>
  <c r="S535" i="8" s="1"/>
  <c r="C535" i="8"/>
  <c r="I535" i="8" s="1"/>
  <c r="R535" i="8" s="1"/>
  <c r="A535" i="8"/>
  <c r="H535" i="8" s="1"/>
  <c r="Q535" i="8" s="1"/>
  <c r="J534" i="8"/>
  <c r="S534" i="8" s="1"/>
  <c r="C534" i="8"/>
  <c r="I534" i="8" s="1"/>
  <c r="R534" i="8" s="1"/>
  <c r="A534" i="8"/>
  <c r="H534" i="8" s="1"/>
  <c r="Q534" i="8" s="1"/>
  <c r="J533" i="8"/>
  <c r="S533" i="8" s="1"/>
  <c r="C533" i="8"/>
  <c r="I533" i="8" s="1"/>
  <c r="R533" i="8" s="1"/>
  <c r="A533" i="8"/>
  <c r="H533" i="8" s="1"/>
  <c r="Q533" i="8" s="1"/>
  <c r="J532" i="8"/>
  <c r="S532" i="8" s="1"/>
  <c r="C532" i="8"/>
  <c r="I532" i="8" s="1"/>
  <c r="R532" i="8" s="1"/>
  <c r="A532" i="8"/>
  <c r="H532" i="8" s="1"/>
  <c r="Q532" i="8" s="1"/>
  <c r="J531" i="8"/>
  <c r="S531" i="8" s="1"/>
  <c r="C531" i="8"/>
  <c r="I531" i="8" s="1"/>
  <c r="R531" i="8" s="1"/>
  <c r="A531" i="8"/>
  <c r="H531" i="8" s="1"/>
  <c r="Q531" i="8" s="1"/>
  <c r="J530" i="8"/>
  <c r="S530" i="8" s="1"/>
  <c r="C530" i="8"/>
  <c r="I530" i="8" s="1"/>
  <c r="R530" i="8" s="1"/>
  <c r="A530" i="8"/>
  <c r="H530" i="8" s="1"/>
  <c r="Q530" i="8" s="1"/>
  <c r="J529" i="8"/>
  <c r="S529" i="8" s="1"/>
  <c r="C529" i="8"/>
  <c r="I529" i="8" s="1"/>
  <c r="R529" i="8" s="1"/>
  <c r="A529" i="8"/>
  <c r="H529" i="8" s="1"/>
  <c r="Q529" i="8" s="1"/>
  <c r="J528" i="8"/>
  <c r="S528" i="8" s="1"/>
  <c r="C528" i="8"/>
  <c r="I528" i="8" s="1"/>
  <c r="R528" i="8" s="1"/>
  <c r="A528" i="8"/>
  <c r="H528" i="8" s="1"/>
  <c r="Q528" i="8" s="1"/>
  <c r="J527" i="8"/>
  <c r="S527" i="8" s="1"/>
  <c r="C527" i="8"/>
  <c r="I527" i="8" s="1"/>
  <c r="R527" i="8" s="1"/>
  <c r="A527" i="8"/>
  <c r="H527" i="8" s="1"/>
  <c r="Q527" i="8" s="1"/>
  <c r="J526" i="8"/>
  <c r="S526" i="8" s="1"/>
  <c r="C526" i="8"/>
  <c r="I526" i="8" s="1"/>
  <c r="R526" i="8" s="1"/>
  <c r="A526" i="8"/>
  <c r="H526" i="8" s="1"/>
  <c r="Q526" i="8" s="1"/>
  <c r="J525" i="8"/>
  <c r="S525" i="8" s="1"/>
  <c r="C525" i="8"/>
  <c r="I525" i="8" s="1"/>
  <c r="R525" i="8" s="1"/>
  <c r="A525" i="8"/>
  <c r="H525" i="8" s="1"/>
  <c r="Q525" i="8" s="1"/>
  <c r="J524" i="8"/>
  <c r="S524" i="8" s="1"/>
  <c r="C524" i="8"/>
  <c r="I524" i="8" s="1"/>
  <c r="R524" i="8" s="1"/>
  <c r="A524" i="8"/>
  <c r="H524" i="8" s="1"/>
  <c r="Q524" i="8" s="1"/>
  <c r="J523" i="8"/>
  <c r="S523" i="8" s="1"/>
  <c r="C523" i="8"/>
  <c r="I523" i="8" s="1"/>
  <c r="R523" i="8" s="1"/>
  <c r="A523" i="8"/>
  <c r="H523" i="8" s="1"/>
  <c r="Q523" i="8" s="1"/>
  <c r="J522" i="8"/>
  <c r="S522" i="8" s="1"/>
  <c r="C522" i="8"/>
  <c r="I522" i="8" s="1"/>
  <c r="R522" i="8" s="1"/>
  <c r="A522" i="8"/>
  <c r="H522" i="8" s="1"/>
  <c r="Q522" i="8" s="1"/>
  <c r="J521" i="8"/>
  <c r="S521" i="8" s="1"/>
  <c r="C521" i="8"/>
  <c r="I521" i="8" s="1"/>
  <c r="R521" i="8" s="1"/>
  <c r="A521" i="8"/>
  <c r="H521" i="8" s="1"/>
  <c r="Q521" i="8" s="1"/>
  <c r="J520" i="8"/>
  <c r="S520" i="8" s="1"/>
  <c r="C520" i="8"/>
  <c r="I520" i="8" s="1"/>
  <c r="R520" i="8" s="1"/>
  <c r="A520" i="8"/>
  <c r="H520" i="8" s="1"/>
  <c r="Q520" i="8" s="1"/>
  <c r="J519" i="8"/>
  <c r="S519" i="8" s="1"/>
  <c r="C519" i="8"/>
  <c r="I519" i="8" s="1"/>
  <c r="R519" i="8" s="1"/>
  <c r="A519" i="8"/>
  <c r="H519" i="8" s="1"/>
  <c r="Q519" i="8" s="1"/>
  <c r="J518" i="8"/>
  <c r="S518" i="8" s="1"/>
  <c r="C518" i="8"/>
  <c r="I518" i="8" s="1"/>
  <c r="R518" i="8" s="1"/>
  <c r="A518" i="8"/>
  <c r="H518" i="8" s="1"/>
  <c r="Q518" i="8" s="1"/>
  <c r="J517" i="8"/>
  <c r="S517" i="8" s="1"/>
  <c r="C517" i="8"/>
  <c r="I517" i="8" s="1"/>
  <c r="R517" i="8" s="1"/>
  <c r="A517" i="8"/>
  <c r="H517" i="8" s="1"/>
  <c r="Q517" i="8" s="1"/>
  <c r="J516" i="8"/>
  <c r="S516" i="8" s="1"/>
  <c r="C516" i="8"/>
  <c r="I516" i="8" s="1"/>
  <c r="R516" i="8" s="1"/>
  <c r="A516" i="8"/>
  <c r="H516" i="8" s="1"/>
  <c r="Q516" i="8" s="1"/>
  <c r="J515" i="8"/>
  <c r="S515" i="8" s="1"/>
  <c r="C515" i="8"/>
  <c r="I515" i="8" s="1"/>
  <c r="R515" i="8" s="1"/>
  <c r="A515" i="8"/>
  <c r="H515" i="8" s="1"/>
  <c r="Q515" i="8" s="1"/>
  <c r="J514" i="8"/>
  <c r="S514" i="8" s="1"/>
  <c r="C514" i="8"/>
  <c r="I514" i="8" s="1"/>
  <c r="R514" i="8" s="1"/>
  <c r="A514" i="8"/>
  <c r="H514" i="8" s="1"/>
  <c r="Q514" i="8" s="1"/>
  <c r="J513" i="8"/>
  <c r="S513" i="8" s="1"/>
  <c r="C513" i="8"/>
  <c r="I513" i="8" s="1"/>
  <c r="R513" i="8" s="1"/>
  <c r="A513" i="8"/>
  <c r="H513" i="8" s="1"/>
  <c r="Q513" i="8" s="1"/>
  <c r="J512" i="8"/>
  <c r="S512" i="8" s="1"/>
  <c r="C512" i="8"/>
  <c r="I512" i="8" s="1"/>
  <c r="R512" i="8" s="1"/>
  <c r="A512" i="8"/>
  <c r="H512" i="8" s="1"/>
  <c r="Q512" i="8" s="1"/>
  <c r="J511" i="8"/>
  <c r="S511" i="8" s="1"/>
  <c r="C511" i="8"/>
  <c r="I511" i="8" s="1"/>
  <c r="R511" i="8" s="1"/>
  <c r="A511" i="8"/>
  <c r="H511" i="8" s="1"/>
  <c r="Q511" i="8" s="1"/>
  <c r="J510" i="8"/>
  <c r="S510" i="8" s="1"/>
  <c r="C510" i="8"/>
  <c r="I510" i="8" s="1"/>
  <c r="R510" i="8" s="1"/>
  <c r="A510" i="8"/>
  <c r="H510" i="8" s="1"/>
  <c r="Q510" i="8" s="1"/>
  <c r="J509" i="8"/>
  <c r="S509" i="8" s="1"/>
  <c r="C509" i="8"/>
  <c r="I509" i="8" s="1"/>
  <c r="R509" i="8" s="1"/>
  <c r="A509" i="8"/>
  <c r="H509" i="8" s="1"/>
  <c r="Q509" i="8" s="1"/>
  <c r="J508" i="8"/>
  <c r="S508" i="8" s="1"/>
  <c r="C508" i="8"/>
  <c r="I508" i="8" s="1"/>
  <c r="R508" i="8" s="1"/>
  <c r="A508" i="8"/>
  <c r="H508" i="8" s="1"/>
  <c r="Q508" i="8" s="1"/>
  <c r="J507" i="8"/>
  <c r="S507" i="8" s="1"/>
  <c r="C507" i="8"/>
  <c r="I507" i="8" s="1"/>
  <c r="R507" i="8" s="1"/>
  <c r="A507" i="8"/>
  <c r="H507" i="8" s="1"/>
  <c r="Q507" i="8" s="1"/>
  <c r="J506" i="8"/>
  <c r="S506" i="8" s="1"/>
  <c r="C506" i="8"/>
  <c r="I506" i="8" s="1"/>
  <c r="R506" i="8" s="1"/>
  <c r="A506" i="8"/>
  <c r="H506" i="8" s="1"/>
  <c r="Q506" i="8" s="1"/>
  <c r="J505" i="8"/>
  <c r="S505" i="8" s="1"/>
  <c r="C505" i="8"/>
  <c r="I505" i="8" s="1"/>
  <c r="R505" i="8" s="1"/>
  <c r="A505" i="8"/>
  <c r="H505" i="8" s="1"/>
  <c r="Q505" i="8" s="1"/>
  <c r="J504" i="8"/>
  <c r="S504" i="8" s="1"/>
  <c r="C504" i="8"/>
  <c r="I504" i="8" s="1"/>
  <c r="R504" i="8" s="1"/>
  <c r="A504" i="8"/>
  <c r="H504" i="8" s="1"/>
  <c r="Q504" i="8" s="1"/>
  <c r="J503" i="8"/>
  <c r="S503" i="8" s="1"/>
  <c r="C503" i="8"/>
  <c r="I503" i="8" s="1"/>
  <c r="R503" i="8" s="1"/>
  <c r="A503" i="8"/>
  <c r="H503" i="8" s="1"/>
  <c r="Q503" i="8" s="1"/>
  <c r="J502" i="8"/>
  <c r="S502" i="8" s="1"/>
  <c r="C502" i="8"/>
  <c r="I502" i="8" s="1"/>
  <c r="R502" i="8" s="1"/>
  <c r="A502" i="8"/>
  <c r="H502" i="8" s="1"/>
  <c r="Q502" i="8" s="1"/>
  <c r="J501" i="8"/>
  <c r="S501" i="8" s="1"/>
  <c r="C501" i="8"/>
  <c r="I501" i="8" s="1"/>
  <c r="R501" i="8" s="1"/>
  <c r="A501" i="8"/>
  <c r="H501" i="8" s="1"/>
  <c r="Q501" i="8" s="1"/>
  <c r="J500" i="8"/>
  <c r="S500" i="8" s="1"/>
  <c r="C500" i="8"/>
  <c r="I500" i="8" s="1"/>
  <c r="R500" i="8" s="1"/>
  <c r="A500" i="8"/>
  <c r="H500" i="8" s="1"/>
  <c r="Q500" i="8" s="1"/>
  <c r="J499" i="8"/>
  <c r="S499" i="8" s="1"/>
  <c r="C499" i="8"/>
  <c r="I499" i="8" s="1"/>
  <c r="R499" i="8" s="1"/>
  <c r="A499" i="8"/>
  <c r="H499" i="8" s="1"/>
  <c r="Q499" i="8" s="1"/>
  <c r="J498" i="8"/>
  <c r="S498" i="8" s="1"/>
  <c r="C498" i="8"/>
  <c r="I498" i="8" s="1"/>
  <c r="R498" i="8" s="1"/>
  <c r="A498" i="8"/>
  <c r="H498" i="8" s="1"/>
  <c r="Q498" i="8" s="1"/>
  <c r="J497" i="8"/>
  <c r="S497" i="8" s="1"/>
  <c r="C497" i="8"/>
  <c r="I497" i="8" s="1"/>
  <c r="R497" i="8" s="1"/>
  <c r="A497" i="8"/>
  <c r="H497" i="8" s="1"/>
  <c r="Q497" i="8" s="1"/>
  <c r="J496" i="8"/>
  <c r="S496" i="8" s="1"/>
  <c r="C496" i="8"/>
  <c r="I496" i="8" s="1"/>
  <c r="R496" i="8" s="1"/>
  <c r="A496" i="8"/>
  <c r="H496" i="8" s="1"/>
  <c r="Q496" i="8" s="1"/>
  <c r="J495" i="8"/>
  <c r="S495" i="8" s="1"/>
  <c r="C495" i="8"/>
  <c r="I495" i="8" s="1"/>
  <c r="R495" i="8" s="1"/>
  <c r="A495" i="8"/>
  <c r="H495" i="8" s="1"/>
  <c r="Q495" i="8" s="1"/>
  <c r="J494" i="8"/>
  <c r="S494" i="8" s="1"/>
  <c r="C494" i="8"/>
  <c r="I494" i="8" s="1"/>
  <c r="R494" i="8" s="1"/>
  <c r="A494" i="8"/>
  <c r="H494" i="8" s="1"/>
  <c r="Q494" i="8" s="1"/>
  <c r="J493" i="8"/>
  <c r="S493" i="8" s="1"/>
  <c r="C493" i="8"/>
  <c r="I493" i="8" s="1"/>
  <c r="R493" i="8" s="1"/>
  <c r="A493" i="8"/>
  <c r="H493" i="8" s="1"/>
  <c r="Q493" i="8" s="1"/>
  <c r="J492" i="8"/>
  <c r="S492" i="8" s="1"/>
  <c r="C492" i="8"/>
  <c r="I492" i="8" s="1"/>
  <c r="R492" i="8" s="1"/>
  <c r="A492" i="8"/>
  <c r="H492" i="8" s="1"/>
  <c r="Q492" i="8" s="1"/>
  <c r="J491" i="8"/>
  <c r="S491" i="8" s="1"/>
  <c r="C491" i="8"/>
  <c r="I491" i="8" s="1"/>
  <c r="R491" i="8" s="1"/>
  <c r="A491" i="8"/>
  <c r="H491" i="8" s="1"/>
  <c r="Q491" i="8" s="1"/>
  <c r="J490" i="8"/>
  <c r="S490" i="8" s="1"/>
  <c r="C490" i="8"/>
  <c r="I490" i="8" s="1"/>
  <c r="R490" i="8" s="1"/>
  <c r="A490" i="8"/>
  <c r="H490" i="8" s="1"/>
  <c r="Q490" i="8" s="1"/>
  <c r="J489" i="8"/>
  <c r="S489" i="8" s="1"/>
  <c r="C489" i="8"/>
  <c r="I489" i="8" s="1"/>
  <c r="R489" i="8" s="1"/>
  <c r="A489" i="8"/>
  <c r="H489" i="8" s="1"/>
  <c r="Q489" i="8" s="1"/>
  <c r="J488" i="8"/>
  <c r="S488" i="8" s="1"/>
  <c r="C488" i="8"/>
  <c r="I488" i="8" s="1"/>
  <c r="R488" i="8" s="1"/>
  <c r="A488" i="8"/>
  <c r="H488" i="8" s="1"/>
  <c r="Q488" i="8" s="1"/>
  <c r="J487" i="8"/>
  <c r="S487" i="8" s="1"/>
  <c r="C487" i="8"/>
  <c r="I487" i="8" s="1"/>
  <c r="R487" i="8" s="1"/>
  <c r="A487" i="8"/>
  <c r="H487" i="8" s="1"/>
  <c r="Q487" i="8" s="1"/>
  <c r="J486" i="8"/>
  <c r="S486" i="8" s="1"/>
  <c r="C486" i="8"/>
  <c r="I486" i="8" s="1"/>
  <c r="R486" i="8" s="1"/>
  <c r="A486" i="8"/>
  <c r="H486" i="8" s="1"/>
  <c r="Q486" i="8" s="1"/>
  <c r="J485" i="8"/>
  <c r="S485" i="8" s="1"/>
  <c r="C485" i="8"/>
  <c r="I485" i="8" s="1"/>
  <c r="R485" i="8" s="1"/>
  <c r="A485" i="8"/>
  <c r="H485" i="8" s="1"/>
  <c r="Q485" i="8" s="1"/>
  <c r="J484" i="8"/>
  <c r="S484" i="8" s="1"/>
  <c r="C484" i="8"/>
  <c r="I484" i="8" s="1"/>
  <c r="R484" i="8" s="1"/>
  <c r="A484" i="8"/>
  <c r="H484" i="8" s="1"/>
  <c r="Q484" i="8" s="1"/>
  <c r="J483" i="8"/>
  <c r="S483" i="8" s="1"/>
  <c r="C483" i="8"/>
  <c r="I483" i="8" s="1"/>
  <c r="R483" i="8" s="1"/>
  <c r="A483" i="8"/>
  <c r="H483" i="8" s="1"/>
  <c r="Q483" i="8" s="1"/>
  <c r="J482" i="8"/>
  <c r="S482" i="8" s="1"/>
  <c r="C482" i="8"/>
  <c r="I482" i="8" s="1"/>
  <c r="R482" i="8" s="1"/>
  <c r="A482" i="8"/>
  <c r="H482" i="8" s="1"/>
  <c r="Q482" i="8" s="1"/>
  <c r="J481" i="8"/>
  <c r="S481" i="8" s="1"/>
  <c r="C481" i="8"/>
  <c r="I481" i="8" s="1"/>
  <c r="R481" i="8" s="1"/>
  <c r="A481" i="8"/>
  <c r="H481" i="8" s="1"/>
  <c r="Q481" i="8" s="1"/>
  <c r="J480" i="8"/>
  <c r="S480" i="8" s="1"/>
  <c r="C480" i="8"/>
  <c r="I480" i="8" s="1"/>
  <c r="R480" i="8" s="1"/>
  <c r="A480" i="8"/>
  <c r="H480" i="8" s="1"/>
  <c r="Q480" i="8" s="1"/>
  <c r="J479" i="8"/>
  <c r="S479" i="8" s="1"/>
  <c r="C479" i="8"/>
  <c r="I479" i="8" s="1"/>
  <c r="R479" i="8" s="1"/>
  <c r="A479" i="8"/>
  <c r="H479" i="8" s="1"/>
  <c r="Q479" i="8" s="1"/>
  <c r="J478" i="8"/>
  <c r="S478" i="8" s="1"/>
  <c r="C478" i="8"/>
  <c r="I478" i="8" s="1"/>
  <c r="R478" i="8" s="1"/>
  <c r="A478" i="8"/>
  <c r="H478" i="8" s="1"/>
  <c r="Q478" i="8" s="1"/>
  <c r="J477" i="8"/>
  <c r="S477" i="8" s="1"/>
  <c r="C477" i="8"/>
  <c r="I477" i="8" s="1"/>
  <c r="R477" i="8" s="1"/>
  <c r="A477" i="8"/>
  <c r="H477" i="8" s="1"/>
  <c r="Q477" i="8" s="1"/>
  <c r="J476" i="8"/>
  <c r="S476" i="8" s="1"/>
  <c r="C476" i="8"/>
  <c r="I476" i="8" s="1"/>
  <c r="R476" i="8" s="1"/>
  <c r="A476" i="8"/>
  <c r="H476" i="8" s="1"/>
  <c r="Q476" i="8" s="1"/>
  <c r="J475" i="8"/>
  <c r="S475" i="8" s="1"/>
  <c r="C475" i="8"/>
  <c r="I475" i="8" s="1"/>
  <c r="R475" i="8" s="1"/>
  <c r="A475" i="8"/>
  <c r="H475" i="8" s="1"/>
  <c r="Q475" i="8" s="1"/>
  <c r="J474" i="8"/>
  <c r="S474" i="8" s="1"/>
  <c r="C474" i="8"/>
  <c r="I474" i="8" s="1"/>
  <c r="R474" i="8" s="1"/>
  <c r="A474" i="8"/>
  <c r="H474" i="8" s="1"/>
  <c r="Q474" i="8" s="1"/>
  <c r="J473" i="8"/>
  <c r="S473" i="8" s="1"/>
  <c r="C473" i="8"/>
  <c r="I473" i="8" s="1"/>
  <c r="R473" i="8" s="1"/>
  <c r="A473" i="8"/>
  <c r="H473" i="8" s="1"/>
  <c r="Q473" i="8" s="1"/>
  <c r="J472" i="8"/>
  <c r="S472" i="8" s="1"/>
  <c r="C472" i="8"/>
  <c r="I472" i="8" s="1"/>
  <c r="R472" i="8" s="1"/>
  <c r="A472" i="8"/>
  <c r="H472" i="8" s="1"/>
  <c r="Q472" i="8" s="1"/>
  <c r="J471" i="8"/>
  <c r="S471" i="8" s="1"/>
  <c r="C471" i="8"/>
  <c r="I471" i="8" s="1"/>
  <c r="R471" i="8" s="1"/>
  <c r="A471" i="8"/>
  <c r="H471" i="8" s="1"/>
  <c r="Q471" i="8" s="1"/>
  <c r="J470" i="8"/>
  <c r="S470" i="8" s="1"/>
  <c r="C470" i="8"/>
  <c r="I470" i="8" s="1"/>
  <c r="R470" i="8" s="1"/>
  <c r="A470" i="8"/>
  <c r="H470" i="8" s="1"/>
  <c r="Q470" i="8" s="1"/>
  <c r="J469" i="8"/>
  <c r="S469" i="8" s="1"/>
  <c r="C469" i="8"/>
  <c r="I469" i="8" s="1"/>
  <c r="R469" i="8" s="1"/>
  <c r="A469" i="8"/>
  <c r="H469" i="8" s="1"/>
  <c r="Q469" i="8" s="1"/>
  <c r="J468" i="8"/>
  <c r="S468" i="8" s="1"/>
  <c r="C468" i="8"/>
  <c r="I468" i="8" s="1"/>
  <c r="R468" i="8" s="1"/>
  <c r="A468" i="8"/>
  <c r="H468" i="8" s="1"/>
  <c r="Q468" i="8" s="1"/>
  <c r="J467" i="8"/>
  <c r="S467" i="8" s="1"/>
  <c r="C467" i="8"/>
  <c r="I467" i="8" s="1"/>
  <c r="R467" i="8" s="1"/>
  <c r="A467" i="8"/>
  <c r="H467" i="8" s="1"/>
  <c r="Q467" i="8" s="1"/>
  <c r="J466" i="8"/>
  <c r="S466" i="8" s="1"/>
  <c r="C466" i="8"/>
  <c r="I466" i="8" s="1"/>
  <c r="R466" i="8" s="1"/>
  <c r="A466" i="8"/>
  <c r="H466" i="8" s="1"/>
  <c r="Q466" i="8" s="1"/>
  <c r="J465" i="8"/>
  <c r="S465" i="8" s="1"/>
  <c r="C465" i="8"/>
  <c r="I465" i="8" s="1"/>
  <c r="R465" i="8" s="1"/>
  <c r="A465" i="8"/>
  <c r="H465" i="8" s="1"/>
  <c r="Q465" i="8" s="1"/>
  <c r="J464" i="8"/>
  <c r="S464" i="8" s="1"/>
  <c r="C464" i="8"/>
  <c r="I464" i="8" s="1"/>
  <c r="R464" i="8" s="1"/>
  <c r="A464" i="8"/>
  <c r="H464" i="8" s="1"/>
  <c r="Q464" i="8" s="1"/>
  <c r="J463" i="8"/>
  <c r="S463" i="8" s="1"/>
  <c r="C463" i="8"/>
  <c r="I463" i="8" s="1"/>
  <c r="R463" i="8" s="1"/>
  <c r="A463" i="8"/>
  <c r="H463" i="8" s="1"/>
  <c r="Q463" i="8" s="1"/>
  <c r="J462" i="8"/>
  <c r="S462" i="8" s="1"/>
  <c r="C462" i="8"/>
  <c r="I462" i="8" s="1"/>
  <c r="R462" i="8" s="1"/>
  <c r="A462" i="8"/>
  <c r="H462" i="8" s="1"/>
  <c r="Q462" i="8" s="1"/>
  <c r="J461" i="8"/>
  <c r="S461" i="8" s="1"/>
  <c r="C461" i="8"/>
  <c r="I461" i="8" s="1"/>
  <c r="R461" i="8" s="1"/>
  <c r="A461" i="8"/>
  <c r="H461" i="8" s="1"/>
  <c r="Q461" i="8" s="1"/>
  <c r="J460" i="8"/>
  <c r="S460" i="8" s="1"/>
  <c r="C460" i="8"/>
  <c r="I460" i="8" s="1"/>
  <c r="R460" i="8" s="1"/>
  <c r="A460" i="8"/>
  <c r="H460" i="8" s="1"/>
  <c r="Q460" i="8" s="1"/>
  <c r="J459" i="8"/>
  <c r="S459" i="8" s="1"/>
  <c r="C459" i="8"/>
  <c r="I459" i="8" s="1"/>
  <c r="R459" i="8" s="1"/>
  <c r="A459" i="8"/>
  <c r="H459" i="8" s="1"/>
  <c r="Q459" i="8" s="1"/>
  <c r="J458" i="8"/>
  <c r="S458" i="8" s="1"/>
  <c r="C458" i="8"/>
  <c r="I458" i="8" s="1"/>
  <c r="R458" i="8" s="1"/>
  <c r="A458" i="8"/>
  <c r="H458" i="8" s="1"/>
  <c r="Q458" i="8" s="1"/>
  <c r="J457" i="8"/>
  <c r="S457" i="8" s="1"/>
  <c r="C457" i="8"/>
  <c r="I457" i="8" s="1"/>
  <c r="R457" i="8" s="1"/>
  <c r="A457" i="8"/>
  <c r="H457" i="8" s="1"/>
  <c r="Q457" i="8" s="1"/>
  <c r="J456" i="8"/>
  <c r="S456" i="8" s="1"/>
  <c r="C456" i="8"/>
  <c r="I456" i="8" s="1"/>
  <c r="R456" i="8" s="1"/>
  <c r="A456" i="8"/>
  <c r="H456" i="8" s="1"/>
  <c r="Q456" i="8" s="1"/>
  <c r="J455" i="8"/>
  <c r="S455" i="8" s="1"/>
  <c r="C455" i="8"/>
  <c r="I455" i="8" s="1"/>
  <c r="R455" i="8" s="1"/>
  <c r="A455" i="8"/>
  <c r="H455" i="8" s="1"/>
  <c r="Q455" i="8" s="1"/>
  <c r="J454" i="8"/>
  <c r="S454" i="8" s="1"/>
  <c r="C454" i="8"/>
  <c r="I454" i="8" s="1"/>
  <c r="R454" i="8" s="1"/>
  <c r="A454" i="8"/>
  <c r="H454" i="8" s="1"/>
  <c r="Q454" i="8" s="1"/>
  <c r="J453" i="8"/>
  <c r="S453" i="8" s="1"/>
  <c r="C453" i="8"/>
  <c r="I453" i="8" s="1"/>
  <c r="R453" i="8" s="1"/>
  <c r="A453" i="8"/>
  <c r="H453" i="8" s="1"/>
  <c r="Q453" i="8" s="1"/>
  <c r="J452" i="8"/>
  <c r="S452" i="8" s="1"/>
  <c r="C452" i="8"/>
  <c r="I452" i="8" s="1"/>
  <c r="R452" i="8" s="1"/>
  <c r="A452" i="8"/>
  <c r="H452" i="8" s="1"/>
  <c r="Q452" i="8" s="1"/>
  <c r="J451" i="8"/>
  <c r="S451" i="8" s="1"/>
  <c r="C451" i="8"/>
  <c r="I451" i="8" s="1"/>
  <c r="R451" i="8" s="1"/>
  <c r="A451" i="8"/>
  <c r="H451" i="8" s="1"/>
  <c r="Q451" i="8" s="1"/>
  <c r="J450" i="8"/>
  <c r="S450" i="8" s="1"/>
  <c r="C450" i="8"/>
  <c r="I450" i="8" s="1"/>
  <c r="R450" i="8" s="1"/>
  <c r="A450" i="8"/>
  <c r="H450" i="8" s="1"/>
  <c r="Q450" i="8" s="1"/>
  <c r="J449" i="8"/>
  <c r="S449" i="8" s="1"/>
  <c r="C449" i="8"/>
  <c r="I449" i="8" s="1"/>
  <c r="R449" i="8" s="1"/>
  <c r="A449" i="8"/>
  <c r="H449" i="8" s="1"/>
  <c r="Q449" i="8" s="1"/>
  <c r="J448" i="8"/>
  <c r="S448" i="8" s="1"/>
  <c r="C448" i="8"/>
  <c r="I448" i="8" s="1"/>
  <c r="R448" i="8" s="1"/>
  <c r="A448" i="8"/>
  <c r="H448" i="8" s="1"/>
  <c r="Q448" i="8" s="1"/>
  <c r="J447" i="8"/>
  <c r="S447" i="8" s="1"/>
  <c r="C447" i="8"/>
  <c r="I447" i="8" s="1"/>
  <c r="R447" i="8" s="1"/>
  <c r="A447" i="8"/>
  <c r="H447" i="8" s="1"/>
  <c r="Q447" i="8" s="1"/>
  <c r="J446" i="8"/>
  <c r="S446" i="8" s="1"/>
  <c r="C446" i="8"/>
  <c r="I446" i="8" s="1"/>
  <c r="R446" i="8" s="1"/>
  <c r="A446" i="8"/>
  <c r="H446" i="8" s="1"/>
  <c r="Q446" i="8" s="1"/>
  <c r="J445" i="8"/>
  <c r="S445" i="8" s="1"/>
  <c r="C445" i="8"/>
  <c r="I445" i="8" s="1"/>
  <c r="R445" i="8" s="1"/>
  <c r="A445" i="8"/>
  <c r="H445" i="8" s="1"/>
  <c r="Q445" i="8" s="1"/>
  <c r="J444" i="8"/>
  <c r="S444" i="8" s="1"/>
  <c r="C444" i="8"/>
  <c r="I444" i="8" s="1"/>
  <c r="R444" i="8" s="1"/>
  <c r="A444" i="8"/>
  <c r="H444" i="8" s="1"/>
  <c r="Q444" i="8" s="1"/>
  <c r="J443" i="8"/>
  <c r="S443" i="8" s="1"/>
  <c r="C443" i="8"/>
  <c r="I443" i="8" s="1"/>
  <c r="R443" i="8" s="1"/>
  <c r="A443" i="8"/>
  <c r="H443" i="8" s="1"/>
  <c r="Q443" i="8" s="1"/>
  <c r="J442" i="8"/>
  <c r="S442" i="8" s="1"/>
  <c r="C442" i="8"/>
  <c r="I442" i="8" s="1"/>
  <c r="R442" i="8" s="1"/>
  <c r="A442" i="8"/>
  <c r="H442" i="8" s="1"/>
  <c r="Q442" i="8" s="1"/>
  <c r="J441" i="8"/>
  <c r="S441" i="8" s="1"/>
  <c r="C441" i="8"/>
  <c r="I441" i="8" s="1"/>
  <c r="R441" i="8" s="1"/>
  <c r="A441" i="8"/>
  <c r="H441" i="8" s="1"/>
  <c r="Q441" i="8" s="1"/>
  <c r="J440" i="8"/>
  <c r="S440" i="8" s="1"/>
  <c r="C440" i="8"/>
  <c r="I440" i="8" s="1"/>
  <c r="R440" i="8" s="1"/>
  <c r="A440" i="8"/>
  <c r="H440" i="8" s="1"/>
  <c r="Q440" i="8" s="1"/>
  <c r="J439" i="8"/>
  <c r="S439" i="8" s="1"/>
  <c r="C439" i="8"/>
  <c r="I439" i="8" s="1"/>
  <c r="R439" i="8" s="1"/>
  <c r="A439" i="8"/>
  <c r="H439" i="8" s="1"/>
  <c r="Q439" i="8" s="1"/>
  <c r="J438" i="8"/>
  <c r="S438" i="8" s="1"/>
  <c r="C438" i="8"/>
  <c r="I438" i="8" s="1"/>
  <c r="R438" i="8" s="1"/>
  <c r="A438" i="8"/>
  <c r="H438" i="8" s="1"/>
  <c r="Q438" i="8" s="1"/>
  <c r="J437" i="8"/>
  <c r="S437" i="8" s="1"/>
  <c r="C437" i="8"/>
  <c r="I437" i="8" s="1"/>
  <c r="R437" i="8" s="1"/>
  <c r="A437" i="8"/>
  <c r="H437" i="8" s="1"/>
  <c r="Q437" i="8" s="1"/>
  <c r="J436" i="8"/>
  <c r="S436" i="8" s="1"/>
  <c r="C436" i="8"/>
  <c r="I436" i="8" s="1"/>
  <c r="R436" i="8" s="1"/>
  <c r="A436" i="8"/>
  <c r="H436" i="8" s="1"/>
  <c r="Q436" i="8" s="1"/>
  <c r="J435" i="8"/>
  <c r="S435" i="8" s="1"/>
  <c r="C435" i="8"/>
  <c r="I435" i="8" s="1"/>
  <c r="R435" i="8" s="1"/>
  <c r="A435" i="8"/>
  <c r="H435" i="8" s="1"/>
  <c r="Q435" i="8" s="1"/>
  <c r="J434" i="8"/>
  <c r="S434" i="8" s="1"/>
  <c r="C434" i="8"/>
  <c r="I434" i="8" s="1"/>
  <c r="R434" i="8" s="1"/>
  <c r="A434" i="8"/>
  <c r="H434" i="8" s="1"/>
  <c r="Q434" i="8" s="1"/>
  <c r="J433" i="8"/>
  <c r="S433" i="8" s="1"/>
  <c r="C433" i="8"/>
  <c r="I433" i="8" s="1"/>
  <c r="R433" i="8" s="1"/>
  <c r="A433" i="8"/>
  <c r="H433" i="8" s="1"/>
  <c r="Q433" i="8" s="1"/>
  <c r="J432" i="8"/>
  <c r="S432" i="8" s="1"/>
  <c r="C432" i="8"/>
  <c r="I432" i="8" s="1"/>
  <c r="R432" i="8" s="1"/>
  <c r="A432" i="8"/>
  <c r="H432" i="8" s="1"/>
  <c r="Q432" i="8" s="1"/>
  <c r="J431" i="8"/>
  <c r="S431" i="8" s="1"/>
  <c r="C431" i="8"/>
  <c r="I431" i="8" s="1"/>
  <c r="R431" i="8" s="1"/>
  <c r="A431" i="8"/>
  <c r="H431" i="8" s="1"/>
  <c r="Q431" i="8" s="1"/>
  <c r="J430" i="8"/>
  <c r="S430" i="8" s="1"/>
  <c r="C430" i="8"/>
  <c r="I430" i="8" s="1"/>
  <c r="R430" i="8" s="1"/>
  <c r="A430" i="8"/>
  <c r="H430" i="8" s="1"/>
  <c r="Q430" i="8" s="1"/>
  <c r="J429" i="8"/>
  <c r="S429" i="8" s="1"/>
  <c r="C429" i="8"/>
  <c r="I429" i="8" s="1"/>
  <c r="R429" i="8" s="1"/>
  <c r="A429" i="8"/>
  <c r="H429" i="8" s="1"/>
  <c r="Q429" i="8" s="1"/>
  <c r="J428" i="8"/>
  <c r="S428" i="8" s="1"/>
  <c r="C428" i="8"/>
  <c r="I428" i="8" s="1"/>
  <c r="R428" i="8" s="1"/>
  <c r="A428" i="8"/>
  <c r="H428" i="8" s="1"/>
  <c r="Q428" i="8" s="1"/>
  <c r="J427" i="8"/>
  <c r="S427" i="8" s="1"/>
  <c r="C427" i="8"/>
  <c r="I427" i="8" s="1"/>
  <c r="R427" i="8" s="1"/>
  <c r="A427" i="8"/>
  <c r="H427" i="8" s="1"/>
  <c r="Q427" i="8" s="1"/>
  <c r="J426" i="8"/>
  <c r="S426" i="8" s="1"/>
  <c r="C426" i="8"/>
  <c r="I426" i="8" s="1"/>
  <c r="R426" i="8" s="1"/>
  <c r="A426" i="8"/>
  <c r="H426" i="8" s="1"/>
  <c r="Q426" i="8" s="1"/>
  <c r="J425" i="8"/>
  <c r="S425" i="8" s="1"/>
  <c r="C425" i="8"/>
  <c r="I425" i="8" s="1"/>
  <c r="R425" i="8" s="1"/>
  <c r="A425" i="8"/>
  <c r="H425" i="8" s="1"/>
  <c r="Q425" i="8" s="1"/>
  <c r="J424" i="8"/>
  <c r="S424" i="8" s="1"/>
  <c r="C424" i="8"/>
  <c r="I424" i="8" s="1"/>
  <c r="R424" i="8" s="1"/>
  <c r="A424" i="8"/>
  <c r="H424" i="8" s="1"/>
  <c r="Q424" i="8" s="1"/>
  <c r="J423" i="8"/>
  <c r="S423" i="8" s="1"/>
  <c r="C423" i="8"/>
  <c r="I423" i="8" s="1"/>
  <c r="R423" i="8" s="1"/>
  <c r="A423" i="8"/>
  <c r="H423" i="8" s="1"/>
  <c r="Q423" i="8" s="1"/>
  <c r="J422" i="8"/>
  <c r="S422" i="8" s="1"/>
  <c r="C422" i="8"/>
  <c r="I422" i="8" s="1"/>
  <c r="R422" i="8" s="1"/>
  <c r="A422" i="8"/>
  <c r="H422" i="8" s="1"/>
  <c r="Q422" i="8" s="1"/>
  <c r="J421" i="8"/>
  <c r="S421" i="8" s="1"/>
  <c r="C421" i="8"/>
  <c r="I421" i="8" s="1"/>
  <c r="R421" i="8" s="1"/>
  <c r="A421" i="8"/>
  <c r="H421" i="8" s="1"/>
  <c r="Q421" i="8" s="1"/>
  <c r="J420" i="8"/>
  <c r="S420" i="8" s="1"/>
  <c r="C420" i="8"/>
  <c r="I420" i="8" s="1"/>
  <c r="R420" i="8" s="1"/>
  <c r="A420" i="8"/>
  <c r="H420" i="8" s="1"/>
  <c r="Q420" i="8" s="1"/>
  <c r="J419" i="8"/>
  <c r="S419" i="8" s="1"/>
  <c r="C419" i="8"/>
  <c r="I419" i="8" s="1"/>
  <c r="R419" i="8" s="1"/>
  <c r="A419" i="8"/>
  <c r="H419" i="8" s="1"/>
  <c r="Q419" i="8" s="1"/>
  <c r="J418" i="8"/>
  <c r="S418" i="8" s="1"/>
  <c r="C418" i="8"/>
  <c r="I418" i="8" s="1"/>
  <c r="R418" i="8" s="1"/>
  <c r="A418" i="8"/>
  <c r="H418" i="8" s="1"/>
  <c r="Q418" i="8" s="1"/>
  <c r="J417" i="8"/>
  <c r="S417" i="8" s="1"/>
  <c r="C417" i="8"/>
  <c r="I417" i="8" s="1"/>
  <c r="R417" i="8" s="1"/>
  <c r="A417" i="8"/>
  <c r="H417" i="8" s="1"/>
  <c r="Q417" i="8" s="1"/>
  <c r="J416" i="8"/>
  <c r="S416" i="8" s="1"/>
  <c r="C416" i="8"/>
  <c r="I416" i="8" s="1"/>
  <c r="R416" i="8" s="1"/>
  <c r="A416" i="8"/>
  <c r="H416" i="8" s="1"/>
  <c r="Q416" i="8" s="1"/>
  <c r="J415" i="8"/>
  <c r="S415" i="8" s="1"/>
  <c r="C415" i="8"/>
  <c r="I415" i="8" s="1"/>
  <c r="R415" i="8" s="1"/>
  <c r="A415" i="8"/>
  <c r="H415" i="8" s="1"/>
  <c r="Q415" i="8" s="1"/>
  <c r="J414" i="8"/>
  <c r="S414" i="8" s="1"/>
  <c r="C414" i="8"/>
  <c r="I414" i="8" s="1"/>
  <c r="R414" i="8" s="1"/>
  <c r="A414" i="8"/>
  <c r="H414" i="8" s="1"/>
  <c r="Q414" i="8" s="1"/>
  <c r="J413" i="8"/>
  <c r="S413" i="8" s="1"/>
  <c r="C413" i="8"/>
  <c r="I413" i="8" s="1"/>
  <c r="R413" i="8" s="1"/>
  <c r="A413" i="8"/>
  <c r="H413" i="8" s="1"/>
  <c r="Q413" i="8" s="1"/>
  <c r="J412" i="8"/>
  <c r="S412" i="8" s="1"/>
  <c r="C412" i="8"/>
  <c r="I412" i="8" s="1"/>
  <c r="R412" i="8" s="1"/>
  <c r="A412" i="8"/>
  <c r="H412" i="8" s="1"/>
  <c r="Q412" i="8" s="1"/>
  <c r="J411" i="8"/>
  <c r="S411" i="8" s="1"/>
  <c r="C411" i="8"/>
  <c r="I411" i="8" s="1"/>
  <c r="R411" i="8" s="1"/>
  <c r="A411" i="8"/>
  <c r="H411" i="8" s="1"/>
  <c r="Q411" i="8" s="1"/>
  <c r="J410" i="8"/>
  <c r="S410" i="8" s="1"/>
  <c r="C410" i="8"/>
  <c r="I410" i="8" s="1"/>
  <c r="R410" i="8" s="1"/>
  <c r="A410" i="8"/>
  <c r="H410" i="8" s="1"/>
  <c r="Q410" i="8" s="1"/>
  <c r="J409" i="8"/>
  <c r="S409" i="8" s="1"/>
  <c r="C409" i="8"/>
  <c r="I409" i="8" s="1"/>
  <c r="R409" i="8" s="1"/>
  <c r="A409" i="8"/>
  <c r="H409" i="8" s="1"/>
  <c r="Q409" i="8" s="1"/>
  <c r="J408" i="8"/>
  <c r="S408" i="8" s="1"/>
  <c r="C408" i="8"/>
  <c r="I408" i="8" s="1"/>
  <c r="R408" i="8" s="1"/>
  <c r="A408" i="8"/>
  <c r="H408" i="8" s="1"/>
  <c r="Q408" i="8" s="1"/>
  <c r="J407" i="8"/>
  <c r="S407" i="8" s="1"/>
  <c r="C407" i="8"/>
  <c r="I407" i="8" s="1"/>
  <c r="R407" i="8" s="1"/>
  <c r="A407" i="8"/>
  <c r="H407" i="8" s="1"/>
  <c r="Q407" i="8" s="1"/>
  <c r="J406" i="8"/>
  <c r="S406" i="8" s="1"/>
  <c r="C406" i="8"/>
  <c r="I406" i="8" s="1"/>
  <c r="R406" i="8" s="1"/>
  <c r="A406" i="8"/>
  <c r="H406" i="8" s="1"/>
  <c r="Q406" i="8" s="1"/>
  <c r="J405" i="8"/>
  <c r="S405" i="8" s="1"/>
  <c r="C405" i="8"/>
  <c r="I405" i="8" s="1"/>
  <c r="R405" i="8" s="1"/>
  <c r="A405" i="8"/>
  <c r="H405" i="8" s="1"/>
  <c r="Q405" i="8" s="1"/>
  <c r="J404" i="8"/>
  <c r="S404" i="8" s="1"/>
  <c r="C404" i="8"/>
  <c r="I404" i="8" s="1"/>
  <c r="R404" i="8" s="1"/>
  <c r="A404" i="8"/>
  <c r="H404" i="8" s="1"/>
  <c r="Q404" i="8" s="1"/>
  <c r="J403" i="8"/>
  <c r="S403" i="8" s="1"/>
  <c r="C403" i="8"/>
  <c r="I403" i="8" s="1"/>
  <c r="R403" i="8" s="1"/>
  <c r="A403" i="8"/>
  <c r="H403" i="8" s="1"/>
  <c r="Q403" i="8" s="1"/>
  <c r="J402" i="8"/>
  <c r="S402" i="8" s="1"/>
  <c r="C402" i="8"/>
  <c r="I402" i="8" s="1"/>
  <c r="R402" i="8" s="1"/>
  <c r="A402" i="8"/>
  <c r="H402" i="8" s="1"/>
  <c r="Q402" i="8" s="1"/>
  <c r="J401" i="8"/>
  <c r="S401" i="8" s="1"/>
  <c r="C401" i="8"/>
  <c r="I401" i="8" s="1"/>
  <c r="R401" i="8" s="1"/>
  <c r="A401" i="8"/>
  <c r="H401" i="8" s="1"/>
  <c r="Q401" i="8" s="1"/>
  <c r="J400" i="8"/>
  <c r="S400" i="8" s="1"/>
  <c r="C400" i="8"/>
  <c r="I400" i="8" s="1"/>
  <c r="R400" i="8" s="1"/>
  <c r="A400" i="8"/>
  <c r="H400" i="8" s="1"/>
  <c r="Q400" i="8" s="1"/>
  <c r="J399" i="8"/>
  <c r="S399" i="8" s="1"/>
  <c r="C399" i="8"/>
  <c r="I399" i="8" s="1"/>
  <c r="R399" i="8" s="1"/>
  <c r="A399" i="8"/>
  <c r="H399" i="8" s="1"/>
  <c r="Q399" i="8" s="1"/>
  <c r="J398" i="8"/>
  <c r="S398" i="8" s="1"/>
  <c r="C398" i="8"/>
  <c r="I398" i="8" s="1"/>
  <c r="R398" i="8" s="1"/>
  <c r="A398" i="8"/>
  <c r="H398" i="8" s="1"/>
  <c r="Q398" i="8" s="1"/>
  <c r="J397" i="8"/>
  <c r="S397" i="8" s="1"/>
  <c r="C397" i="8"/>
  <c r="I397" i="8" s="1"/>
  <c r="R397" i="8" s="1"/>
  <c r="A397" i="8"/>
  <c r="H397" i="8" s="1"/>
  <c r="Q397" i="8" s="1"/>
  <c r="J396" i="8"/>
  <c r="S396" i="8" s="1"/>
  <c r="C396" i="8"/>
  <c r="I396" i="8" s="1"/>
  <c r="R396" i="8" s="1"/>
  <c r="A396" i="8"/>
  <c r="H396" i="8" s="1"/>
  <c r="Q396" i="8" s="1"/>
  <c r="J395" i="8"/>
  <c r="S395" i="8" s="1"/>
  <c r="C395" i="8"/>
  <c r="I395" i="8" s="1"/>
  <c r="R395" i="8" s="1"/>
  <c r="A395" i="8"/>
  <c r="H395" i="8" s="1"/>
  <c r="Q395" i="8" s="1"/>
  <c r="J394" i="8"/>
  <c r="S394" i="8" s="1"/>
  <c r="C394" i="8"/>
  <c r="I394" i="8" s="1"/>
  <c r="R394" i="8" s="1"/>
  <c r="A394" i="8"/>
  <c r="H394" i="8" s="1"/>
  <c r="Q394" i="8" s="1"/>
  <c r="J393" i="8"/>
  <c r="S393" i="8" s="1"/>
  <c r="C393" i="8"/>
  <c r="I393" i="8" s="1"/>
  <c r="R393" i="8" s="1"/>
  <c r="A393" i="8"/>
  <c r="H393" i="8" s="1"/>
  <c r="Q393" i="8" s="1"/>
  <c r="J392" i="8"/>
  <c r="S392" i="8" s="1"/>
  <c r="C392" i="8"/>
  <c r="I392" i="8" s="1"/>
  <c r="R392" i="8" s="1"/>
  <c r="A392" i="8"/>
  <c r="H392" i="8" s="1"/>
  <c r="Q392" i="8" s="1"/>
  <c r="J391" i="8"/>
  <c r="S391" i="8" s="1"/>
  <c r="C391" i="8"/>
  <c r="I391" i="8" s="1"/>
  <c r="R391" i="8" s="1"/>
  <c r="A391" i="8"/>
  <c r="H391" i="8" s="1"/>
  <c r="Q391" i="8" s="1"/>
  <c r="J390" i="8"/>
  <c r="S390" i="8" s="1"/>
  <c r="C390" i="8"/>
  <c r="I390" i="8" s="1"/>
  <c r="R390" i="8" s="1"/>
  <c r="A390" i="8"/>
  <c r="H390" i="8" s="1"/>
  <c r="Q390" i="8" s="1"/>
  <c r="J389" i="8"/>
  <c r="S389" i="8" s="1"/>
  <c r="C389" i="8"/>
  <c r="I389" i="8" s="1"/>
  <c r="R389" i="8" s="1"/>
  <c r="A389" i="8"/>
  <c r="H389" i="8" s="1"/>
  <c r="Q389" i="8" s="1"/>
  <c r="J388" i="8"/>
  <c r="S388" i="8" s="1"/>
  <c r="C388" i="8"/>
  <c r="I388" i="8" s="1"/>
  <c r="R388" i="8" s="1"/>
  <c r="A388" i="8"/>
  <c r="H388" i="8" s="1"/>
  <c r="Q388" i="8" s="1"/>
  <c r="J387" i="8"/>
  <c r="S387" i="8" s="1"/>
  <c r="C387" i="8"/>
  <c r="I387" i="8" s="1"/>
  <c r="R387" i="8" s="1"/>
  <c r="A387" i="8"/>
  <c r="H387" i="8" s="1"/>
  <c r="Q387" i="8" s="1"/>
  <c r="J386" i="8"/>
  <c r="S386" i="8" s="1"/>
  <c r="C386" i="8"/>
  <c r="I386" i="8" s="1"/>
  <c r="R386" i="8" s="1"/>
  <c r="A386" i="8"/>
  <c r="H386" i="8" s="1"/>
  <c r="Q386" i="8" s="1"/>
  <c r="J385" i="8"/>
  <c r="S385" i="8" s="1"/>
  <c r="C385" i="8"/>
  <c r="I385" i="8" s="1"/>
  <c r="R385" i="8" s="1"/>
  <c r="A385" i="8"/>
  <c r="H385" i="8" s="1"/>
  <c r="Q385" i="8" s="1"/>
  <c r="J384" i="8"/>
  <c r="S384" i="8" s="1"/>
  <c r="C384" i="8"/>
  <c r="I384" i="8" s="1"/>
  <c r="R384" i="8" s="1"/>
  <c r="A384" i="8"/>
  <c r="H384" i="8" s="1"/>
  <c r="Q384" i="8" s="1"/>
  <c r="J383" i="8"/>
  <c r="S383" i="8" s="1"/>
  <c r="C383" i="8"/>
  <c r="I383" i="8" s="1"/>
  <c r="R383" i="8" s="1"/>
  <c r="A383" i="8"/>
  <c r="H383" i="8" s="1"/>
  <c r="Q383" i="8" s="1"/>
  <c r="J382" i="8"/>
  <c r="S382" i="8" s="1"/>
  <c r="C382" i="8"/>
  <c r="I382" i="8" s="1"/>
  <c r="R382" i="8" s="1"/>
  <c r="A382" i="8"/>
  <c r="H382" i="8" s="1"/>
  <c r="Q382" i="8" s="1"/>
  <c r="J381" i="8"/>
  <c r="S381" i="8" s="1"/>
  <c r="C381" i="8"/>
  <c r="I381" i="8" s="1"/>
  <c r="R381" i="8" s="1"/>
  <c r="A381" i="8"/>
  <c r="H381" i="8" s="1"/>
  <c r="Q381" i="8" s="1"/>
  <c r="J380" i="8"/>
  <c r="S380" i="8" s="1"/>
  <c r="C380" i="8"/>
  <c r="I380" i="8" s="1"/>
  <c r="R380" i="8" s="1"/>
  <c r="A380" i="8"/>
  <c r="H380" i="8" s="1"/>
  <c r="Q380" i="8" s="1"/>
  <c r="J379" i="8"/>
  <c r="S379" i="8" s="1"/>
  <c r="C379" i="8"/>
  <c r="I379" i="8" s="1"/>
  <c r="R379" i="8" s="1"/>
  <c r="A379" i="8"/>
  <c r="H379" i="8" s="1"/>
  <c r="Q379" i="8" s="1"/>
  <c r="J378" i="8"/>
  <c r="S378" i="8" s="1"/>
  <c r="C378" i="8"/>
  <c r="I378" i="8" s="1"/>
  <c r="R378" i="8" s="1"/>
  <c r="A378" i="8"/>
  <c r="H378" i="8" s="1"/>
  <c r="Q378" i="8" s="1"/>
  <c r="J377" i="8"/>
  <c r="S377" i="8" s="1"/>
  <c r="C377" i="8"/>
  <c r="I377" i="8" s="1"/>
  <c r="R377" i="8" s="1"/>
  <c r="A377" i="8"/>
  <c r="H377" i="8" s="1"/>
  <c r="Q377" i="8" s="1"/>
  <c r="J376" i="8"/>
  <c r="S376" i="8" s="1"/>
  <c r="C376" i="8"/>
  <c r="I376" i="8" s="1"/>
  <c r="R376" i="8" s="1"/>
  <c r="A376" i="8"/>
  <c r="H376" i="8" s="1"/>
  <c r="Q376" i="8" s="1"/>
  <c r="J375" i="8"/>
  <c r="S375" i="8" s="1"/>
  <c r="C375" i="8"/>
  <c r="I375" i="8" s="1"/>
  <c r="R375" i="8" s="1"/>
  <c r="A375" i="8"/>
  <c r="H375" i="8" s="1"/>
  <c r="Q375" i="8" s="1"/>
  <c r="J374" i="8"/>
  <c r="S374" i="8" s="1"/>
  <c r="C374" i="8"/>
  <c r="I374" i="8" s="1"/>
  <c r="R374" i="8" s="1"/>
  <c r="A374" i="8"/>
  <c r="H374" i="8" s="1"/>
  <c r="Q374" i="8" s="1"/>
  <c r="J373" i="8"/>
  <c r="S373" i="8" s="1"/>
  <c r="C373" i="8"/>
  <c r="I373" i="8" s="1"/>
  <c r="R373" i="8" s="1"/>
  <c r="A373" i="8"/>
  <c r="H373" i="8" s="1"/>
  <c r="Q373" i="8" s="1"/>
  <c r="J372" i="8"/>
  <c r="S372" i="8" s="1"/>
  <c r="C372" i="8"/>
  <c r="I372" i="8" s="1"/>
  <c r="R372" i="8" s="1"/>
  <c r="A372" i="8"/>
  <c r="H372" i="8" s="1"/>
  <c r="Q372" i="8" s="1"/>
  <c r="J371" i="8"/>
  <c r="S371" i="8" s="1"/>
  <c r="C371" i="8"/>
  <c r="I371" i="8" s="1"/>
  <c r="R371" i="8" s="1"/>
  <c r="A371" i="8"/>
  <c r="H371" i="8" s="1"/>
  <c r="Q371" i="8" s="1"/>
  <c r="J370" i="8"/>
  <c r="S370" i="8" s="1"/>
  <c r="C370" i="8"/>
  <c r="I370" i="8" s="1"/>
  <c r="R370" i="8" s="1"/>
  <c r="A370" i="8"/>
  <c r="H370" i="8" s="1"/>
  <c r="Q370" i="8" s="1"/>
  <c r="J369" i="8"/>
  <c r="S369" i="8" s="1"/>
  <c r="C369" i="8"/>
  <c r="I369" i="8" s="1"/>
  <c r="R369" i="8" s="1"/>
  <c r="A369" i="8"/>
  <c r="H369" i="8" s="1"/>
  <c r="Q369" i="8" s="1"/>
  <c r="J368" i="8"/>
  <c r="S368" i="8" s="1"/>
  <c r="C368" i="8"/>
  <c r="I368" i="8" s="1"/>
  <c r="R368" i="8" s="1"/>
  <c r="A368" i="8"/>
  <c r="H368" i="8" s="1"/>
  <c r="Q368" i="8" s="1"/>
  <c r="J367" i="8"/>
  <c r="S367" i="8" s="1"/>
  <c r="C367" i="8"/>
  <c r="I367" i="8" s="1"/>
  <c r="R367" i="8" s="1"/>
  <c r="A367" i="8"/>
  <c r="H367" i="8" s="1"/>
  <c r="Q367" i="8" s="1"/>
  <c r="J366" i="8"/>
  <c r="S366" i="8" s="1"/>
  <c r="C366" i="8"/>
  <c r="I366" i="8" s="1"/>
  <c r="R366" i="8" s="1"/>
  <c r="A366" i="8"/>
  <c r="H366" i="8" s="1"/>
  <c r="Q366" i="8" s="1"/>
  <c r="J365" i="8"/>
  <c r="S365" i="8" s="1"/>
  <c r="C365" i="8"/>
  <c r="I365" i="8" s="1"/>
  <c r="R365" i="8" s="1"/>
  <c r="A365" i="8"/>
  <c r="H365" i="8" s="1"/>
  <c r="Q365" i="8" s="1"/>
  <c r="J364" i="8"/>
  <c r="S364" i="8" s="1"/>
  <c r="C364" i="8"/>
  <c r="I364" i="8" s="1"/>
  <c r="R364" i="8" s="1"/>
  <c r="A364" i="8"/>
  <c r="H364" i="8" s="1"/>
  <c r="Q364" i="8" s="1"/>
  <c r="J363" i="8"/>
  <c r="S363" i="8" s="1"/>
  <c r="C363" i="8"/>
  <c r="I363" i="8" s="1"/>
  <c r="R363" i="8" s="1"/>
  <c r="A363" i="8"/>
  <c r="H363" i="8" s="1"/>
  <c r="Q363" i="8" s="1"/>
  <c r="J362" i="8"/>
  <c r="S362" i="8" s="1"/>
  <c r="C362" i="8"/>
  <c r="I362" i="8" s="1"/>
  <c r="R362" i="8" s="1"/>
  <c r="A362" i="8"/>
  <c r="H362" i="8" s="1"/>
  <c r="Q362" i="8" s="1"/>
  <c r="J361" i="8"/>
  <c r="S361" i="8" s="1"/>
  <c r="C361" i="8"/>
  <c r="I361" i="8" s="1"/>
  <c r="R361" i="8" s="1"/>
  <c r="A361" i="8"/>
  <c r="H361" i="8" s="1"/>
  <c r="Q361" i="8" s="1"/>
  <c r="J360" i="8"/>
  <c r="S360" i="8" s="1"/>
  <c r="C360" i="8"/>
  <c r="I360" i="8" s="1"/>
  <c r="R360" i="8" s="1"/>
  <c r="A360" i="8"/>
  <c r="H360" i="8" s="1"/>
  <c r="Q360" i="8" s="1"/>
  <c r="J359" i="8"/>
  <c r="S359" i="8" s="1"/>
  <c r="C359" i="8"/>
  <c r="I359" i="8" s="1"/>
  <c r="R359" i="8" s="1"/>
  <c r="A359" i="8"/>
  <c r="H359" i="8" s="1"/>
  <c r="Q359" i="8" s="1"/>
  <c r="J358" i="8"/>
  <c r="S358" i="8" s="1"/>
  <c r="C358" i="8"/>
  <c r="I358" i="8" s="1"/>
  <c r="R358" i="8" s="1"/>
  <c r="A358" i="8"/>
  <c r="H358" i="8" s="1"/>
  <c r="Q358" i="8" s="1"/>
  <c r="J357" i="8"/>
  <c r="S357" i="8" s="1"/>
  <c r="C357" i="8"/>
  <c r="I357" i="8" s="1"/>
  <c r="R357" i="8" s="1"/>
  <c r="A357" i="8"/>
  <c r="H357" i="8" s="1"/>
  <c r="Q357" i="8" s="1"/>
  <c r="J356" i="8"/>
  <c r="S356" i="8" s="1"/>
  <c r="C356" i="8"/>
  <c r="I356" i="8" s="1"/>
  <c r="R356" i="8" s="1"/>
  <c r="A356" i="8"/>
  <c r="H356" i="8" s="1"/>
  <c r="Q356" i="8" s="1"/>
  <c r="J355" i="8"/>
  <c r="S355" i="8" s="1"/>
  <c r="C355" i="8"/>
  <c r="I355" i="8" s="1"/>
  <c r="R355" i="8" s="1"/>
  <c r="A355" i="8"/>
  <c r="H355" i="8" s="1"/>
  <c r="Q355" i="8" s="1"/>
  <c r="J354" i="8"/>
  <c r="S354" i="8" s="1"/>
  <c r="C354" i="8"/>
  <c r="I354" i="8" s="1"/>
  <c r="R354" i="8" s="1"/>
  <c r="A354" i="8"/>
  <c r="H354" i="8" s="1"/>
  <c r="Q354" i="8" s="1"/>
  <c r="J353" i="8"/>
  <c r="S353" i="8" s="1"/>
  <c r="C353" i="8"/>
  <c r="I353" i="8" s="1"/>
  <c r="R353" i="8" s="1"/>
  <c r="A353" i="8"/>
  <c r="H353" i="8" s="1"/>
  <c r="Q353" i="8" s="1"/>
  <c r="J352" i="8"/>
  <c r="S352" i="8" s="1"/>
  <c r="C352" i="8"/>
  <c r="I352" i="8" s="1"/>
  <c r="R352" i="8" s="1"/>
  <c r="A352" i="8"/>
  <c r="H352" i="8" s="1"/>
  <c r="Q352" i="8" s="1"/>
  <c r="J351" i="8"/>
  <c r="S351" i="8" s="1"/>
  <c r="C351" i="8"/>
  <c r="I351" i="8" s="1"/>
  <c r="R351" i="8" s="1"/>
  <c r="A351" i="8"/>
  <c r="H351" i="8" s="1"/>
  <c r="Q351" i="8" s="1"/>
  <c r="J350" i="8"/>
  <c r="S350" i="8" s="1"/>
  <c r="C350" i="8"/>
  <c r="I350" i="8" s="1"/>
  <c r="R350" i="8" s="1"/>
  <c r="A350" i="8"/>
  <c r="H350" i="8" s="1"/>
  <c r="Q350" i="8" s="1"/>
  <c r="J349" i="8"/>
  <c r="S349" i="8" s="1"/>
  <c r="C349" i="8"/>
  <c r="I349" i="8" s="1"/>
  <c r="R349" i="8" s="1"/>
  <c r="A349" i="8"/>
  <c r="H349" i="8" s="1"/>
  <c r="Q349" i="8" s="1"/>
  <c r="J348" i="8"/>
  <c r="S348" i="8" s="1"/>
  <c r="C348" i="8"/>
  <c r="I348" i="8" s="1"/>
  <c r="R348" i="8" s="1"/>
  <c r="A348" i="8"/>
  <c r="H348" i="8" s="1"/>
  <c r="Q348" i="8" s="1"/>
  <c r="J347" i="8"/>
  <c r="S347" i="8" s="1"/>
  <c r="C347" i="8"/>
  <c r="I347" i="8" s="1"/>
  <c r="R347" i="8" s="1"/>
  <c r="A347" i="8"/>
  <c r="H347" i="8" s="1"/>
  <c r="Q347" i="8" s="1"/>
  <c r="J346" i="8"/>
  <c r="S346" i="8" s="1"/>
  <c r="C346" i="8"/>
  <c r="I346" i="8" s="1"/>
  <c r="R346" i="8" s="1"/>
  <c r="A346" i="8"/>
  <c r="H346" i="8" s="1"/>
  <c r="Q346" i="8" s="1"/>
  <c r="J345" i="8"/>
  <c r="S345" i="8" s="1"/>
  <c r="C345" i="8"/>
  <c r="I345" i="8" s="1"/>
  <c r="R345" i="8" s="1"/>
  <c r="A345" i="8"/>
  <c r="H345" i="8" s="1"/>
  <c r="Q345" i="8" s="1"/>
  <c r="J344" i="8"/>
  <c r="S344" i="8" s="1"/>
  <c r="C344" i="8"/>
  <c r="I344" i="8" s="1"/>
  <c r="R344" i="8" s="1"/>
  <c r="A344" i="8"/>
  <c r="H344" i="8" s="1"/>
  <c r="Q344" i="8" s="1"/>
  <c r="J343" i="8"/>
  <c r="S343" i="8" s="1"/>
  <c r="C343" i="8"/>
  <c r="I343" i="8" s="1"/>
  <c r="R343" i="8" s="1"/>
  <c r="A343" i="8"/>
  <c r="H343" i="8" s="1"/>
  <c r="Q343" i="8" s="1"/>
  <c r="J342" i="8"/>
  <c r="S342" i="8" s="1"/>
  <c r="C342" i="8"/>
  <c r="I342" i="8" s="1"/>
  <c r="R342" i="8" s="1"/>
  <c r="A342" i="8"/>
  <c r="H342" i="8" s="1"/>
  <c r="Q342" i="8" s="1"/>
  <c r="J341" i="8"/>
  <c r="S341" i="8" s="1"/>
  <c r="C341" i="8"/>
  <c r="I341" i="8" s="1"/>
  <c r="R341" i="8" s="1"/>
  <c r="A341" i="8"/>
  <c r="H341" i="8" s="1"/>
  <c r="Q341" i="8" s="1"/>
  <c r="J340" i="8"/>
  <c r="S340" i="8" s="1"/>
  <c r="C340" i="8"/>
  <c r="I340" i="8" s="1"/>
  <c r="R340" i="8" s="1"/>
  <c r="A340" i="8"/>
  <c r="H340" i="8" s="1"/>
  <c r="Q340" i="8" s="1"/>
  <c r="J339" i="8"/>
  <c r="S339" i="8" s="1"/>
  <c r="C339" i="8"/>
  <c r="I339" i="8" s="1"/>
  <c r="R339" i="8" s="1"/>
  <c r="A339" i="8"/>
  <c r="H339" i="8" s="1"/>
  <c r="Q339" i="8" s="1"/>
  <c r="J338" i="8"/>
  <c r="S338" i="8" s="1"/>
  <c r="C338" i="8"/>
  <c r="I338" i="8" s="1"/>
  <c r="R338" i="8" s="1"/>
  <c r="A338" i="8"/>
  <c r="H338" i="8" s="1"/>
  <c r="Q338" i="8" s="1"/>
  <c r="J337" i="8"/>
  <c r="S337" i="8" s="1"/>
  <c r="C337" i="8"/>
  <c r="I337" i="8" s="1"/>
  <c r="R337" i="8" s="1"/>
  <c r="A337" i="8"/>
  <c r="H337" i="8" s="1"/>
  <c r="Q337" i="8" s="1"/>
  <c r="J336" i="8"/>
  <c r="S336" i="8" s="1"/>
  <c r="C336" i="8"/>
  <c r="I336" i="8" s="1"/>
  <c r="R336" i="8" s="1"/>
  <c r="A336" i="8"/>
  <c r="H336" i="8" s="1"/>
  <c r="Q336" i="8" s="1"/>
  <c r="J335" i="8"/>
  <c r="S335" i="8" s="1"/>
  <c r="C335" i="8"/>
  <c r="I335" i="8" s="1"/>
  <c r="R335" i="8" s="1"/>
  <c r="A335" i="8"/>
  <c r="H335" i="8" s="1"/>
  <c r="Q335" i="8" s="1"/>
  <c r="J334" i="8"/>
  <c r="S334" i="8" s="1"/>
  <c r="C334" i="8"/>
  <c r="I334" i="8" s="1"/>
  <c r="R334" i="8" s="1"/>
  <c r="A334" i="8"/>
  <c r="H334" i="8" s="1"/>
  <c r="Q334" i="8" s="1"/>
  <c r="J333" i="8"/>
  <c r="S333" i="8" s="1"/>
  <c r="C333" i="8"/>
  <c r="I333" i="8" s="1"/>
  <c r="R333" i="8" s="1"/>
  <c r="A333" i="8"/>
  <c r="H333" i="8" s="1"/>
  <c r="Q333" i="8" s="1"/>
  <c r="J332" i="8"/>
  <c r="S332" i="8" s="1"/>
  <c r="C332" i="8"/>
  <c r="I332" i="8" s="1"/>
  <c r="R332" i="8" s="1"/>
  <c r="A332" i="8"/>
  <c r="H332" i="8" s="1"/>
  <c r="Q332" i="8" s="1"/>
  <c r="J331" i="8"/>
  <c r="S331" i="8" s="1"/>
  <c r="C331" i="8"/>
  <c r="I331" i="8" s="1"/>
  <c r="R331" i="8" s="1"/>
  <c r="A331" i="8"/>
  <c r="H331" i="8" s="1"/>
  <c r="Q331" i="8" s="1"/>
  <c r="J330" i="8"/>
  <c r="S330" i="8" s="1"/>
  <c r="C330" i="8"/>
  <c r="I330" i="8" s="1"/>
  <c r="R330" i="8" s="1"/>
  <c r="A330" i="8"/>
  <c r="H330" i="8" s="1"/>
  <c r="Q330" i="8" s="1"/>
  <c r="J329" i="8"/>
  <c r="S329" i="8" s="1"/>
  <c r="C329" i="8"/>
  <c r="I329" i="8" s="1"/>
  <c r="R329" i="8" s="1"/>
  <c r="A329" i="8"/>
  <c r="H329" i="8" s="1"/>
  <c r="Q329" i="8" s="1"/>
  <c r="J328" i="8"/>
  <c r="S328" i="8" s="1"/>
  <c r="C328" i="8"/>
  <c r="I328" i="8" s="1"/>
  <c r="R328" i="8" s="1"/>
  <c r="A328" i="8"/>
  <c r="H328" i="8" s="1"/>
  <c r="Q328" i="8" s="1"/>
  <c r="J327" i="8"/>
  <c r="S327" i="8" s="1"/>
  <c r="C327" i="8"/>
  <c r="I327" i="8" s="1"/>
  <c r="R327" i="8" s="1"/>
  <c r="A327" i="8"/>
  <c r="H327" i="8" s="1"/>
  <c r="Q327" i="8" s="1"/>
  <c r="J326" i="8"/>
  <c r="S326" i="8" s="1"/>
  <c r="C326" i="8"/>
  <c r="I326" i="8" s="1"/>
  <c r="R326" i="8" s="1"/>
  <c r="A326" i="8"/>
  <c r="H326" i="8" s="1"/>
  <c r="Q326" i="8" s="1"/>
  <c r="J325" i="8"/>
  <c r="S325" i="8" s="1"/>
  <c r="C325" i="8"/>
  <c r="I325" i="8" s="1"/>
  <c r="R325" i="8" s="1"/>
  <c r="A325" i="8"/>
  <c r="H325" i="8" s="1"/>
  <c r="Q325" i="8" s="1"/>
  <c r="J324" i="8"/>
  <c r="S324" i="8" s="1"/>
  <c r="C324" i="8"/>
  <c r="I324" i="8" s="1"/>
  <c r="R324" i="8" s="1"/>
  <c r="A324" i="8"/>
  <c r="H324" i="8" s="1"/>
  <c r="Q324" i="8" s="1"/>
  <c r="J323" i="8"/>
  <c r="S323" i="8" s="1"/>
  <c r="C323" i="8"/>
  <c r="I323" i="8" s="1"/>
  <c r="R323" i="8" s="1"/>
  <c r="A323" i="8"/>
  <c r="H323" i="8" s="1"/>
  <c r="Q323" i="8" s="1"/>
  <c r="J322" i="8"/>
  <c r="S322" i="8" s="1"/>
  <c r="C322" i="8"/>
  <c r="I322" i="8" s="1"/>
  <c r="R322" i="8" s="1"/>
  <c r="A322" i="8"/>
  <c r="H322" i="8" s="1"/>
  <c r="Q322" i="8" s="1"/>
  <c r="J321" i="8"/>
  <c r="S321" i="8" s="1"/>
  <c r="C321" i="8"/>
  <c r="I321" i="8" s="1"/>
  <c r="R321" i="8" s="1"/>
  <c r="A321" i="8"/>
  <c r="H321" i="8" s="1"/>
  <c r="Q321" i="8" s="1"/>
  <c r="J320" i="8"/>
  <c r="S320" i="8" s="1"/>
  <c r="C320" i="8"/>
  <c r="I320" i="8" s="1"/>
  <c r="R320" i="8" s="1"/>
  <c r="A320" i="8"/>
  <c r="H320" i="8" s="1"/>
  <c r="Q320" i="8" s="1"/>
  <c r="J319" i="8"/>
  <c r="S319" i="8" s="1"/>
  <c r="C319" i="8"/>
  <c r="I319" i="8" s="1"/>
  <c r="R319" i="8" s="1"/>
  <c r="A319" i="8"/>
  <c r="H319" i="8" s="1"/>
  <c r="Q319" i="8" s="1"/>
  <c r="J318" i="8"/>
  <c r="S318" i="8" s="1"/>
  <c r="C318" i="8"/>
  <c r="I318" i="8" s="1"/>
  <c r="R318" i="8" s="1"/>
  <c r="A318" i="8"/>
  <c r="H318" i="8" s="1"/>
  <c r="Q318" i="8" s="1"/>
  <c r="J317" i="8"/>
  <c r="S317" i="8" s="1"/>
  <c r="C317" i="8"/>
  <c r="I317" i="8" s="1"/>
  <c r="R317" i="8" s="1"/>
  <c r="A317" i="8"/>
  <c r="H317" i="8" s="1"/>
  <c r="Q317" i="8" s="1"/>
  <c r="J316" i="8"/>
  <c r="S316" i="8" s="1"/>
  <c r="C316" i="8"/>
  <c r="I316" i="8" s="1"/>
  <c r="R316" i="8" s="1"/>
  <c r="A316" i="8"/>
  <c r="H316" i="8" s="1"/>
  <c r="Q316" i="8" s="1"/>
  <c r="J315" i="8"/>
  <c r="S315" i="8" s="1"/>
  <c r="C315" i="8"/>
  <c r="I315" i="8" s="1"/>
  <c r="R315" i="8" s="1"/>
  <c r="A315" i="8"/>
  <c r="H315" i="8" s="1"/>
  <c r="Q315" i="8" s="1"/>
  <c r="J314" i="8"/>
  <c r="S314" i="8" s="1"/>
  <c r="C314" i="8"/>
  <c r="I314" i="8" s="1"/>
  <c r="R314" i="8" s="1"/>
  <c r="A314" i="8"/>
  <c r="H314" i="8" s="1"/>
  <c r="Q314" i="8" s="1"/>
  <c r="J313" i="8"/>
  <c r="S313" i="8" s="1"/>
  <c r="C313" i="8"/>
  <c r="I313" i="8" s="1"/>
  <c r="R313" i="8" s="1"/>
  <c r="A313" i="8"/>
  <c r="H313" i="8" s="1"/>
  <c r="Q313" i="8" s="1"/>
  <c r="J312" i="8"/>
  <c r="S312" i="8" s="1"/>
  <c r="C312" i="8"/>
  <c r="I312" i="8" s="1"/>
  <c r="R312" i="8" s="1"/>
  <c r="A312" i="8"/>
  <c r="H312" i="8" s="1"/>
  <c r="Q312" i="8" s="1"/>
  <c r="J311" i="8"/>
  <c r="S311" i="8" s="1"/>
  <c r="C311" i="8"/>
  <c r="I311" i="8" s="1"/>
  <c r="R311" i="8" s="1"/>
  <c r="A311" i="8"/>
  <c r="H311" i="8" s="1"/>
  <c r="Q311" i="8" s="1"/>
  <c r="J310" i="8"/>
  <c r="S310" i="8" s="1"/>
  <c r="C310" i="8"/>
  <c r="I310" i="8" s="1"/>
  <c r="R310" i="8" s="1"/>
  <c r="A310" i="8"/>
  <c r="H310" i="8" s="1"/>
  <c r="Q310" i="8" s="1"/>
  <c r="J309" i="8"/>
  <c r="S309" i="8" s="1"/>
  <c r="C309" i="8"/>
  <c r="I309" i="8" s="1"/>
  <c r="R309" i="8" s="1"/>
  <c r="A309" i="8"/>
  <c r="H309" i="8" s="1"/>
  <c r="Q309" i="8" s="1"/>
  <c r="J308" i="8"/>
  <c r="S308" i="8" s="1"/>
  <c r="C308" i="8"/>
  <c r="I308" i="8" s="1"/>
  <c r="R308" i="8" s="1"/>
  <c r="A308" i="8"/>
  <c r="H308" i="8" s="1"/>
  <c r="Q308" i="8" s="1"/>
  <c r="J307" i="8"/>
  <c r="S307" i="8" s="1"/>
  <c r="C307" i="8"/>
  <c r="I307" i="8" s="1"/>
  <c r="R307" i="8" s="1"/>
  <c r="A307" i="8"/>
  <c r="H307" i="8" s="1"/>
  <c r="Q307" i="8" s="1"/>
  <c r="J306" i="8"/>
  <c r="S306" i="8" s="1"/>
  <c r="C306" i="8"/>
  <c r="I306" i="8" s="1"/>
  <c r="R306" i="8" s="1"/>
  <c r="A306" i="8"/>
  <c r="H306" i="8" s="1"/>
  <c r="Q306" i="8" s="1"/>
  <c r="J305" i="8"/>
  <c r="S305" i="8" s="1"/>
  <c r="C305" i="8"/>
  <c r="I305" i="8" s="1"/>
  <c r="R305" i="8" s="1"/>
  <c r="A305" i="8"/>
  <c r="H305" i="8" s="1"/>
  <c r="Q305" i="8" s="1"/>
  <c r="J304" i="8"/>
  <c r="S304" i="8" s="1"/>
  <c r="C304" i="8"/>
  <c r="I304" i="8" s="1"/>
  <c r="R304" i="8" s="1"/>
  <c r="A304" i="8"/>
  <c r="H304" i="8" s="1"/>
  <c r="Q304" i="8" s="1"/>
  <c r="J303" i="8"/>
  <c r="S303" i="8" s="1"/>
  <c r="C303" i="8"/>
  <c r="I303" i="8" s="1"/>
  <c r="R303" i="8" s="1"/>
  <c r="A303" i="8"/>
  <c r="H303" i="8" s="1"/>
  <c r="Q303" i="8" s="1"/>
  <c r="J302" i="8"/>
  <c r="S302" i="8" s="1"/>
  <c r="C302" i="8"/>
  <c r="I302" i="8" s="1"/>
  <c r="R302" i="8" s="1"/>
  <c r="A302" i="8"/>
  <c r="H302" i="8" s="1"/>
  <c r="Q302" i="8" s="1"/>
  <c r="J301" i="8"/>
  <c r="S301" i="8" s="1"/>
  <c r="C301" i="8"/>
  <c r="I301" i="8" s="1"/>
  <c r="R301" i="8" s="1"/>
  <c r="A301" i="8"/>
  <c r="H301" i="8" s="1"/>
  <c r="Q301" i="8" s="1"/>
  <c r="J300" i="8"/>
  <c r="S300" i="8" s="1"/>
  <c r="C300" i="8"/>
  <c r="I300" i="8" s="1"/>
  <c r="R300" i="8" s="1"/>
  <c r="A300" i="8"/>
  <c r="H300" i="8" s="1"/>
  <c r="Q300" i="8" s="1"/>
  <c r="J299" i="8"/>
  <c r="S299" i="8" s="1"/>
  <c r="C299" i="8"/>
  <c r="I299" i="8" s="1"/>
  <c r="R299" i="8" s="1"/>
  <c r="A299" i="8"/>
  <c r="H299" i="8" s="1"/>
  <c r="Q299" i="8" s="1"/>
  <c r="J298" i="8"/>
  <c r="S298" i="8" s="1"/>
  <c r="C298" i="8"/>
  <c r="I298" i="8" s="1"/>
  <c r="R298" i="8" s="1"/>
  <c r="A298" i="8"/>
  <c r="H298" i="8" s="1"/>
  <c r="Q298" i="8" s="1"/>
  <c r="J297" i="8"/>
  <c r="S297" i="8" s="1"/>
  <c r="C297" i="8"/>
  <c r="I297" i="8" s="1"/>
  <c r="R297" i="8" s="1"/>
  <c r="A297" i="8"/>
  <c r="H297" i="8" s="1"/>
  <c r="Q297" i="8" s="1"/>
  <c r="J296" i="8"/>
  <c r="S296" i="8" s="1"/>
  <c r="C296" i="8"/>
  <c r="I296" i="8" s="1"/>
  <c r="R296" i="8" s="1"/>
  <c r="A296" i="8"/>
  <c r="H296" i="8" s="1"/>
  <c r="Q296" i="8" s="1"/>
  <c r="J295" i="8"/>
  <c r="S295" i="8" s="1"/>
  <c r="C295" i="8"/>
  <c r="I295" i="8" s="1"/>
  <c r="R295" i="8" s="1"/>
  <c r="A295" i="8"/>
  <c r="H295" i="8" s="1"/>
  <c r="Q295" i="8" s="1"/>
  <c r="J294" i="8"/>
  <c r="S294" i="8" s="1"/>
  <c r="C294" i="8"/>
  <c r="I294" i="8" s="1"/>
  <c r="R294" i="8" s="1"/>
  <c r="A294" i="8"/>
  <c r="H294" i="8" s="1"/>
  <c r="Q294" i="8" s="1"/>
  <c r="J293" i="8"/>
  <c r="S293" i="8" s="1"/>
  <c r="C293" i="8"/>
  <c r="I293" i="8" s="1"/>
  <c r="R293" i="8" s="1"/>
  <c r="A293" i="8"/>
  <c r="H293" i="8" s="1"/>
  <c r="Q293" i="8" s="1"/>
  <c r="J292" i="8"/>
  <c r="S292" i="8" s="1"/>
  <c r="C292" i="8"/>
  <c r="I292" i="8" s="1"/>
  <c r="R292" i="8" s="1"/>
  <c r="A292" i="8"/>
  <c r="H292" i="8" s="1"/>
  <c r="Q292" i="8" s="1"/>
  <c r="J291" i="8"/>
  <c r="S291" i="8" s="1"/>
  <c r="C291" i="8"/>
  <c r="I291" i="8" s="1"/>
  <c r="R291" i="8" s="1"/>
  <c r="A291" i="8"/>
  <c r="H291" i="8" s="1"/>
  <c r="Q291" i="8" s="1"/>
  <c r="J290" i="8"/>
  <c r="S290" i="8" s="1"/>
  <c r="C290" i="8"/>
  <c r="I290" i="8" s="1"/>
  <c r="R290" i="8" s="1"/>
  <c r="A290" i="8"/>
  <c r="H290" i="8" s="1"/>
  <c r="Q290" i="8" s="1"/>
  <c r="J289" i="8"/>
  <c r="S289" i="8" s="1"/>
  <c r="C289" i="8"/>
  <c r="I289" i="8" s="1"/>
  <c r="R289" i="8" s="1"/>
  <c r="A289" i="8"/>
  <c r="H289" i="8" s="1"/>
  <c r="Q289" i="8" s="1"/>
  <c r="J288" i="8"/>
  <c r="S288" i="8" s="1"/>
  <c r="C288" i="8"/>
  <c r="I288" i="8" s="1"/>
  <c r="R288" i="8" s="1"/>
  <c r="A288" i="8"/>
  <c r="H288" i="8" s="1"/>
  <c r="Q288" i="8" s="1"/>
  <c r="J287" i="8"/>
  <c r="S287" i="8" s="1"/>
  <c r="C287" i="8"/>
  <c r="I287" i="8" s="1"/>
  <c r="R287" i="8" s="1"/>
  <c r="A287" i="8"/>
  <c r="H287" i="8" s="1"/>
  <c r="Q287" i="8" s="1"/>
  <c r="J286" i="8"/>
  <c r="S286" i="8" s="1"/>
  <c r="C286" i="8"/>
  <c r="I286" i="8" s="1"/>
  <c r="R286" i="8" s="1"/>
  <c r="A286" i="8"/>
  <c r="H286" i="8" s="1"/>
  <c r="Q286" i="8" s="1"/>
  <c r="J285" i="8"/>
  <c r="S285" i="8" s="1"/>
  <c r="C285" i="8"/>
  <c r="I285" i="8" s="1"/>
  <c r="R285" i="8" s="1"/>
  <c r="A285" i="8"/>
  <c r="H285" i="8" s="1"/>
  <c r="Q285" i="8" s="1"/>
  <c r="J284" i="8"/>
  <c r="S284" i="8" s="1"/>
  <c r="C284" i="8"/>
  <c r="I284" i="8" s="1"/>
  <c r="R284" i="8" s="1"/>
  <c r="A284" i="8"/>
  <c r="H284" i="8" s="1"/>
  <c r="Q284" i="8" s="1"/>
  <c r="J283" i="8"/>
  <c r="S283" i="8" s="1"/>
  <c r="C283" i="8"/>
  <c r="I283" i="8" s="1"/>
  <c r="R283" i="8" s="1"/>
  <c r="A283" i="8"/>
  <c r="H283" i="8" s="1"/>
  <c r="Q283" i="8" s="1"/>
  <c r="J282" i="8"/>
  <c r="S282" i="8" s="1"/>
  <c r="C282" i="8"/>
  <c r="I282" i="8" s="1"/>
  <c r="R282" i="8" s="1"/>
  <c r="A282" i="8"/>
  <c r="H282" i="8" s="1"/>
  <c r="Q282" i="8" s="1"/>
  <c r="J281" i="8"/>
  <c r="S281" i="8" s="1"/>
  <c r="C281" i="8"/>
  <c r="I281" i="8" s="1"/>
  <c r="R281" i="8" s="1"/>
  <c r="A281" i="8"/>
  <c r="H281" i="8" s="1"/>
  <c r="Q281" i="8" s="1"/>
  <c r="J280" i="8"/>
  <c r="S280" i="8" s="1"/>
  <c r="C280" i="8"/>
  <c r="I280" i="8" s="1"/>
  <c r="R280" i="8" s="1"/>
  <c r="A280" i="8"/>
  <c r="H280" i="8" s="1"/>
  <c r="Q280" i="8" s="1"/>
  <c r="J279" i="8"/>
  <c r="S279" i="8" s="1"/>
  <c r="C279" i="8"/>
  <c r="I279" i="8" s="1"/>
  <c r="R279" i="8" s="1"/>
  <c r="A279" i="8"/>
  <c r="H279" i="8" s="1"/>
  <c r="Q279" i="8" s="1"/>
  <c r="J278" i="8"/>
  <c r="S278" i="8" s="1"/>
  <c r="C278" i="8"/>
  <c r="I278" i="8" s="1"/>
  <c r="R278" i="8" s="1"/>
  <c r="A278" i="8"/>
  <c r="H278" i="8" s="1"/>
  <c r="Q278" i="8" s="1"/>
  <c r="J277" i="8"/>
  <c r="S277" i="8" s="1"/>
  <c r="C277" i="8"/>
  <c r="I277" i="8" s="1"/>
  <c r="R277" i="8" s="1"/>
  <c r="A277" i="8"/>
  <c r="H277" i="8" s="1"/>
  <c r="Q277" i="8" s="1"/>
  <c r="J276" i="8"/>
  <c r="S276" i="8" s="1"/>
  <c r="C276" i="8"/>
  <c r="I276" i="8" s="1"/>
  <c r="R276" i="8" s="1"/>
  <c r="A276" i="8"/>
  <c r="H276" i="8" s="1"/>
  <c r="Q276" i="8" s="1"/>
  <c r="J275" i="8"/>
  <c r="S275" i="8" s="1"/>
  <c r="C275" i="8"/>
  <c r="I275" i="8" s="1"/>
  <c r="R275" i="8" s="1"/>
  <c r="A275" i="8"/>
  <c r="H275" i="8" s="1"/>
  <c r="Q275" i="8" s="1"/>
  <c r="J274" i="8"/>
  <c r="S274" i="8" s="1"/>
  <c r="C274" i="8"/>
  <c r="I274" i="8" s="1"/>
  <c r="R274" i="8" s="1"/>
  <c r="A274" i="8"/>
  <c r="H274" i="8" s="1"/>
  <c r="Q274" i="8" s="1"/>
  <c r="J273" i="8"/>
  <c r="S273" i="8" s="1"/>
  <c r="C273" i="8"/>
  <c r="I273" i="8" s="1"/>
  <c r="R273" i="8" s="1"/>
  <c r="A273" i="8"/>
  <c r="H273" i="8" s="1"/>
  <c r="Q273" i="8" s="1"/>
  <c r="J272" i="8"/>
  <c r="S272" i="8" s="1"/>
  <c r="C272" i="8"/>
  <c r="I272" i="8" s="1"/>
  <c r="R272" i="8" s="1"/>
  <c r="A272" i="8"/>
  <c r="H272" i="8" s="1"/>
  <c r="Q272" i="8" s="1"/>
  <c r="J271" i="8"/>
  <c r="S271" i="8" s="1"/>
  <c r="C271" i="8"/>
  <c r="I271" i="8" s="1"/>
  <c r="R271" i="8" s="1"/>
  <c r="A271" i="8"/>
  <c r="H271" i="8" s="1"/>
  <c r="Q271" i="8" s="1"/>
  <c r="J270" i="8"/>
  <c r="S270" i="8" s="1"/>
  <c r="C270" i="8"/>
  <c r="I270" i="8" s="1"/>
  <c r="R270" i="8" s="1"/>
  <c r="A270" i="8"/>
  <c r="H270" i="8" s="1"/>
  <c r="Q270" i="8" s="1"/>
  <c r="J269" i="8"/>
  <c r="S269" i="8" s="1"/>
  <c r="C269" i="8"/>
  <c r="I269" i="8" s="1"/>
  <c r="R269" i="8" s="1"/>
  <c r="A269" i="8"/>
  <c r="H269" i="8" s="1"/>
  <c r="Q269" i="8" s="1"/>
  <c r="J268" i="8"/>
  <c r="S268" i="8" s="1"/>
  <c r="C268" i="8"/>
  <c r="I268" i="8" s="1"/>
  <c r="R268" i="8" s="1"/>
  <c r="A268" i="8"/>
  <c r="H268" i="8" s="1"/>
  <c r="Q268" i="8" s="1"/>
  <c r="J267" i="8"/>
  <c r="S267" i="8" s="1"/>
  <c r="C267" i="8"/>
  <c r="I267" i="8" s="1"/>
  <c r="R267" i="8" s="1"/>
  <c r="A267" i="8"/>
  <c r="H267" i="8" s="1"/>
  <c r="Q267" i="8" s="1"/>
  <c r="J266" i="8"/>
  <c r="S266" i="8" s="1"/>
  <c r="C266" i="8"/>
  <c r="I266" i="8" s="1"/>
  <c r="R266" i="8" s="1"/>
  <c r="A266" i="8"/>
  <c r="H266" i="8" s="1"/>
  <c r="Q266" i="8" s="1"/>
  <c r="J265" i="8"/>
  <c r="S265" i="8" s="1"/>
  <c r="C265" i="8"/>
  <c r="I265" i="8" s="1"/>
  <c r="R265" i="8" s="1"/>
  <c r="A265" i="8"/>
  <c r="H265" i="8" s="1"/>
  <c r="Q265" i="8" s="1"/>
  <c r="J264" i="8"/>
  <c r="S264" i="8" s="1"/>
  <c r="C264" i="8"/>
  <c r="I264" i="8" s="1"/>
  <c r="R264" i="8" s="1"/>
  <c r="A264" i="8"/>
  <c r="H264" i="8" s="1"/>
  <c r="Q264" i="8" s="1"/>
  <c r="J263" i="8"/>
  <c r="S263" i="8" s="1"/>
  <c r="C263" i="8"/>
  <c r="I263" i="8" s="1"/>
  <c r="R263" i="8" s="1"/>
  <c r="A263" i="8"/>
  <c r="H263" i="8" s="1"/>
  <c r="Q263" i="8" s="1"/>
  <c r="J262" i="8"/>
  <c r="S262" i="8" s="1"/>
  <c r="C262" i="8"/>
  <c r="I262" i="8" s="1"/>
  <c r="R262" i="8" s="1"/>
  <c r="A262" i="8"/>
  <c r="H262" i="8" s="1"/>
  <c r="Q262" i="8" s="1"/>
  <c r="J261" i="8"/>
  <c r="S261" i="8" s="1"/>
  <c r="C261" i="8"/>
  <c r="I261" i="8" s="1"/>
  <c r="R261" i="8" s="1"/>
  <c r="A261" i="8"/>
  <c r="H261" i="8" s="1"/>
  <c r="Q261" i="8" s="1"/>
  <c r="J260" i="8"/>
  <c r="S260" i="8" s="1"/>
  <c r="C260" i="8"/>
  <c r="I260" i="8" s="1"/>
  <c r="R260" i="8" s="1"/>
  <c r="A260" i="8"/>
  <c r="H260" i="8" s="1"/>
  <c r="Q260" i="8" s="1"/>
  <c r="J259" i="8"/>
  <c r="S259" i="8" s="1"/>
  <c r="C259" i="8"/>
  <c r="I259" i="8" s="1"/>
  <c r="R259" i="8" s="1"/>
  <c r="A259" i="8"/>
  <c r="H259" i="8" s="1"/>
  <c r="Q259" i="8" s="1"/>
  <c r="J258" i="8"/>
  <c r="S258" i="8" s="1"/>
  <c r="C258" i="8"/>
  <c r="I258" i="8" s="1"/>
  <c r="R258" i="8" s="1"/>
  <c r="A258" i="8"/>
  <c r="H258" i="8" s="1"/>
  <c r="Q258" i="8" s="1"/>
  <c r="J257" i="8"/>
  <c r="S257" i="8" s="1"/>
  <c r="C257" i="8"/>
  <c r="I257" i="8" s="1"/>
  <c r="R257" i="8" s="1"/>
  <c r="A257" i="8"/>
  <c r="H257" i="8" s="1"/>
  <c r="Q257" i="8" s="1"/>
  <c r="J256" i="8"/>
  <c r="S256" i="8" s="1"/>
  <c r="C256" i="8"/>
  <c r="I256" i="8" s="1"/>
  <c r="R256" i="8" s="1"/>
  <c r="A256" i="8"/>
  <c r="H256" i="8" s="1"/>
  <c r="Q256" i="8" s="1"/>
  <c r="J255" i="8"/>
  <c r="S255" i="8" s="1"/>
  <c r="C255" i="8"/>
  <c r="I255" i="8" s="1"/>
  <c r="R255" i="8" s="1"/>
  <c r="A255" i="8"/>
  <c r="H255" i="8" s="1"/>
  <c r="Q255" i="8" s="1"/>
  <c r="J254" i="8"/>
  <c r="S254" i="8" s="1"/>
  <c r="C254" i="8"/>
  <c r="I254" i="8" s="1"/>
  <c r="R254" i="8" s="1"/>
  <c r="A254" i="8"/>
  <c r="H254" i="8" s="1"/>
  <c r="Q254" i="8" s="1"/>
  <c r="J253" i="8"/>
  <c r="S253" i="8" s="1"/>
  <c r="C253" i="8"/>
  <c r="I253" i="8" s="1"/>
  <c r="R253" i="8" s="1"/>
  <c r="A253" i="8"/>
  <c r="H253" i="8" s="1"/>
  <c r="Q253" i="8" s="1"/>
  <c r="J252" i="8"/>
  <c r="S252" i="8" s="1"/>
  <c r="C252" i="8"/>
  <c r="I252" i="8" s="1"/>
  <c r="R252" i="8" s="1"/>
  <c r="A252" i="8"/>
  <c r="H252" i="8" s="1"/>
  <c r="Q252" i="8" s="1"/>
  <c r="J251" i="8"/>
  <c r="S251" i="8" s="1"/>
  <c r="C251" i="8"/>
  <c r="I251" i="8" s="1"/>
  <c r="R251" i="8" s="1"/>
  <c r="A251" i="8"/>
  <c r="H251" i="8" s="1"/>
  <c r="Q251" i="8" s="1"/>
  <c r="J250" i="8"/>
  <c r="S250" i="8" s="1"/>
  <c r="C250" i="8"/>
  <c r="I250" i="8" s="1"/>
  <c r="R250" i="8" s="1"/>
  <c r="A250" i="8"/>
  <c r="H250" i="8" s="1"/>
  <c r="Q250" i="8" s="1"/>
  <c r="J249" i="8"/>
  <c r="S249" i="8" s="1"/>
  <c r="C249" i="8"/>
  <c r="I249" i="8" s="1"/>
  <c r="R249" i="8" s="1"/>
  <c r="A249" i="8"/>
  <c r="H249" i="8" s="1"/>
  <c r="Q249" i="8" s="1"/>
  <c r="J248" i="8"/>
  <c r="S248" i="8" s="1"/>
  <c r="C248" i="8"/>
  <c r="I248" i="8" s="1"/>
  <c r="R248" i="8" s="1"/>
  <c r="A248" i="8"/>
  <c r="H248" i="8" s="1"/>
  <c r="Q248" i="8" s="1"/>
  <c r="J247" i="8"/>
  <c r="S247" i="8" s="1"/>
  <c r="C247" i="8"/>
  <c r="I247" i="8" s="1"/>
  <c r="R247" i="8" s="1"/>
  <c r="A247" i="8"/>
  <c r="H247" i="8" s="1"/>
  <c r="Q247" i="8" s="1"/>
  <c r="J246" i="8"/>
  <c r="S246" i="8" s="1"/>
  <c r="C246" i="8"/>
  <c r="I246" i="8" s="1"/>
  <c r="R246" i="8" s="1"/>
  <c r="A246" i="8"/>
  <c r="H246" i="8" s="1"/>
  <c r="Q246" i="8" s="1"/>
  <c r="J245" i="8"/>
  <c r="S245" i="8" s="1"/>
  <c r="C245" i="8"/>
  <c r="I245" i="8" s="1"/>
  <c r="R245" i="8" s="1"/>
  <c r="A245" i="8"/>
  <c r="H245" i="8" s="1"/>
  <c r="Q245" i="8" s="1"/>
  <c r="J244" i="8"/>
  <c r="S244" i="8" s="1"/>
  <c r="C244" i="8"/>
  <c r="I244" i="8" s="1"/>
  <c r="R244" i="8" s="1"/>
  <c r="A244" i="8"/>
  <c r="H244" i="8" s="1"/>
  <c r="Q244" i="8" s="1"/>
  <c r="J243" i="8"/>
  <c r="S243" i="8" s="1"/>
  <c r="C243" i="8"/>
  <c r="I243" i="8" s="1"/>
  <c r="R243" i="8" s="1"/>
  <c r="A243" i="8"/>
  <c r="H243" i="8" s="1"/>
  <c r="Q243" i="8" s="1"/>
  <c r="J242" i="8"/>
  <c r="S242" i="8" s="1"/>
  <c r="C242" i="8"/>
  <c r="I242" i="8" s="1"/>
  <c r="R242" i="8" s="1"/>
  <c r="A242" i="8"/>
  <c r="H242" i="8" s="1"/>
  <c r="Q242" i="8" s="1"/>
  <c r="J241" i="8"/>
  <c r="S241" i="8" s="1"/>
  <c r="C241" i="8"/>
  <c r="I241" i="8" s="1"/>
  <c r="R241" i="8" s="1"/>
  <c r="A241" i="8"/>
  <c r="H241" i="8" s="1"/>
  <c r="Q241" i="8" s="1"/>
  <c r="J240" i="8"/>
  <c r="S240" i="8" s="1"/>
  <c r="C240" i="8"/>
  <c r="I240" i="8" s="1"/>
  <c r="R240" i="8" s="1"/>
  <c r="A240" i="8"/>
  <c r="H240" i="8" s="1"/>
  <c r="Q240" i="8" s="1"/>
  <c r="J239" i="8"/>
  <c r="S239" i="8" s="1"/>
  <c r="C239" i="8"/>
  <c r="I239" i="8" s="1"/>
  <c r="R239" i="8" s="1"/>
  <c r="A239" i="8"/>
  <c r="H239" i="8" s="1"/>
  <c r="Q239" i="8" s="1"/>
  <c r="J238" i="8"/>
  <c r="S238" i="8" s="1"/>
  <c r="C238" i="8"/>
  <c r="I238" i="8" s="1"/>
  <c r="R238" i="8" s="1"/>
  <c r="A238" i="8"/>
  <c r="H238" i="8" s="1"/>
  <c r="Q238" i="8" s="1"/>
  <c r="J237" i="8"/>
  <c r="S237" i="8" s="1"/>
  <c r="C237" i="8"/>
  <c r="I237" i="8" s="1"/>
  <c r="R237" i="8" s="1"/>
  <c r="A237" i="8"/>
  <c r="H237" i="8" s="1"/>
  <c r="Q237" i="8" s="1"/>
  <c r="J236" i="8"/>
  <c r="S236" i="8" s="1"/>
  <c r="C236" i="8"/>
  <c r="I236" i="8" s="1"/>
  <c r="R236" i="8" s="1"/>
  <c r="A236" i="8"/>
  <c r="H236" i="8" s="1"/>
  <c r="Q236" i="8" s="1"/>
  <c r="J235" i="8"/>
  <c r="S235" i="8" s="1"/>
  <c r="C235" i="8"/>
  <c r="I235" i="8" s="1"/>
  <c r="R235" i="8" s="1"/>
  <c r="A235" i="8"/>
  <c r="H235" i="8" s="1"/>
  <c r="Q235" i="8" s="1"/>
  <c r="J234" i="8"/>
  <c r="S234" i="8" s="1"/>
  <c r="C234" i="8"/>
  <c r="I234" i="8" s="1"/>
  <c r="R234" i="8" s="1"/>
  <c r="A234" i="8"/>
  <c r="H234" i="8" s="1"/>
  <c r="Q234" i="8" s="1"/>
  <c r="J233" i="8"/>
  <c r="S233" i="8" s="1"/>
  <c r="C233" i="8"/>
  <c r="I233" i="8" s="1"/>
  <c r="R233" i="8" s="1"/>
  <c r="A233" i="8"/>
  <c r="H233" i="8" s="1"/>
  <c r="Q233" i="8" s="1"/>
  <c r="J232" i="8"/>
  <c r="S232" i="8" s="1"/>
  <c r="C232" i="8"/>
  <c r="I232" i="8" s="1"/>
  <c r="R232" i="8" s="1"/>
  <c r="A232" i="8"/>
  <c r="H232" i="8" s="1"/>
  <c r="Q232" i="8" s="1"/>
  <c r="J231" i="8"/>
  <c r="S231" i="8" s="1"/>
  <c r="C231" i="8"/>
  <c r="I231" i="8" s="1"/>
  <c r="R231" i="8" s="1"/>
  <c r="A231" i="8"/>
  <c r="H231" i="8" s="1"/>
  <c r="Q231" i="8" s="1"/>
  <c r="J230" i="8"/>
  <c r="S230" i="8" s="1"/>
  <c r="C230" i="8"/>
  <c r="I230" i="8" s="1"/>
  <c r="R230" i="8" s="1"/>
  <c r="A230" i="8"/>
  <c r="H230" i="8" s="1"/>
  <c r="Q230" i="8" s="1"/>
  <c r="J229" i="8"/>
  <c r="S229" i="8" s="1"/>
  <c r="C229" i="8"/>
  <c r="I229" i="8" s="1"/>
  <c r="R229" i="8" s="1"/>
  <c r="A229" i="8"/>
  <c r="H229" i="8" s="1"/>
  <c r="Q229" i="8" s="1"/>
  <c r="J228" i="8"/>
  <c r="S228" i="8" s="1"/>
  <c r="C228" i="8"/>
  <c r="I228" i="8" s="1"/>
  <c r="R228" i="8" s="1"/>
  <c r="A228" i="8"/>
  <c r="H228" i="8" s="1"/>
  <c r="Q228" i="8" s="1"/>
  <c r="J227" i="8"/>
  <c r="S227" i="8" s="1"/>
  <c r="C227" i="8"/>
  <c r="I227" i="8" s="1"/>
  <c r="R227" i="8" s="1"/>
  <c r="A227" i="8"/>
  <c r="H227" i="8" s="1"/>
  <c r="Q227" i="8" s="1"/>
  <c r="J226" i="8"/>
  <c r="S226" i="8" s="1"/>
  <c r="C226" i="8"/>
  <c r="I226" i="8" s="1"/>
  <c r="R226" i="8" s="1"/>
  <c r="A226" i="8"/>
  <c r="H226" i="8" s="1"/>
  <c r="Q226" i="8" s="1"/>
  <c r="J225" i="8"/>
  <c r="S225" i="8" s="1"/>
  <c r="C225" i="8"/>
  <c r="I225" i="8" s="1"/>
  <c r="R225" i="8" s="1"/>
  <c r="A225" i="8"/>
  <c r="H225" i="8" s="1"/>
  <c r="Q225" i="8" s="1"/>
  <c r="J224" i="8"/>
  <c r="S224" i="8" s="1"/>
  <c r="C224" i="8"/>
  <c r="I224" i="8" s="1"/>
  <c r="R224" i="8" s="1"/>
  <c r="A224" i="8"/>
  <c r="H224" i="8" s="1"/>
  <c r="Q224" i="8" s="1"/>
  <c r="J223" i="8"/>
  <c r="S223" i="8" s="1"/>
  <c r="C223" i="8"/>
  <c r="I223" i="8" s="1"/>
  <c r="R223" i="8" s="1"/>
  <c r="A223" i="8"/>
  <c r="H223" i="8" s="1"/>
  <c r="Q223" i="8" s="1"/>
  <c r="J222" i="8"/>
  <c r="S222" i="8" s="1"/>
  <c r="C222" i="8"/>
  <c r="I222" i="8" s="1"/>
  <c r="R222" i="8" s="1"/>
  <c r="A222" i="8"/>
  <c r="H222" i="8" s="1"/>
  <c r="Q222" i="8" s="1"/>
  <c r="J221" i="8"/>
  <c r="S221" i="8" s="1"/>
  <c r="C221" i="8"/>
  <c r="I221" i="8" s="1"/>
  <c r="R221" i="8" s="1"/>
  <c r="A221" i="8"/>
  <c r="H221" i="8" s="1"/>
  <c r="Q221" i="8" s="1"/>
  <c r="J220" i="8"/>
  <c r="S220" i="8" s="1"/>
  <c r="C220" i="8"/>
  <c r="I220" i="8" s="1"/>
  <c r="R220" i="8" s="1"/>
  <c r="A220" i="8"/>
  <c r="H220" i="8" s="1"/>
  <c r="Q220" i="8" s="1"/>
  <c r="J219" i="8"/>
  <c r="S219" i="8" s="1"/>
  <c r="C219" i="8"/>
  <c r="I219" i="8" s="1"/>
  <c r="R219" i="8" s="1"/>
  <c r="A219" i="8"/>
  <c r="H219" i="8" s="1"/>
  <c r="Q219" i="8" s="1"/>
  <c r="J218" i="8"/>
  <c r="S218" i="8" s="1"/>
  <c r="C218" i="8"/>
  <c r="I218" i="8" s="1"/>
  <c r="R218" i="8" s="1"/>
  <c r="A218" i="8"/>
  <c r="H218" i="8" s="1"/>
  <c r="Q218" i="8" s="1"/>
  <c r="J217" i="8"/>
  <c r="S217" i="8" s="1"/>
  <c r="C217" i="8"/>
  <c r="I217" i="8" s="1"/>
  <c r="R217" i="8" s="1"/>
  <c r="A217" i="8"/>
  <c r="H217" i="8" s="1"/>
  <c r="Q217" i="8" s="1"/>
  <c r="J216" i="8"/>
  <c r="S216" i="8" s="1"/>
  <c r="C216" i="8"/>
  <c r="I216" i="8" s="1"/>
  <c r="R216" i="8" s="1"/>
  <c r="A216" i="8"/>
  <c r="H216" i="8" s="1"/>
  <c r="Q216" i="8" s="1"/>
  <c r="J215" i="8"/>
  <c r="S215" i="8" s="1"/>
  <c r="C215" i="8"/>
  <c r="I215" i="8" s="1"/>
  <c r="R215" i="8" s="1"/>
  <c r="A215" i="8"/>
  <c r="H215" i="8" s="1"/>
  <c r="Q215" i="8" s="1"/>
  <c r="J214" i="8"/>
  <c r="S214" i="8" s="1"/>
  <c r="C214" i="8"/>
  <c r="I214" i="8" s="1"/>
  <c r="R214" i="8" s="1"/>
  <c r="A214" i="8"/>
  <c r="H214" i="8" s="1"/>
  <c r="Q214" i="8" s="1"/>
  <c r="J212" i="8"/>
  <c r="S212" i="8" s="1"/>
  <c r="C212" i="8"/>
  <c r="I212" i="8" s="1"/>
  <c r="R212" i="8" s="1"/>
  <c r="A212" i="8"/>
  <c r="H212" i="8" s="1"/>
  <c r="Q212" i="8" s="1"/>
  <c r="J211" i="8"/>
  <c r="S211" i="8" s="1"/>
  <c r="C211" i="8"/>
  <c r="I211" i="8" s="1"/>
  <c r="R211" i="8" s="1"/>
  <c r="A211" i="8"/>
  <c r="H211" i="8" s="1"/>
  <c r="Q211" i="8" s="1"/>
  <c r="J210" i="8"/>
  <c r="S210" i="8" s="1"/>
  <c r="C210" i="8"/>
  <c r="I210" i="8" s="1"/>
  <c r="R210" i="8" s="1"/>
  <c r="A210" i="8"/>
  <c r="H210" i="8" s="1"/>
  <c r="Q210" i="8" s="1"/>
  <c r="J209" i="8"/>
  <c r="S209" i="8" s="1"/>
  <c r="C209" i="8"/>
  <c r="I209" i="8" s="1"/>
  <c r="R209" i="8" s="1"/>
  <c r="A209" i="8"/>
  <c r="H209" i="8" s="1"/>
  <c r="Q209" i="8" s="1"/>
  <c r="J208" i="8"/>
  <c r="S208" i="8" s="1"/>
  <c r="C208" i="8"/>
  <c r="I208" i="8" s="1"/>
  <c r="R208" i="8" s="1"/>
  <c r="A208" i="8"/>
  <c r="H208" i="8" s="1"/>
  <c r="Q208" i="8" s="1"/>
  <c r="J207" i="8"/>
  <c r="S207" i="8" s="1"/>
  <c r="C207" i="8"/>
  <c r="I207" i="8" s="1"/>
  <c r="R207" i="8" s="1"/>
  <c r="A207" i="8"/>
  <c r="H207" i="8" s="1"/>
  <c r="Q207" i="8" s="1"/>
  <c r="J206" i="8"/>
  <c r="S206" i="8" s="1"/>
  <c r="C206" i="8"/>
  <c r="I206" i="8" s="1"/>
  <c r="R206" i="8" s="1"/>
  <c r="A206" i="8"/>
  <c r="H206" i="8" s="1"/>
  <c r="Q206" i="8" s="1"/>
  <c r="J205" i="8"/>
  <c r="S205" i="8" s="1"/>
  <c r="C205" i="8"/>
  <c r="I205" i="8" s="1"/>
  <c r="R205" i="8" s="1"/>
  <c r="A205" i="8"/>
  <c r="H205" i="8" s="1"/>
  <c r="Q205" i="8" s="1"/>
  <c r="J204" i="8"/>
  <c r="S204" i="8" s="1"/>
  <c r="C204" i="8"/>
  <c r="I204" i="8" s="1"/>
  <c r="R204" i="8" s="1"/>
  <c r="A204" i="8"/>
  <c r="H204" i="8" s="1"/>
  <c r="Q204" i="8" s="1"/>
  <c r="J203" i="8"/>
  <c r="S203" i="8" s="1"/>
  <c r="C203" i="8"/>
  <c r="I203" i="8" s="1"/>
  <c r="R203" i="8" s="1"/>
  <c r="A203" i="8"/>
  <c r="H203" i="8" s="1"/>
  <c r="Q203" i="8" s="1"/>
  <c r="J202" i="8"/>
  <c r="S202" i="8" s="1"/>
  <c r="C202" i="8"/>
  <c r="I202" i="8" s="1"/>
  <c r="R202" i="8" s="1"/>
  <c r="A202" i="8"/>
  <c r="H202" i="8" s="1"/>
  <c r="Q202" i="8" s="1"/>
  <c r="J201" i="8"/>
  <c r="S201" i="8" s="1"/>
  <c r="C201" i="8"/>
  <c r="I201" i="8" s="1"/>
  <c r="R201" i="8" s="1"/>
  <c r="A201" i="8"/>
  <c r="H201" i="8" s="1"/>
  <c r="Q201" i="8" s="1"/>
  <c r="J200" i="8"/>
  <c r="S200" i="8" s="1"/>
  <c r="C200" i="8"/>
  <c r="I200" i="8" s="1"/>
  <c r="R200" i="8" s="1"/>
  <c r="A200" i="8"/>
  <c r="H200" i="8" s="1"/>
  <c r="Q200" i="8" s="1"/>
  <c r="J199" i="8"/>
  <c r="S199" i="8" s="1"/>
  <c r="C199" i="8"/>
  <c r="I199" i="8" s="1"/>
  <c r="R199" i="8" s="1"/>
  <c r="A199" i="8"/>
  <c r="H199" i="8" s="1"/>
  <c r="Q199" i="8" s="1"/>
  <c r="J198" i="8"/>
  <c r="S198" i="8" s="1"/>
  <c r="C198" i="8"/>
  <c r="I198" i="8" s="1"/>
  <c r="R198" i="8" s="1"/>
  <c r="A198" i="8"/>
  <c r="H198" i="8" s="1"/>
  <c r="Q198" i="8" s="1"/>
  <c r="J197" i="8"/>
  <c r="S197" i="8" s="1"/>
  <c r="C197" i="8"/>
  <c r="I197" i="8" s="1"/>
  <c r="R197" i="8" s="1"/>
  <c r="A197" i="8"/>
  <c r="H197" i="8" s="1"/>
  <c r="Q197" i="8" s="1"/>
  <c r="J196" i="8"/>
  <c r="S196" i="8" s="1"/>
  <c r="C196" i="8"/>
  <c r="I196" i="8" s="1"/>
  <c r="R196" i="8" s="1"/>
  <c r="A196" i="8"/>
  <c r="H196" i="8" s="1"/>
  <c r="Q196" i="8" s="1"/>
  <c r="J195" i="8"/>
  <c r="S195" i="8" s="1"/>
  <c r="C195" i="8"/>
  <c r="I195" i="8" s="1"/>
  <c r="R195" i="8" s="1"/>
  <c r="A195" i="8"/>
  <c r="H195" i="8" s="1"/>
  <c r="Q195" i="8" s="1"/>
  <c r="J194" i="8"/>
  <c r="S194" i="8" s="1"/>
  <c r="C194" i="8"/>
  <c r="I194" i="8" s="1"/>
  <c r="R194" i="8" s="1"/>
  <c r="A194" i="8"/>
  <c r="H194" i="8" s="1"/>
  <c r="Q194" i="8" s="1"/>
  <c r="J193" i="8"/>
  <c r="S193" i="8" s="1"/>
  <c r="C193" i="8"/>
  <c r="I193" i="8" s="1"/>
  <c r="R193" i="8" s="1"/>
  <c r="A193" i="8"/>
  <c r="H193" i="8" s="1"/>
  <c r="Q193" i="8" s="1"/>
  <c r="J192" i="8"/>
  <c r="S192" i="8" s="1"/>
  <c r="C192" i="8"/>
  <c r="I192" i="8" s="1"/>
  <c r="R192" i="8" s="1"/>
  <c r="A192" i="8"/>
  <c r="H192" i="8" s="1"/>
  <c r="Q192" i="8" s="1"/>
  <c r="J191" i="8"/>
  <c r="S191" i="8" s="1"/>
  <c r="C191" i="8"/>
  <c r="I191" i="8" s="1"/>
  <c r="R191" i="8" s="1"/>
  <c r="A191" i="8"/>
  <c r="H191" i="8" s="1"/>
  <c r="Q191" i="8" s="1"/>
  <c r="J190" i="8"/>
  <c r="S190" i="8" s="1"/>
  <c r="C190" i="8"/>
  <c r="I190" i="8" s="1"/>
  <c r="R190" i="8" s="1"/>
  <c r="A190" i="8"/>
  <c r="H190" i="8" s="1"/>
  <c r="Q190" i="8" s="1"/>
  <c r="J189" i="8"/>
  <c r="S189" i="8" s="1"/>
  <c r="C189" i="8"/>
  <c r="I189" i="8" s="1"/>
  <c r="R189" i="8" s="1"/>
  <c r="A189" i="8"/>
  <c r="H189" i="8" s="1"/>
  <c r="Q189" i="8" s="1"/>
  <c r="J188" i="8"/>
  <c r="S188" i="8" s="1"/>
  <c r="C188" i="8"/>
  <c r="I188" i="8" s="1"/>
  <c r="R188" i="8" s="1"/>
  <c r="A188" i="8"/>
  <c r="H188" i="8" s="1"/>
  <c r="Q188" i="8" s="1"/>
  <c r="J187" i="8"/>
  <c r="S187" i="8" s="1"/>
  <c r="C187" i="8"/>
  <c r="I187" i="8" s="1"/>
  <c r="R187" i="8" s="1"/>
  <c r="A187" i="8"/>
  <c r="H187" i="8" s="1"/>
  <c r="Q187" i="8" s="1"/>
  <c r="J186" i="8"/>
  <c r="S186" i="8" s="1"/>
  <c r="C186" i="8"/>
  <c r="I186" i="8" s="1"/>
  <c r="R186" i="8" s="1"/>
  <c r="A186" i="8"/>
  <c r="H186" i="8" s="1"/>
  <c r="Q186" i="8" s="1"/>
  <c r="J185" i="8"/>
  <c r="S185" i="8" s="1"/>
  <c r="C185" i="8"/>
  <c r="I185" i="8" s="1"/>
  <c r="R185" i="8" s="1"/>
  <c r="A185" i="8"/>
  <c r="H185" i="8" s="1"/>
  <c r="Q185" i="8" s="1"/>
  <c r="J184" i="8"/>
  <c r="S184" i="8" s="1"/>
  <c r="C184" i="8"/>
  <c r="I184" i="8" s="1"/>
  <c r="R184" i="8" s="1"/>
  <c r="A184" i="8"/>
  <c r="H184" i="8" s="1"/>
  <c r="Q184" i="8" s="1"/>
  <c r="J183" i="8"/>
  <c r="S183" i="8" s="1"/>
  <c r="C183" i="8"/>
  <c r="I183" i="8" s="1"/>
  <c r="R183" i="8" s="1"/>
  <c r="A183" i="8"/>
  <c r="H183" i="8" s="1"/>
  <c r="Q183" i="8" s="1"/>
  <c r="J182" i="8"/>
  <c r="S182" i="8" s="1"/>
  <c r="C182" i="8"/>
  <c r="I182" i="8" s="1"/>
  <c r="R182" i="8" s="1"/>
  <c r="A182" i="8"/>
  <c r="H182" i="8" s="1"/>
  <c r="Q182" i="8" s="1"/>
  <c r="J181" i="8"/>
  <c r="S181" i="8" s="1"/>
  <c r="C181" i="8"/>
  <c r="I181" i="8" s="1"/>
  <c r="R181" i="8" s="1"/>
  <c r="A181" i="8"/>
  <c r="H181" i="8" s="1"/>
  <c r="Q181" i="8" s="1"/>
  <c r="J180" i="8"/>
  <c r="S180" i="8" s="1"/>
  <c r="C180" i="8"/>
  <c r="I180" i="8" s="1"/>
  <c r="R180" i="8" s="1"/>
  <c r="A180" i="8"/>
  <c r="H180" i="8" s="1"/>
  <c r="Q180" i="8" s="1"/>
  <c r="J179" i="8"/>
  <c r="S179" i="8" s="1"/>
  <c r="C179" i="8"/>
  <c r="I179" i="8" s="1"/>
  <c r="R179" i="8" s="1"/>
  <c r="A179" i="8"/>
  <c r="H179" i="8" s="1"/>
  <c r="Q179" i="8" s="1"/>
  <c r="J178" i="8"/>
  <c r="S178" i="8" s="1"/>
  <c r="C178" i="8"/>
  <c r="I178" i="8" s="1"/>
  <c r="R178" i="8" s="1"/>
  <c r="A178" i="8"/>
  <c r="H178" i="8" s="1"/>
  <c r="Q178" i="8" s="1"/>
  <c r="J177" i="8"/>
  <c r="S177" i="8" s="1"/>
  <c r="C177" i="8"/>
  <c r="I177" i="8" s="1"/>
  <c r="R177" i="8" s="1"/>
  <c r="A177" i="8"/>
  <c r="H177" i="8" s="1"/>
  <c r="Q177" i="8" s="1"/>
  <c r="J176" i="8"/>
  <c r="S176" i="8" s="1"/>
  <c r="C176" i="8"/>
  <c r="I176" i="8" s="1"/>
  <c r="R176" i="8" s="1"/>
  <c r="A176" i="8"/>
  <c r="H176" i="8" s="1"/>
  <c r="Q176" i="8" s="1"/>
  <c r="J175" i="8"/>
  <c r="S175" i="8" s="1"/>
  <c r="C175" i="8"/>
  <c r="I175" i="8" s="1"/>
  <c r="R175" i="8" s="1"/>
  <c r="A175" i="8"/>
  <c r="H175" i="8" s="1"/>
  <c r="Q175" i="8" s="1"/>
  <c r="J174" i="8"/>
  <c r="S174" i="8" s="1"/>
  <c r="C174" i="8"/>
  <c r="I174" i="8" s="1"/>
  <c r="R174" i="8" s="1"/>
  <c r="A174" i="8"/>
  <c r="H174" i="8" s="1"/>
  <c r="Q174" i="8" s="1"/>
  <c r="J173" i="8"/>
  <c r="S173" i="8" s="1"/>
  <c r="C173" i="8"/>
  <c r="I173" i="8" s="1"/>
  <c r="R173" i="8" s="1"/>
  <c r="A173" i="8"/>
  <c r="H173" i="8" s="1"/>
  <c r="Q173" i="8" s="1"/>
  <c r="J172" i="8"/>
  <c r="S172" i="8" s="1"/>
  <c r="C172" i="8"/>
  <c r="I172" i="8" s="1"/>
  <c r="R172" i="8" s="1"/>
  <c r="A172" i="8"/>
  <c r="H172" i="8" s="1"/>
  <c r="Q172" i="8" s="1"/>
  <c r="J171" i="8"/>
  <c r="S171" i="8" s="1"/>
  <c r="C171" i="8"/>
  <c r="I171" i="8" s="1"/>
  <c r="R171" i="8" s="1"/>
  <c r="A171" i="8"/>
  <c r="H171" i="8" s="1"/>
  <c r="Q171" i="8" s="1"/>
  <c r="J170" i="8"/>
  <c r="S170" i="8" s="1"/>
  <c r="C170" i="8"/>
  <c r="I170" i="8" s="1"/>
  <c r="R170" i="8" s="1"/>
  <c r="A170" i="8"/>
  <c r="H170" i="8" s="1"/>
  <c r="Q170" i="8" s="1"/>
  <c r="J169" i="8"/>
  <c r="S169" i="8" s="1"/>
  <c r="C169" i="8"/>
  <c r="I169" i="8" s="1"/>
  <c r="R169" i="8" s="1"/>
  <c r="A169" i="8"/>
  <c r="H169" i="8" s="1"/>
  <c r="Q169" i="8" s="1"/>
  <c r="J168" i="8"/>
  <c r="S168" i="8" s="1"/>
  <c r="C168" i="8"/>
  <c r="I168" i="8" s="1"/>
  <c r="R168" i="8" s="1"/>
  <c r="A168" i="8"/>
  <c r="H168" i="8" s="1"/>
  <c r="Q168" i="8" s="1"/>
  <c r="J167" i="8"/>
  <c r="S167" i="8" s="1"/>
  <c r="C167" i="8"/>
  <c r="I167" i="8" s="1"/>
  <c r="R167" i="8" s="1"/>
  <c r="A167" i="8"/>
  <c r="H167" i="8" s="1"/>
  <c r="Q167" i="8" s="1"/>
  <c r="J166" i="8"/>
  <c r="S166" i="8" s="1"/>
  <c r="C166" i="8"/>
  <c r="I166" i="8" s="1"/>
  <c r="R166" i="8" s="1"/>
  <c r="A166" i="8"/>
  <c r="H166" i="8" s="1"/>
  <c r="Q166" i="8" s="1"/>
  <c r="J165" i="8"/>
  <c r="S165" i="8" s="1"/>
  <c r="C165" i="8"/>
  <c r="I165" i="8" s="1"/>
  <c r="R165" i="8" s="1"/>
  <c r="A165" i="8"/>
  <c r="H165" i="8" s="1"/>
  <c r="Q165" i="8" s="1"/>
  <c r="J164" i="8"/>
  <c r="S164" i="8" s="1"/>
  <c r="C164" i="8"/>
  <c r="I164" i="8" s="1"/>
  <c r="R164" i="8" s="1"/>
  <c r="A164" i="8"/>
  <c r="H164" i="8" s="1"/>
  <c r="Q164" i="8" s="1"/>
  <c r="J163" i="8"/>
  <c r="S163" i="8" s="1"/>
  <c r="C163" i="8"/>
  <c r="I163" i="8" s="1"/>
  <c r="R163" i="8" s="1"/>
  <c r="A163" i="8"/>
  <c r="H163" i="8" s="1"/>
  <c r="Q163" i="8" s="1"/>
  <c r="J162" i="8"/>
  <c r="S162" i="8" s="1"/>
  <c r="C162" i="8"/>
  <c r="I162" i="8" s="1"/>
  <c r="R162" i="8" s="1"/>
  <c r="A162" i="8"/>
  <c r="H162" i="8" s="1"/>
  <c r="Q162" i="8" s="1"/>
  <c r="J161" i="8"/>
  <c r="S161" i="8" s="1"/>
  <c r="C161" i="8"/>
  <c r="I161" i="8" s="1"/>
  <c r="R161" i="8" s="1"/>
  <c r="A161" i="8"/>
  <c r="H161" i="8" s="1"/>
  <c r="Q161" i="8" s="1"/>
  <c r="J160" i="8"/>
  <c r="S160" i="8" s="1"/>
  <c r="C160" i="8"/>
  <c r="I160" i="8" s="1"/>
  <c r="R160" i="8" s="1"/>
  <c r="A160" i="8"/>
  <c r="H160" i="8" s="1"/>
  <c r="Q160" i="8" s="1"/>
  <c r="J159" i="8"/>
  <c r="S159" i="8" s="1"/>
  <c r="C159" i="8"/>
  <c r="I159" i="8" s="1"/>
  <c r="R159" i="8" s="1"/>
  <c r="A159" i="8"/>
  <c r="H159" i="8" s="1"/>
  <c r="Q159" i="8" s="1"/>
  <c r="J158" i="8"/>
  <c r="S158" i="8" s="1"/>
  <c r="C158" i="8"/>
  <c r="I158" i="8" s="1"/>
  <c r="R158" i="8" s="1"/>
  <c r="A158" i="8"/>
  <c r="H158" i="8" s="1"/>
  <c r="Q158" i="8" s="1"/>
  <c r="J157" i="8"/>
  <c r="S157" i="8" s="1"/>
  <c r="C157" i="8"/>
  <c r="I157" i="8" s="1"/>
  <c r="R157" i="8" s="1"/>
  <c r="A157" i="8"/>
  <c r="H157" i="8" s="1"/>
  <c r="Q157" i="8" s="1"/>
  <c r="J156" i="8"/>
  <c r="S156" i="8" s="1"/>
  <c r="C156" i="8"/>
  <c r="I156" i="8" s="1"/>
  <c r="R156" i="8" s="1"/>
  <c r="A156" i="8"/>
  <c r="H156" i="8" s="1"/>
  <c r="Q156" i="8" s="1"/>
  <c r="J155" i="8"/>
  <c r="S155" i="8" s="1"/>
  <c r="C155" i="8"/>
  <c r="I155" i="8" s="1"/>
  <c r="R155" i="8" s="1"/>
  <c r="A155" i="8"/>
  <c r="H155" i="8" s="1"/>
  <c r="Q155" i="8" s="1"/>
  <c r="J154" i="8"/>
  <c r="S154" i="8" s="1"/>
  <c r="C154" i="8"/>
  <c r="I154" i="8" s="1"/>
  <c r="R154" i="8" s="1"/>
  <c r="A154" i="8"/>
  <c r="H154" i="8" s="1"/>
  <c r="Q154" i="8" s="1"/>
  <c r="J153" i="8"/>
  <c r="S153" i="8" s="1"/>
  <c r="C153" i="8"/>
  <c r="I153" i="8" s="1"/>
  <c r="R153" i="8" s="1"/>
  <c r="A153" i="8"/>
  <c r="H153" i="8" s="1"/>
  <c r="Q153" i="8" s="1"/>
  <c r="J152" i="8"/>
  <c r="S152" i="8" s="1"/>
  <c r="C152" i="8"/>
  <c r="I152" i="8" s="1"/>
  <c r="R152" i="8" s="1"/>
  <c r="A152" i="8"/>
  <c r="H152" i="8" s="1"/>
  <c r="Q152" i="8" s="1"/>
  <c r="J151" i="8"/>
  <c r="S151" i="8" s="1"/>
  <c r="C151" i="8"/>
  <c r="I151" i="8" s="1"/>
  <c r="R151" i="8" s="1"/>
  <c r="A151" i="8"/>
  <c r="H151" i="8" s="1"/>
  <c r="Q151" i="8" s="1"/>
  <c r="J150" i="8"/>
  <c r="S150" i="8" s="1"/>
  <c r="C150" i="8"/>
  <c r="I150" i="8" s="1"/>
  <c r="R150" i="8" s="1"/>
  <c r="A150" i="8"/>
  <c r="H150" i="8" s="1"/>
  <c r="Q150" i="8" s="1"/>
  <c r="J149" i="8"/>
  <c r="S149" i="8" s="1"/>
  <c r="C149" i="8"/>
  <c r="I149" i="8" s="1"/>
  <c r="R149" i="8" s="1"/>
  <c r="A149" i="8"/>
  <c r="H149" i="8" s="1"/>
  <c r="Q149" i="8" s="1"/>
  <c r="J148" i="8"/>
  <c r="S148" i="8" s="1"/>
  <c r="C148" i="8"/>
  <c r="I148" i="8" s="1"/>
  <c r="R148" i="8" s="1"/>
  <c r="A148" i="8"/>
  <c r="H148" i="8" s="1"/>
  <c r="Q148" i="8" s="1"/>
  <c r="J147" i="8"/>
  <c r="S147" i="8" s="1"/>
  <c r="C147" i="8"/>
  <c r="I147" i="8" s="1"/>
  <c r="R147" i="8" s="1"/>
  <c r="A147" i="8"/>
  <c r="H147" i="8" s="1"/>
  <c r="Q147" i="8" s="1"/>
  <c r="J146" i="8"/>
  <c r="S146" i="8" s="1"/>
  <c r="C146" i="8"/>
  <c r="I146" i="8" s="1"/>
  <c r="R146" i="8" s="1"/>
  <c r="A146" i="8"/>
  <c r="H146" i="8" s="1"/>
  <c r="Q146" i="8" s="1"/>
  <c r="J145" i="8"/>
  <c r="S145" i="8" s="1"/>
  <c r="C145" i="8"/>
  <c r="I145" i="8" s="1"/>
  <c r="R145" i="8" s="1"/>
  <c r="A145" i="8"/>
  <c r="H145" i="8" s="1"/>
  <c r="Q145" i="8" s="1"/>
  <c r="J144" i="8"/>
  <c r="S144" i="8" s="1"/>
  <c r="C144" i="8"/>
  <c r="I144" i="8" s="1"/>
  <c r="R144" i="8" s="1"/>
  <c r="A144" i="8"/>
  <c r="H144" i="8" s="1"/>
  <c r="Q144" i="8" s="1"/>
  <c r="J143" i="8"/>
  <c r="S143" i="8" s="1"/>
  <c r="C143" i="8"/>
  <c r="I143" i="8" s="1"/>
  <c r="R143" i="8" s="1"/>
  <c r="A143" i="8"/>
  <c r="H143" i="8" s="1"/>
  <c r="Q143" i="8" s="1"/>
  <c r="J142" i="8"/>
  <c r="S142" i="8" s="1"/>
  <c r="C142" i="8"/>
  <c r="I142" i="8" s="1"/>
  <c r="R142" i="8" s="1"/>
  <c r="A142" i="8"/>
  <c r="H142" i="8" s="1"/>
  <c r="Q142" i="8" s="1"/>
  <c r="J141" i="8"/>
  <c r="S141" i="8" s="1"/>
  <c r="C141" i="8"/>
  <c r="I141" i="8" s="1"/>
  <c r="R141" i="8" s="1"/>
  <c r="A141" i="8"/>
  <c r="H141" i="8" s="1"/>
  <c r="Q141" i="8" s="1"/>
  <c r="J140" i="8"/>
  <c r="S140" i="8" s="1"/>
  <c r="C140" i="8"/>
  <c r="I140" i="8" s="1"/>
  <c r="R140" i="8" s="1"/>
  <c r="A140" i="8"/>
  <c r="H140" i="8" s="1"/>
  <c r="Q140" i="8" s="1"/>
  <c r="J139" i="8"/>
  <c r="S139" i="8" s="1"/>
  <c r="C139" i="8"/>
  <c r="I139" i="8" s="1"/>
  <c r="R139" i="8" s="1"/>
  <c r="A139" i="8"/>
  <c r="H139" i="8" s="1"/>
  <c r="Q139" i="8" s="1"/>
  <c r="J138" i="8"/>
  <c r="S138" i="8" s="1"/>
  <c r="C138" i="8"/>
  <c r="I138" i="8" s="1"/>
  <c r="R138" i="8" s="1"/>
  <c r="A138" i="8"/>
  <c r="H138" i="8" s="1"/>
  <c r="Q138" i="8" s="1"/>
  <c r="J137" i="8"/>
  <c r="S137" i="8" s="1"/>
  <c r="C137" i="8"/>
  <c r="I137" i="8" s="1"/>
  <c r="R137" i="8" s="1"/>
  <c r="A137" i="8"/>
  <c r="H137" i="8" s="1"/>
  <c r="Q137" i="8" s="1"/>
  <c r="J136" i="8"/>
  <c r="S136" i="8" s="1"/>
  <c r="C136" i="8"/>
  <c r="I136" i="8" s="1"/>
  <c r="R136" i="8" s="1"/>
  <c r="A136" i="8"/>
  <c r="H136" i="8" s="1"/>
  <c r="Q136" i="8" s="1"/>
  <c r="J135" i="8"/>
  <c r="S135" i="8" s="1"/>
  <c r="C135" i="8"/>
  <c r="I135" i="8" s="1"/>
  <c r="R135" i="8" s="1"/>
  <c r="A135" i="8"/>
  <c r="H135" i="8" s="1"/>
  <c r="Q135" i="8" s="1"/>
  <c r="J134" i="8"/>
  <c r="S134" i="8" s="1"/>
  <c r="C134" i="8"/>
  <c r="I134" i="8" s="1"/>
  <c r="R134" i="8" s="1"/>
  <c r="A134" i="8"/>
  <c r="H134" i="8" s="1"/>
  <c r="Q134" i="8" s="1"/>
  <c r="J133" i="8"/>
  <c r="S133" i="8" s="1"/>
  <c r="C133" i="8"/>
  <c r="I133" i="8" s="1"/>
  <c r="R133" i="8" s="1"/>
  <c r="A133" i="8"/>
  <c r="H133" i="8" s="1"/>
  <c r="Q133" i="8" s="1"/>
  <c r="J132" i="8"/>
  <c r="S132" i="8" s="1"/>
  <c r="C132" i="8"/>
  <c r="I132" i="8" s="1"/>
  <c r="R132" i="8" s="1"/>
  <c r="A132" i="8"/>
  <c r="H132" i="8" s="1"/>
  <c r="Q132" i="8" s="1"/>
  <c r="J131" i="8"/>
  <c r="S131" i="8" s="1"/>
  <c r="C131" i="8"/>
  <c r="I131" i="8" s="1"/>
  <c r="R131" i="8" s="1"/>
  <c r="A131" i="8"/>
  <c r="H131" i="8" s="1"/>
  <c r="Q131" i="8" s="1"/>
  <c r="J130" i="8"/>
  <c r="S130" i="8" s="1"/>
  <c r="C130" i="8"/>
  <c r="I130" i="8" s="1"/>
  <c r="R130" i="8" s="1"/>
  <c r="A130" i="8"/>
  <c r="H130" i="8" s="1"/>
  <c r="Q130" i="8" s="1"/>
  <c r="J129" i="8"/>
  <c r="S129" i="8" s="1"/>
  <c r="C129" i="8"/>
  <c r="I129" i="8" s="1"/>
  <c r="R129" i="8" s="1"/>
  <c r="A129" i="8"/>
  <c r="H129" i="8" s="1"/>
  <c r="Q129" i="8" s="1"/>
  <c r="J128" i="8"/>
  <c r="S128" i="8" s="1"/>
  <c r="C128" i="8"/>
  <c r="I128" i="8" s="1"/>
  <c r="R128" i="8" s="1"/>
  <c r="A128" i="8"/>
  <c r="H128" i="8" s="1"/>
  <c r="Q128" i="8" s="1"/>
  <c r="J127" i="8"/>
  <c r="S127" i="8" s="1"/>
  <c r="C127" i="8"/>
  <c r="I127" i="8" s="1"/>
  <c r="R127" i="8" s="1"/>
  <c r="A127" i="8"/>
  <c r="H127" i="8" s="1"/>
  <c r="Q127" i="8" s="1"/>
  <c r="J126" i="8"/>
  <c r="S126" i="8" s="1"/>
  <c r="C126" i="8"/>
  <c r="I126" i="8" s="1"/>
  <c r="R126" i="8" s="1"/>
  <c r="A126" i="8"/>
  <c r="H126" i="8" s="1"/>
  <c r="Q126" i="8" s="1"/>
  <c r="J125" i="8"/>
  <c r="S125" i="8" s="1"/>
  <c r="C125" i="8"/>
  <c r="I125" i="8" s="1"/>
  <c r="R125" i="8" s="1"/>
  <c r="A125" i="8"/>
  <c r="H125" i="8" s="1"/>
  <c r="Q125" i="8" s="1"/>
  <c r="J124" i="8"/>
  <c r="S124" i="8" s="1"/>
  <c r="C124" i="8"/>
  <c r="I124" i="8" s="1"/>
  <c r="R124" i="8" s="1"/>
  <c r="A124" i="8"/>
  <c r="H124" i="8" s="1"/>
  <c r="Q124" i="8" s="1"/>
  <c r="J123" i="8"/>
  <c r="S123" i="8" s="1"/>
  <c r="C123" i="8"/>
  <c r="I123" i="8" s="1"/>
  <c r="R123" i="8" s="1"/>
  <c r="A123" i="8"/>
  <c r="H123" i="8" s="1"/>
  <c r="Q123" i="8" s="1"/>
  <c r="J122" i="8"/>
  <c r="S122" i="8" s="1"/>
  <c r="C122" i="8"/>
  <c r="I122" i="8" s="1"/>
  <c r="R122" i="8" s="1"/>
  <c r="A122" i="8"/>
  <c r="H122" i="8" s="1"/>
  <c r="Q122" i="8" s="1"/>
  <c r="J121" i="8"/>
  <c r="S121" i="8" s="1"/>
  <c r="C121" i="8"/>
  <c r="I121" i="8" s="1"/>
  <c r="R121" i="8" s="1"/>
  <c r="A121" i="8"/>
  <c r="H121" i="8" s="1"/>
  <c r="Q121" i="8" s="1"/>
  <c r="J120" i="8"/>
  <c r="S120" i="8" s="1"/>
  <c r="C120" i="8"/>
  <c r="I120" i="8" s="1"/>
  <c r="R120" i="8" s="1"/>
  <c r="A120" i="8"/>
  <c r="H120" i="8" s="1"/>
  <c r="Q120" i="8" s="1"/>
  <c r="J119" i="8"/>
  <c r="S119" i="8" s="1"/>
  <c r="C119" i="8"/>
  <c r="I119" i="8" s="1"/>
  <c r="R119" i="8" s="1"/>
  <c r="A119" i="8"/>
  <c r="H119" i="8" s="1"/>
  <c r="Q119" i="8" s="1"/>
  <c r="J117" i="8"/>
  <c r="S117" i="8" s="1"/>
  <c r="C117" i="8"/>
  <c r="I117" i="8" s="1"/>
  <c r="R117" i="8" s="1"/>
  <c r="A117" i="8"/>
  <c r="H117" i="8" s="1"/>
  <c r="Q117" i="8" s="1"/>
  <c r="J116" i="8"/>
  <c r="S116" i="8" s="1"/>
  <c r="C116" i="8"/>
  <c r="I116" i="8" s="1"/>
  <c r="R116" i="8" s="1"/>
  <c r="A116" i="8"/>
  <c r="H116" i="8" s="1"/>
  <c r="Q116" i="8" s="1"/>
  <c r="J115" i="8"/>
  <c r="S115" i="8" s="1"/>
  <c r="C115" i="8"/>
  <c r="I115" i="8" s="1"/>
  <c r="R115" i="8" s="1"/>
  <c r="A115" i="8"/>
  <c r="H115" i="8" s="1"/>
  <c r="Q115" i="8" s="1"/>
  <c r="J114" i="8"/>
  <c r="S114" i="8" s="1"/>
  <c r="C114" i="8"/>
  <c r="I114" i="8" s="1"/>
  <c r="R114" i="8" s="1"/>
  <c r="A114" i="8"/>
  <c r="H114" i="8" s="1"/>
  <c r="Q114" i="8" s="1"/>
  <c r="J113" i="8"/>
  <c r="S113" i="8" s="1"/>
  <c r="C113" i="8"/>
  <c r="I113" i="8" s="1"/>
  <c r="R113" i="8" s="1"/>
  <c r="A113" i="8"/>
  <c r="H113" i="8" s="1"/>
  <c r="Q113" i="8" s="1"/>
  <c r="J112" i="8"/>
  <c r="S112" i="8" s="1"/>
  <c r="C112" i="8"/>
  <c r="I112" i="8" s="1"/>
  <c r="R112" i="8" s="1"/>
  <c r="A112" i="8"/>
  <c r="H112" i="8" s="1"/>
  <c r="Q112" i="8" s="1"/>
  <c r="J111" i="8"/>
  <c r="S111" i="8" s="1"/>
  <c r="C111" i="8"/>
  <c r="I111" i="8" s="1"/>
  <c r="R111" i="8" s="1"/>
  <c r="A111" i="8"/>
  <c r="H111" i="8" s="1"/>
  <c r="Q111" i="8" s="1"/>
  <c r="J110" i="8"/>
  <c r="S110" i="8" s="1"/>
  <c r="C110" i="8"/>
  <c r="I110" i="8" s="1"/>
  <c r="R110" i="8" s="1"/>
  <c r="A110" i="8"/>
  <c r="H110" i="8" s="1"/>
  <c r="Q110" i="8" s="1"/>
  <c r="J109" i="8"/>
  <c r="S109" i="8" s="1"/>
  <c r="C109" i="8"/>
  <c r="I109" i="8" s="1"/>
  <c r="R109" i="8" s="1"/>
  <c r="A109" i="8"/>
  <c r="H109" i="8" s="1"/>
  <c r="Q109" i="8" s="1"/>
  <c r="J108" i="8"/>
  <c r="S108" i="8" s="1"/>
  <c r="C108" i="8"/>
  <c r="I108" i="8" s="1"/>
  <c r="R108" i="8" s="1"/>
  <c r="A108" i="8"/>
  <c r="H108" i="8" s="1"/>
  <c r="Q108" i="8" s="1"/>
  <c r="J107" i="8"/>
  <c r="S107" i="8" s="1"/>
  <c r="C107" i="8"/>
  <c r="I107" i="8" s="1"/>
  <c r="R107" i="8" s="1"/>
  <c r="A107" i="8"/>
  <c r="H107" i="8" s="1"/>
  <c r="Q107" i="8" s="1"/>
  <c r="J106" i="8"/>
  <c r="S106" i="8" s="1"/>
  <c r="C106" i="8"/>
  <c r="I106" i="8" s="1"/>
  <c r="R106" i="8" s="1"/>
  <c r="A106" i="8"/>
  <c r="H106" i="8" s="1"/>
  <c r="Q106" i="8" s="1"/>
  <c r="J105" i="8"/>
  <c r="S105" i="8" s="1"/>
  <c r="C105" i="8"/>
  <c r="I105" i="8" s="1"/>
  <c r="R105" i="8" s="1"/>
  <c r="A105" i="8"/>
  <c r="H105" i="8" s="1"/>
  <c r="Q105" i="8" s="1"/>
  <c r="J104" i="8"/>
  <c r="S104" i="8" s="1"/>
  <c r="C104" i="8"/>
  <c r="I104" i="8" s="1"/>
  <c r="R104" i="8" s="1"/>
  <c r="A104" i="8"/>
  <c r="H104" i="8" s="1"/>
  <c r="Q104" i="8" s="1"/>
  <c r="J103" i="8"/>
  <c r="S103" i="8" s="1"/>
  <c r="C103" i="8"/>
  <c r="I103" i="8" s="1"/>
  <c r="R103" i="8" s="1"/>
  <c r="A103" i="8"/>
  <c r="H103" i="8" s="1"/>
  <c r="Q103" i="8" s="1"/>
  <c r="J102" i="8"/>
  <c r="S102" i="8" s="1"/>
  <c r="C102" i="8"/>
  <c r="I102" i="8" s="1"/>
  <c r="R102" i="8" s="1"/>
  <c r="A102" i="8"/>
  <c r="H102" i="8" s="1"/>
  <c r="Q102" i="8" s="1"/>
  <c r="J101" i="8"/>
  <c r="S101" i="8" s="1"/>
  <c r="C101" i="8"/>
  <c r="I101" i="8" s="1"/>
  <c r="R101" i="8" s="1"/>
  <c r="A101" i="8"/>
  <c r="H101" i="8" s="1"/>
  <c r="Q101" i="8" s="1"/>
  <c r="J100" i="8"/>
  <c r="S100" i="8" s="1"/>
  <c r="C100" i="8"/>
  <c r="I100" i="8" s="1"/>
  <c r="R100" i="8" s="1"/>
  <c r="A100" i="8"/>
  <c r="H100" i="8" s="1"/>
  <c r="Q100" i="8" s="1"/>
  <c r="J99" i="8"/>
  <c r="S99" i="8" s="1"/>
  <c r="C99" i="8"/>
  <c r="I99" i="8" s="1"/>
  <c r="R99" i="8" s="1"/>
  <c r="A99" i="8"/>
  <c r="H99" i="8" s="1"/>
  <c r="Q99" i="8" s="1"/>
  <c r="J98" i="8"/>
  <c r="S98" i="8" s="1"/>
  <c r="C98" i="8"/>
  <c r="I98" i="8" s="1"/>
  <c r="R98" i="8" s="1"/>
  <c r="A98" i="8"/>
  <c r="H98" i="8" s="1"/>
  <c r="Q98" i="8" s="1"/>
  <c r="J97" i="8"/>
  <c r="S97" i="8" s="1"/>
  <c r="C97" i="8"/>
  <c r="I97" i="8" s="1"/>
  <c r="R97" i="8" s="1"/>
  <c r="A97" i="8"/>
  <c r="H97" i="8" s="1"/>
  <c r="Q97" i="8" s="1"/>
  <c r="J96" i="8"/>
  <c r="S96" i="8" s="1"/>
  <c r="C96" i="8"/>
  <c r="I96" i="8" s="1"/>
  <c r="R96" i="8" s="1"/>
  <c r="A96" i="8"/>
  <c r="H96" i="8" s="1"/>
  <c r="Q96" i="8" s="1"/>
  <c r="J95" i="8"/>
  <c r="S95" i="8" s="1"/>
  <c r="C95" i="8"/>
  <c r="I95" i="8" s="1"/>
  <c r="R95" i="8" s="1"/>
  <c r="A95" i="8"/>
  <c r="H95" i="8" s="1"/>
  <c r="Q95" i="8" s="1"/>
  <c r="J94" i="8"/>
  <c r="S94" i="8" s="1"/>
  <c r="C94" i="8"/>
  <c r="I94" i="8" s="1"/>
  <c r="R94" i="8" s="1"/>
  <c r="A94" i="8"/>
  <c r="H94" i="8" s="1"/>
  <c r="Q94" i="8" s="1"/>
  <c r="J93" i="8"/>
  <c r="S93" i="8" s="1"/>
  <c r="C93" i="8"/>
  <c r="I93" i="8" s="1"/>
  <c r="R93" i="8" s="1"/>
  <c r="A93" i="8"/>
  <c r="H93" i="8" s="1"/>
  <c r="Q93" i="8" s="1"/>
  <c r="J92" i="8"/>
  <c r="S92" i="8" s="1"/>
  <c r="C92" i="8"/>
  <c r="I92" i="8" s="1"/>
  <c r="R92" i="8" s="1"/>
  <c r="A92" i="8"/>
  <c r="H92" i="8" s="1"/>
  <c r="Q92" i="8" s="1"/>
  <c r="J91" i="8"/>
  <c r="S91" i="8" s="1"/>
  <c r="C91" i="8"/>
  <c r="I91" i="8" s="1"/>
  <c r="R91" i="8" s="1"/>
  <c r="A91" i="8"/>
  <c r="H91" i="8" s="1"/>
  <c r="Q91" i="8" s="1"/>
  <c r="J90" i="8"/>
  <c r="S90" i="8" s="1"/>
  <c r="C90" i="8"/>
  <c r="I90" i="8" s="1"/>
  <c r="R90" i="8" s="1"/>
  <c r="A90" i="8"/>
  <c r="H90" i="8" s="1"/>
  <c r="Q90" i="8" s="1"/>
  <c r="J89" i="8"/>
  <c r="S89" i="8" s="1"/>
  <c r="C89" i="8"/>
  <c r="I89" i="8" s="1"/>
  <c r="R89" i="8" s="1"/>
  <c r="A89" i="8"/>
  <c r="H89" i="8" s="1"/>
  <c r="Q89" i="8" s="1"/>
  <c r="J88" i="8"/>
  <c r="S88" i="8" s="1"/>
  <c r="C88" i="8"/>
  <c r="I88" i="8" s="1"/>
  <c r="R88" i="8" s="1"/>
  <c r="A88" i="8"/>
  <c r="H88" i="8" s="1"/>
  <c r="Q88" i="8" s="1"/>
  <c r="J87" i="8"/>
  <c r="S87" i="8" s="1"/>
  <c r="C87" i="8"/>
  <c r="I87" i="8" s="1"/>
  <c r="R87" i="8" s="1"/>
  <c r="A87" i="8"/>
  <c r="H87" i="8" s="1"/>
  <c r="Q87" i="8" s="1"/>
  <c r="J86" i="8"/>
  <c r="S86" i="8" s="1"/>
  <c r="C86" i="8"/>
  <c r="I86" i="8" s="1"/>
  <c r="R86" i="8" s="1"/>
  <c r="A86" i="8"/>
  <c r="H86" i="8" s="1"/>
  <c r="Q86" i="8" s="1"/>
  <c r="J85" i="8"/>
  <c r="S85" i="8" s="1"/>
  <c r="C85" i="8"/>
  <c r="I85" i="8" s="1"/>
  <c r="R85" i="8" s="1"/>
  <c r="A85" i="8"/>
  <c r="H85" i="8" s="1"/>
  <c r="Q85" i="8" s="1"/>
  <c r="J84" i="8"/>
  <c r="S84" i="8" s="1"/>
  <c r="C84" i="8"/>
  <c r="I84" i="8" s="1"/>
  <c r="R84" i="8" s="1"/>
  <c r="A84" i="8"/>
  <c r="H84" i="8" s="1"/>
  <c r="Q84" i="8" s="1"/>
  <c r="J83" i="8"/>
  <c r="S83" i="8" s="1"/>
  <c r="C83" i="8"/>
  <c r="I83" i="8" s="1"/>
  <c r="R83" i="8" s="1"/>
  <c r="A83" i="8"/>
  <c r="H83" i="8" s="1"/>
  <c r="Q83" i="8" s="1"/>
  <c r="J82" i="8"/>
  <c r="S82" i="8" s="1"/>
  <c r="C82" i="8"/>
  <c r="I82" i="8" s="1"/>
  <c r="R82" i="8" s="1"/>
  <c r="A82" i="8"/>
  <c r="H82" i="8" s="1"/>
  <c r="Q82" i="8" s="1"/>
  <c r="J81" i="8"/>
  <c r="S81" i="8" s="1"/>
  <c r="C81" i="8"/>
  <c r="I81" i="8" s="1"/>
  <c r="R81" i="8" s="1"/>
  <c r="A81" i="8"/>
  <c r="H81" i="8" s="1"/>
  <c r="Q81" i="8" s="1"/>
  <c r="J80" i="8"/>
  <c r="S80" i="8" s="1"/>
  <c r="C80" i="8"/>
  <c r="I80" i="8" s="1"/>
  <c r="R80" i="8" s="1"/>
  <c r="A80" i="8"/>
  <c r="H80" i="8" s="1"/>
  <c r="Q80" i="8" s="1"/>
  <c r="J79" i="8"/>
  <c r="S79" i="8" s="1"/>
  <c r="C79" i="8"/>
  <c r="I79" i="8" s="1"/>
  <c r="R79" i="8" s="1"/>
  <c r="A79" i="8"/>
  <c r="H79" i="8" s="1"/>
  <c r="Q79" i="8" s="1"/>
  <c r="J78" i="8"/>
  <c r="S78" i="8" s="1"/>
  <c r="C78" i="8"/>
  <c r="I78" i="8" s="1"/>
  <c r="R78" i="8" s="1"/>
  <c r="A78" i="8"/>
  <c r="H78" i="8" s="1"/>
  <c r="Q78" i="8" s="1"/>
  <c r="J77" i="8"/>
  <c r="S77" i="8" s="1"/>
  <c r="C77" i="8"/>
  <c r="I77" i="8" s="1"/>
  <c r="R77" i="8" s="1"/>
  <c r="A77" i="8"/>
  <c r="H77" i="8" s="1"/>
  <c r="Q77" i="8" s="1"/>
  <c r="J76" i="8"/>
  <c r="S76" i="8" s="1"/>
  <c r="C76" i="8"/>
  <c r="I76" i="8" s="1"/>
  <c r="R76" i="8" s="1"/>
  <c r="A76" i="8"/>
  <c r="H76" i="8" s="1"/>
  <c r="Q76" i="8" s="1"/>
  <c r="J75" i="8"/>
  <c r="S75" i="8" s="1"/>
  <c r="C75" i="8"/>
  <c r="I75" i="8" s="1"/>
  <c r="R75" i="8" s="1"/>
  <c r="A75" i="8"/>
  <c r="H75" i="8" s="1"/>
  <c r="Q75" i="8" s="1"/>
  <c r="J74" i="8"/>
  <c r="S74" i="8" s="1"/>
  <c r="C74" i="8"/>
  <c r="I74" i="8" s="1"/>
  <c r="R74" i="8" s="1"/>
  <c r="A74" i="8"/>
  <c r="H74" i="8" s="1"/>
  <c r="Q74" i="8" s="1"/>
  <c r="J73" i="8"/>
  <c r="S73" i="8" s="1"/>
  <c r="C73" i="8"/>
  <c r="I73" i="8" s="1"/>
  <c r="R73" i="8" s="1"/>
  <c r="A73" i="8"/>
  <c r="H73" i="8" s="1"/>
  <c r="Q73" i="8" s="1"/>
  <c r="J72" i="8"/>
  <c r="S72" i="8" s="1"/>
  <c r="C72" i="8"/>
  <c r="I72" i="8" s="1"/>
  <c r="R72" i="8" s="1"/>
  <c r="A72" i="8"/>
  <c r="H72" i="8" s="1"/>
  <c r="Q72" i="8" s="1"/>
  <c r="J71" i="8"/>
  <c r="S71" i="8" s="1"/>
  <c r="C71" i="8"/>
  <c r="I71" i="8" s="1"/>
  <c r="R71" i="8" s="1"/>
  <c r="A71" i="8"/>
  <c r="H71" i="8" s="1"/>
  <c r="Q71" i="8" s="1"/>
  <c r="J70" i="8"/>
  <c r="S70" i="8" s="1"/>
  <c r="C70" i="8"/>
  <c r="I70" i="8" s="1"/>
  <c r="R70" i="8" s="1"/>
  <c r="A70" i="8"/>
  <c r="H70" i="8" s="1"/>
  <c r="Q70" i="8" s="1"/>
  <c r="J69" i="8"/>
  <c r="S69" i="8" s="1"/>
  <c r="C69" i="8"/>
  <c r="I69" i="8" s="1"/>
  <c r="R69" i="8" s="1"/>
  <c r="A69" i="8"/>
  <c r="H69" i="8" s="1"/>
  <c r="Q69" i="8" s="1"/>
  <c r="J68" i="8"/>
  <c r="S68" i="8" s="1"/>
  <c r="C68" i="8"/>
  <c r="I68" i="8" s="1"/>
  <c r="R68" i="8" s="1"/>
  <c r="A68" i="8"/>
  <c r="H68" i="8" s="1"/>
  <c r="Q68" i="8" s="1"/>
  <c r="J67" i="8"/>
  <c r="S67" i="8" s="1"/>
  <c r="C67" i="8"/>
  <c r="I67" i="8" s="1"/>
  <c r="R67" i="8" s="1"/>
  <c r="A67" i="8"/>
  <c r="H67" i="8" s="1"/>
  <c r="Q67" i="8" s="1"/>
  <c r="J66" i="8"/>
  <c r="S66" i="8" s="1"/>
  <c r="C66" i="8"/>
  <c r="I66" i="8" s="1"/>
  <c r="R66" i="8" s="1"/>
  <c r="A66" i="8"/>
  <c r="H66" i="8" s="1"/>
  <c r="Q66" i="8" s="1"/>
  <c r="J65" i="8"/>
  <c r="S65" i="8" s="1"/>
  <c r="C65" i="8"/>
  <c r="I65" i="8" s="1"/>
  <c r="R65" i="8" s="1"/>
  <c r="A65" i="8"/>
  <c r="H65" i="8" s="1"/>
  <c r="Q65" i="8" s="1"/>
  <c r="J64" i="8"/>
  <c r="S64" i="8" s="1"/>
  <c r="C64" i="8"/>
  <c r="I64" i="8" s="1"/>
  <c r="R64" i="8" s="1"/>
  <c r="A64" i="8"/>
  <c r="H64" i="8" s="1"/>
  <c r="Q64" i="8" s="1"/>
  <c r="J63" i="8"/>
  <c r="S63" i="8" s="1"/>
  <c r="C63" i="8"/>
  <c r="I63" i="8" s="1"/>
  <c r="R63" i="8" s="1"/>
  <c r="A63" i="8"/>
  <c r="H63" i="8" s="1"/>
  <c r="Q63" i="8" s="1"/>
  <c r="J62" i="8"/>
  <c r="S62" i="8" s="1"/>
  <c r="C62" i="8"/>
  <c r="I62" i="8" s="1"/>
  <c r="R62" i="8" s="1"/>
  <c r="A62" i="8"/>
  <c r="H62" i="8" s="1"/>
  <c r="Q62" i="8" s="1"/>
  <c r="J61" i="8"/>
  <c r="S61" i="8" s="1"/>
  <c r="C61" i="8"/>
  <c r="I61" i="8" s="1"/>
  <c r="R61" i="8" s="1"/>
  <c r="A61" i="8"/>
  <c r="H61" i="8" s="1"/>
  <c r="Q61" i="8" s="1"/>
  <c r="J60" i="8"/>
  <c r="S60" i="8" s="1"/>
  <c r="C60" i="8"/>
  <c r="I60" i="8" s="1"/>
  <c r="R60" i="8" s="1"/>
  <c r="A60" i="8"/>
  <c r="H60" i="8" s="1"/>
  <c r="Q60" i="8" s="1"/>
  <c r="J59" i="8"/>
  <c r="S59" i="8" s="1"/>
  <c r="C59" i="8"/>
  <c r="I59" i="8" s="1"/>
  <c r="R59" i="8" s="1"/>
  <c r="A59" i="8"/>
  <c r="H59" i="8" s="1"/>
  <c r="Q59" i="8" s="1"/>
  <c r="J58" i="8"/>
  <c r="S58" i="8" s="1"/>
  <c r="C58" i="8"/>
  <c r="I58" i="8" s="1"/>
  <c r="R58" i="8" s="1"/>
  <c r="A58" i="8"/>
  <c r="H58" i="8" s="1"/>
  <c r="Q58" i="8" s="1"/>
  <c r="J57" i="8"/>
  <c r="S57" i="8" s="1"/>
  <c r="C57" i="8"/>
  <c r="I57" i="8" s="1"/>
  <c r="R57" i="8" s="1"/>
  <c r="A57" i="8"/>
  <c r="H57" i="8" s="1"/>
  <c r="Q57" i="8" s="1"/>
  <c r="J56" i="8"/>
  <c r="S56" i="8" s="1"/>
  <c r="C56" i="8"/>
  <c r="I56" i="8" s="1"/>
  <c r="R56" i="8" s="1"/>
  <c r="A56" i="8"/>
  <c r="H56" i="8" s="1"/>
  <c r="Q56" i="8" s="1"/>
  <c r="J55" i="8"/>
  <c r="S55" i="8" s="1"/>
  <c r="C55" i="8"/>
  <c r="I55" i="8" s="1"/>
  <c r="R55" i="8" s="1"/>
  <c r="A55" i="8"/>
  <c r="H55" i="8" s="1"/>
  <c r="Q55" i="8" s="1"/>
  <c r="J54" i="8"/>
  <c r="S54" i="8" s="1"/>
  <c r="C54" i="8"/>
  <c r="I54" i="8" s="1"/>
  <c r="R54" i="8" s="1"/>
  <c r="A54" i="8"/>
  <c r="H54" i="8" s="1"/>
  <c r="Q54" i="8" s="1"/>
  <c r="J53" i="8"/>
  <c r="S53" i="8" s="1"/>
  <c r="C53" i="8"/>
  <c r="I53" i="8" s="1"/>
  <c r="R53" i="8" s="1"/>
  <c r="A53" i="8"/>
  <c r="H53" i="8" s="1"/>
  <c r="Q53" i="8" s="1"/>
  <c r="J52" i="8"/>
  <c r="S52" i="8" s="1"/>
  <c r="C52" i="8"/>
  <c r="I52" i="8" s="1"/>
  <c r="R52" i="8" s="1"/>
  <c r="A52" i="8"/>
  <c r="H52" i="8" s="1"/>
  <c r="Q52" i="8" s="1"/>
  <c r="J51" i="8"/>
  <c r="S51" i="8" s="1"/>
  <c r="C51" i="8"/>
  <c r="I51" i="8" s="1"/>
  <c r="R51" i="8" s="1"/>
  <c r="A51" i="8"/>
  <c r="H51" i="8" s="1"/>
  <c r="Q51" i="8" s="1"/>
  <c r="J50" i="8"/>
  <c r="S50" i="8" s="1"/>
  <c r="C50" i="8"/>
  <c r="I50" i="8" s="1"/>
  <c r="R50" i="8" s="1"/>
  <c r="A50" i="8"/>
  <c r="H50" i="8" s="1"/>
  <c r="Q50" i="8" s="1"/>
  <c r="J49" i="8"/>
  <c r="S49" i="8" s="1"/>
  <c r="C49" i="8"/>
  <c r="I49" i="8" s="1"/>
  <c r="R49" i="8" s="1"/>
  <c r="A49" i="8"/>
  <c r="H49" i="8" s="1"/>
  <c r="Q49" i="8" s="1"/>
  <c r="J48" i="8"/>
  <c r="S48" i="8" s="1"/>
  <c r="C48" i="8"/>
  <c r="I48" i="8" s="1"/>
  <c r="R48" i="8" s="1"/>
  <c r="A48" i="8"/>
  <c r="H48" i="8" s="1"/>
  <c r="Q48" i="8" s="1"/>
  <c r="J47" i="8"/>
  <c r="S47" i="8" s="1"/>
  <c r="C47" i="8"/>
  <c r="I47" i="8" s="1"/>
  <c r="R47" i="8" s="1"/>
  <c r="A47" i="8"/>
  <c r="H47" i="8" s="1"/>
  <c r="Q47" i="8" s="1"/>
  <c r="J46" i="8"/>
  <c r="S46" i="8" s="1"/>
  <c r="C46" i="8"/>
  <c r="I46" i="8" s="1"/>
  <c r="R46" i="8" s="1"/>
  <c r="A46" i="8"/>
  <c r="H46" i="8" s="1"/>
  <c r="Q46" i="8" s="1"/>
  <c r="J45" i="8"/>
  <c r="S45" i="8" s="1"/>
  <c r="C45" i="8"/>
  <c r="I45" i="8" s="1"/>
  <c r="R45" i="8" s="1"/>
  <c r="A45" i="8"/>
  <c r="H45" i="8" s="1"/>
  <c r="Q45" i="8" s="1"/>
  <c r="J44" i="8"/>
  <c r="S44" i="8" s="1"/>
  <c r="C44" i="8"/>
  <c r="I44" i="8" s="1"/>
  <c r="R44" i="8" s="1"/>
  <c r="A44" i="8"/>
  <c r="H44" i="8" s="1"/>
  <c r="Q44" i="8" s="1"/>
  <c r="J43" i="8"/>
  <c r="S43" i="8" s="1"/>
  <c r="C43" i="8"/>
  <c r="I43" i="8" s="1"/>
  <c r="R43" i="8" s="1"/>
  <c r="A43" i="8"/>
  <c r="H43" i="8" s="1"/>
  <c r="Q43" i="8" s="1"/>
  <c r="J42" i="8"/>
  <c r="S42" i="8" s="1"/>
  <c r="C42" i="8"/>
  <c r="I42" i="8" s="1"/>
  <c r="R42" i="8" s="1"/>
  <c r="A42" i="8"/>
  <c r="H42" i="8" s="1"/>
  <c r="Q42" i="8" s="1"/>
  <c r="J41" i="8"/>
  <c r="S41" i="8" s="1"/>
  <c r="C41" i="8"/>
  <c r="I41" i="8" s="1"/>
  <c r="R41" i="8" s="1"/>
  <c r="A41" i="8"/>
  <c r="H41" i="8" s="1"/>
  <c r="Q41" i="8" s="1"/>
  <c r="J40" i="8"/>
  <c r="S40" i="8" s="1"/>
  <c r="C40" i="8"/>
  <c r="I40" i="8" s="1"/>
  <c r="R40" i="8" s="1"/>
  <c r="A40" i="8"/>
  <c r="H40" i="8" s="1"/>
  <c r="Q40" i="8" s="1"/>
  <c r="J39" i="8"/>
  <c r="S39" i="8" s="1"/>
  <c r="C39" i="8"/>
  <c r="I39" i="8" s="1"/>
  <c r="R39" i="8" s="1"/>
  <c r="A39" i="8"/>
  <c r="H39" i="8" s="1"/>
  <c r="Q39" i="8" s="1"/>
  <c r="J38" i="8"/>
  <c r="S38" i="8" s="1"/>
  <c r="C38" i="8"/>
  <c r="I38" i="8" s="1"/>
  <c r="R38" i="8" s="1"/>
  <c r="A38" i="8"/>
  <c r="H38" i="8" s="1"/>
  <c r="Q38" i="8" s="1"/>
  <c r="J37" i="8"/>
  <c r="S37" i="8" s="1"/>
  <c r="C37" i="8"/>
  <c r="I37" i="8" s="1"/>
  <c r="R37" i="8" s="1"/>
  <c r="A37" i="8"/>
  <c r="H37" i="8" s="1"/>
  <c r="Q37" i="8" s="1"/>
  <c r="J36" i="8"/>
  <c r="S36" i="8" s="1"/>
  <c r="C36" i="8"/>
  <c r="I36" i="8" s="1"/>
  <c r="R36" i="8" s="1"/>
  <c r="A36" i="8"/>
  <c r="H36" i="8" s="1"/>
  <c r="Q36" i="8" s="1"/>
  <c r="J35" i="8"/>
  <c r="S35" i="8" s="1"/>
  <c r="C35" i="8"/>
  <c r="I35" i="8" s="1"/>
  <c r="R35" i="8" s="1"/>
  <c r="A35" i="8"/>
  <c r="H35" i="8" s="1"/>
  <c r="Q35" i="8" s="1"/>
  <c r="J34" i="8"/>
  <c r="S34" i="8" s="1"/>
  <c r="C34" i="8"/>
  <c r="I34" i="8" s="1"/>
  <c r="R34" i="8" s="1"/>
  <c r="A34" i="8"/>
  <c r="H34" i="8" s="1"/>
  <c r="Q34" i="8" s="1"/>
  <c r="J33" i="8"/>
  <c r="S33" i="8" s="1"/>
  <c r="C33" i="8"/>
  <c r="I33" i="8" s="1"/>
  <c r="R33" i="8" s="1"/>
  <c r="A33" i="8"/>
  <c r="H33" i="8" s="1"/>
  <c r="Q33" i="8" s="1"/>
  <c r="J32" i="8"/>
  <c r="S32" i="8" s="1"/>
  <c r="C32" i="8"/>
  <c r="I32" i="8" s="1"/>
  <c r="R32" i="8" s="1"/>
  <c r="A32" i="8"/>
  <c r="H32" i="8" s="1"/>
  <c r="Q32" i="8" s="1"/>
  <c r="J31" i="8"/>
  <c r="S31" i="8" s="1"/>
  <c r="C31" i="8"/>
  <c r="I31" i="8" s="1"/>
  <c r="R31" i="8" s="1"/>
  <c r="A31" i="8"/>
  <c r="H31" i="8" s="1"/>
  <c r="Q31" i="8" s="1"/>
  <c r="J30" i="8"/>
  <c r="S30" i="8" s="1"/>
  <c r="C30" i="8"/>
  <c r="I30" i="8" s="1"/>
  <c r="R30" i="8" s="1"/>
  <c r="A30" i="8"/>
  <c r="H30" i="8" s="1"/>
  <c r="Q30" i="8" s="1"/>
  <c r="J29" i="8"/>
  <c r="S29" i="8" s="1"/>
  <c r="C29" i="8"/>
  <c r="I29" i="8" s="1"/>
  <c r="R29" i="8" s="1"/>
  <c r="A29" i="8"/>
  <c r="H29" i="8" s="1"/>
  <c r="Q29" i="8" s="1"/>
  <c r="J28" i="8"/>
  <c r="S28" i="8" s="1"/>
  <c r="C28" i="8"/>
  <c r="I28" i="8" s="1"/>
  <c r="R28" i="8" s="1"/>
  <c r="A28" i="8"/>
  <c r="H28" i="8" s="1"/>
  <c r="Q28" i="8" s="1"/>
  <c r="J27" i="8"/>
  <c r="S27" i="8" s="1"/>
  <c r="C27" i="8"/>
  <c r="I27" i="8" s="1"/>
  <c r="R27" i="8" s="1"/>
  <c r="A27" i="8"/>
  <c r="H27" i="8" s="1"/>
  <c r="Q27" i="8" s="1"/>
  <c r="J26" i="8"/>
  <c r="S26" i="8" s="1"/>
  <c r="C26" i="8"/>
  <c r="I26" i="8" s="1"/>
  <c r="R26" i="8" s="1"/>
  <c r="A26" i="8"/>
  <c r="H26" i="8" s="1"/>
  <c r="Q26" i="8" s="1"/>
  <c r="J25" i="8"/>
  <c r="S25" i="8" s="1"/>
  <c r="C25" i="8"/>
  <c r="I25" i="8" s="1"/>
  <c r="R25" i="8" s="1"/>
  <c r="A25" i="8"/>
  <c r="H25" i="8" s="1"/>
  <c r="Q25" i="8" s="1"/>
  <c r="J24" i="8"/>
  <c r="S24" i="8" s="1"/>
  <c r="C24" i="8"/>
  <c r="I24" i="8" s="1"/>
  <c r="R24" i="8" s="1"/>
  <c r="A24" i="8"/>
  <c r="H24" i="8" s="1"/>
  <c r="Q24" i="8" s="1"/>
  <c r="J23" i="8"/>
  <c r="S23" i="8" s="1"/>
  <c r="C23" i="8"/>
  <c r="I23" i="8" s="1"/>
  <c r="R23" i="8" s="1"/>
  <c r="A23" i="8"/>
  <c r="H23" i="8" s="1"/>
  <c r="Q23" i="8" s="1"/>
  <c r="J22" i="8"/>
  <c r="S22" i="8" s="1"/>
  <c r="C22" i="8"/>
  <c r="I22" i="8" s="1"/>
  <c r="R22" i="8" s="1"/>
  <c r="A22" i="8"/>
  <c r="H22" i="8" s="1"/>
  <c r="Q22" i="8" s="1"/>
  <c r="J21" i="8"/>
  <c r="S21" i="8" s="1"/>
  <c r="C21" i="8"/>
  <c r="I21" i="8" s="1"/>
  <c r="R21" i="8" s="1"/>
  <c r="A21" i="8"/>
  <c r="H21" i="8" s="1"/>
  <c r="Q21" i="8" s="1"/>
  <c r="J20" i="8"/>
  <c r="S20" i="8" s="1"/>
  <c r="C20" i="8"/>
  <c r="I20" i="8" s="1"/>
  <c r="R20" i="8" s="1"/>
  <c r="A20" i="8"/>
  <c r="H20" i="8" s="1"/>
  <c r="Q20" i="8" s="1"/>
  <c r="J19" i="8"/>
  <c r="S19" i="8" s="1"/>
  <c r="C19" i="8"/>
  <c r="I19" i="8" s="1"/>
  <c r="R19" i="8" s="1"/>
  <c r="A19" i="8"/>
  <c r="H19" i="8" s="1"/>
  <c r="Q19" i="8" s="1"/>
  <c r="J18" i="8"/>
  <c r="S18" i="8" s="1"/>
  <c r="C18" i="8"/>
  <c r="I18" i="8" s="1"/>
  <c r="R18" i="8" s="1"/>
  <c r="A18" i="8"/>
  <c r="H18" i="8" s="1"/>
  <c r="Q18" i="8" s="1"/>
  <c r="J17" i="8"/>
  <c r="S17" i="8" s="1"/>
  <c r="C17" i="8"/>
  <c r="I17" i="8" s="1"/>
  <c r="R17" i="8" s="1"/>
  <c r="A17" i="8"/>
  <c r="H17" i="8" s="1"/>
  <c r="Q17" i="8" s="1"/>
  <c r="J16" i="8"/>
  <c r="S16" i="8" s="1"/>
  <c r="C16" i="8"/>
  <c r="I16" i="8" s="1"/>
  <c r="R16" i="8" s="1"/>
  <c r="A16" i="8"/>
  <c r="H16" i="8" s="1"/>
  <c r="Q16" i="8" s="1"/>
  <c r="J15" i="8"/>
  <c r="S15" i="8" s="1"/>
  <c r="C15" i="8"/>
  <c r="I15" i="8" s="1"/>
  <c r="R15" i="8" s="1"/>
  <c r="A15" i="8"/>
  <c r="H15" i="8" s="1"/>
  <c r="Q15" i="8" s="1"/>
  <c r="J14" i="8"/>
  <c r="S14" i="8" s="1"/>
  <c r="C14" i="8"/>
  <c r="I14" i="8" s="1"/>
  <c r="R14" i="8" s="1"/>
  <c r="A14" i="8"/>
  <c r="H14" i="8" s="1"/>
  <c r="Q14" i="8" s="1"/>
  <c r="J13" i="8"/>
  <c r="S13" i="8" s="1"/>
  <c r="C13" i="8"/>
  <c r="I13" i="8" s="1"/>
  <c r="R13" i="8" s="1"/>
  <c r="A13" i="8"/>
  <c r="H13" i="8" s="1"/>
  <c r="Q13" i="8" s="1"/>
  <c r="J12" i="8"/>
  <c r="S12" i="8" s="1"/>
  <c r="C12" i="8"/>
  <c r="I12" i="8" s="1"/>
  <c r="R12" i="8" s="1"/>
  <c r="A12" i="8"/>
  <c r="H12" i="8" s="1"/>
  <c r="Q12" i="8" s="1"/>
  <c r="J11" i="8"/>
  <c r="S11" i="8" s="1"/>
  <c r="C11" i="8"/>
  <c r="I11" i="8" s="1"/>
  <c r="R11" i="8" s="1"/>
  <c r="A11" i="8"/>
  <c r="H11" i="8" s="1"/>
  <c r="Q11" i="8" s="1"/>
  <c r="J10" i="8"/>
  <c r="S10" i="8" s="1"/>
  <c r="C10" i="8"/>
  <c r="I10" i="8" s="1"/>
  <c r="R10" i="8" s="1"/>
  <c r="A10" i="8"/>
  <c r="H10" i="8" s="1"/>
  <c r="Q10" i="8" s="1"/>
  <c r="J9" i="8"/>
  <c r="S9" i="8" s="1"/>
  <c r="C9" i="8"/>
  <c r="I9" i="8" s="1"/>
  <c r="R9" i="8" s="1"/>
  <c r="A9" i="8"/>
  <c r="H9" i="8" s="1"/>
  <c r="Q9" i="8" s="1"/>
  <c r="J8" i="8"/>
  <c r="S8" i="8" s="1"/>
  <c r="C8" i="8"/>
  <c r="I8" i="8" s="1"/>
  <c r="R8" i="8" s="1"/>
  <c r="A8" i="8"/>
  <c r="H8" i="8" s="1"/>
  <c r="Q8" i="8" s="1"/>
  <c r="J7" i="8"/>
  <c r="S7" i="8" s="1"/>
  <c r="C7" i="8"/>
  <c r="I7" i="8" s="1"/>
  <c r="R7" i="8" s="1"/>
  <c r="A7" i="8"/>
  <c r="H7" i="8" s="1"/>
  <c r="Q7" i="8" s="1"/>
  <c r="J6" i="8"/>
  <c r="S6" i="8" s="1"/>
  <c r="C6" i="8"/>
  <c r="I6" i="8" s="1"/>
  <c r="R6" i="8" s="1"/>
  <c r="A6" i="8"/>
  <c r="H6" i="8" s="1"/>
  <c r="Q6" i="8" s="1"/>
  <c r="J5" i="8"/>
  <c r="S5" i="8" s="1"/>
  <c r="C5" i="8"/>
  <c r="I5" i="8" s="1"/>
  <c r="R5" i="8" s="1"/>
  <c r="A5" i="8"/>
  <c r="H5" i="8" s="1"/>
  <c r="Q5" i="8" s="1"/>
  <c r="J4" i="8"/>
  <c r="S4" i="8" s="1"/>
  <c r="C4" i="8"/>
  <c r="I4" i="8" s="1"/>
  <c r="R4" i="8" s="1"/>
  <c r="A4" i="8"/>
  <c r="H4" i="8" s="1"/>
  <c r="Q4" i="8" s="1"/>
  <c r="J3" i="8"/>
  <c r="S3" i="8" s="1"/>
  <c r="C3" i="8"/>
  <c r="I3" i="8" s="1"/>
  <c r="R3" i="8" s="1"/>
  <c r="A3" i="8"/>
  <c r="H3" i="8" s="1"/>
  <c r="Q3" i="8" s="1"/>
  <c r="J2" i="8"/>
  <c r="S2" i="8" s="1"/>
  <c r="C2" i="8"/>
  <c r="I2" i="8" s="1"/>
  <c r="R2" i="8" s="1"/>
  <c r="A2" i="8"/>
  <c r="H2" i="8" s="1"/>
  <c r="Q2" i="8" s="1"/>
  <c r="K629" i="8" l="1"/>
  <c r="K637" i="8"/>
  <c r="K641" i="8"/>
  <c r="K654" i="8"/>
  <c r="K634" i="8"/>
  <c r="K643" i="8"/>
  <c r="K659" i="8"/>
  <c r="K648" i="8"/>
  <c r="K652" i="8"/>
  <c r="K664" i="8"/>
  <c r="K668" i="8"/>
  <c r="K662" i="8"/>
  <c r="K666" i="8"/>
  <c r="K670" i="8"/>
  <c r="K656" i="8"/>
  <c r="K671" i="8"/>
  <c r="K675" i="8"/>
  <c r="K631" i="8"/>
  <c r="K633" i="8"/>
  <c r="K636" i="8"/>
  <c r="K640" i="8"/>
  <c r="K647" i="8"/>
  <c r="K651" i="8"/>
  <c r="K665" i="8"/>
  <c r="K669" i="8"/>
  <c r="K673" i="8"/>
  <c r="K213" i="8"/>
  <c r="K674" i="8"/>
  <c r="K672" i="8"/>
  <c r="K632" i="8"/>
  <c r="K639" i="8"/>
  <c r="K644" i="8"/>
  <c r="K646" i="8"/>
  <c r="K650" i="8"/>
  <c r="K658" i="8"/>
  <c r="K661" i="8"/>
  <c r="K118" i="8"/>
  <c r="K626" i="8"/>
  <c r="K617" i="8"/>
  <c r="K625" i="8"/>
  <c r="K663" i="8"/>
  <c r="K667" i="8"/>
  <c r="K449" i="8"/>
  <c r="K444" i="8"/>
  <c r="K630" i="8"/>
  <c r="K635" i="8"/>
  <c r="K638" i="8"/>
  <c r="K642" i="8"/>
  <c r="K645" i="8"/>
  <c r="K649" i="8"/>
  <c r="K653" i="8"/>
  <c r="K655" i="8"/>
  <c r="K657" i="8"/>
  <c r="K660" i="8"/>
  <c r="K577" i="8"/>
  <c r="K148" i="8"/>
  <c r="K283" i="8"/>
  <c r="K343" i="8"/>
  <c r="K485" i="8"/>
  <c r="K489" i="8"/>
  <c r="K361" i="8"/>
  <c r="K482" i="8"/>
  <c r="K486" i="8"/>
  <c r="K509" i="8"/>
  <c r="K513" i="8"/>
  <c r="K541" i="8"/>
  <c r="K38" i="8"/>
  <c r="K522" i="8"/>
  <c r="K542" i="8"/>
  <c r="K342" i="8"/>
  <c r="K576" i="8"/>
  <c r="K537" i="8"/>
  <c r="K530" i="8"/>
  <c r="K196" i="8"/>
  <c r="K327" i="8"/>
  <c r="K368" i="8"/>
  <c r="K376" i="8"/>
  <c r="K378" i="8"/>
  <c r="K393" i="8"/>
  <c r="K570" i="8"/>
  <c r="K573" i="8"/>
  <c r="K379" i="8"/>
  <c r="K390" i="8"/>
  <c r="K595" i="8"/>
  <c r="K320" i="8"/>
  <c r="K508" i="8"/>
  <c r="K366" i="8"/>
  <c r="K370" i="8"/>
  <c r="K375" i="8"/>
  <c r="K459" i="8"/>
  <c r="K472" i="8"/>
  <c r="K586" i="8"/>
  <c r="K130" i="8"/>
  <c r="K7" i="8"/>
  <c r="K59" i="8"/>
  <c r="K129" i="8"/>
  <c r="K316" i="8"/>
  <c r="K584" i="8"/>
  <c r="K104" i="8"/>
  <c r="K301" i="8"/>
  <c r="K458" i="8"/>
  <c r="K331" i="8"/>
  <c r="K280" i="8"/>
  <c r="K492" i="8"/>
  <c r="K302" i="8"/>
  <c r="K89" i="8"/>
  <c r="K146" i="8"/>
  <c r="K58" i="8"/>
  <c r="K116" i="8"/>
  <c r="K128" i="8"/>
  <c r="K164" i="8"/>
  <c r="K256" i="8"/>
  <c r="K247" i="8"/>
  <c r="K99" i="8"/>
  <c r="K188" i="8"/>
  <c r="K270" i="8"/>
  <c r="K452" i="8"/>
  <c r="K505" i="8"/>
  <c r="K564" i="8"/>
  <c r="K567" i="8"/>
  <c r="K603" i="8"/>
  <c r="K313" i="8"/>
  <c r="K339" i="8"/>
  <c r="K384" i="8"/>
  <c r="K403" i="8"/>
  <c r="K533" i="8"/>
  <c r="K535" i="8"/>
  <c r="K107" i="8"/>
  <c r="K234" i="8"/>
  <c r="K262" i="8"/>
  <c r="K423" i="8"/>
  <c r="K442" i="8"/>
  <c r="K453" i="8"/>
  <c r="K474" i="8"/>
  <c r="K550" i="8"/>
  <c r="K46" i="8"/>
  <c r="K122" i="8"/>
  <c r="K140" i="8"/>
  <c r="K157" i="8"/>
  <c r="K314" i="8"/>
  <c r="K337" i="8"/>
  <c r="K354" i="8"/>
  <c r="K404" i="8"/>
  <c r="K410" i="8"/>
  <c r="K414" i="8"/>
  <c r="K494" i="8"/>
  <c r="K276" i="8"/>
  <c r="K463" i="8"/>
  <c r="K518" i="8"/>
  <c r="K608" i="8"/>
  <c r="K170" i="8"/>
  <c r="K308" i="8"/>
  <c r="K355" i="8"/>
  <c r="K493" i="8"/>
  <c r="K523" i="8"/>
  <c r="K531" i="8"/>
  <c r="K534" i="8"/>
  <c r="K536" i="8"/>
  <c r="K165" i="8"/>
  <c r="K24" i="8"/>
  <c r="K76" i="8"/>
  <c r="K178" i="8"/>
  <c r="K319" i="8"/>
  <c r="K451" i="8"/>
  <c r="K61" i="8"/>
  <c r="K90" i="8"/>
  <c r="K121" i="8"/>
  <c r="K202" i="8"/>
  <c r="K293" i="8"/>
  <c r="K303" i="8"/>
  <c r="K305" i="8"/>
  <c r="K336" i="8"/>
  <c r="K352" i="8"/>
  <c r="K364" i="8"/>
  <c r="K396" i="8"/>
  <c r="K521" i="8"/>
  <c r="K581" i="8"/>
  <c r="K84" i="8"/>
  <c r="K19" i="8"/>
  <c r="K26" i="8"/>
  <c r="K36" i="8"/>
  <c r="K64" i="8"/>
  <c r="K81" i="8"/>
  <c r="K85" i="8"/>
  <c r="K114" i="8"/>
  <c r="K145" i="8"/>
  <c r="K176" i="8"/>
  <c r="K212" i="8"/>
  <c r="K299" i="8"/>
  <c r="K330" i="8"/>
  <c r="K350" i="8"/>
  <c r="K372" i="8"/>
  <c r="K399" i="8"/>
  <c r="K412" i="8"/>
  <c r="K437" i="8"/>
  <c r="K497" i="8"/>
  <c r="K501" i="8"/>
  <c r="K507" i="8"/>
  <c r="K525" i="8"/>
  <c r="K528" i="8"/>
  <c r="K551" i="8"/>
  <c r="K591" i="8"/>
  <c r="K600" i="8"/>
  <c r="K233" i="8"/>
  <c r="K365" i="8"/>
  <c r="K225" i="8"/>
  <c r="K4" i="8"/>
  <c r="K119" i="8"/>
  <c r="K160" i="8"/>
  <c r="K205" i="8"/>
  <c r="K220" i="8"/>
  <c r="K238" i="8"/>
  <c r="K266" i="8"/>
  <c r="K290" i="8"/>
  <c r="K358" i="8"/>
  <c r="K515" i="8"/>
  <c r="K613" i="8"/>
  <c r="K108" i="8"/>
  <c r="K48" i="8"/>
  <c r="K56" i="8"/>
  <c r="K103" i="8"/>
  <c r="K190" i="8"/>
  <c r="K197" i="8"/>
  <c r="K209" i="8"/>
  <c r="K294" i="8"/>
  <c r="K318" i="8"/>
  <c r="K353" i="8"/>
  <c r="K394" i="8"/>
  <c r="K438" i="8"/>
  <c r="K466" i="8"/>
  <c r="K519" i="8"/>
  <c r="K548" i="8"/>
  <c r="K582" i="8"/>
  <c r="K592" i="8"/>
  <c r="K242" i="8"/>
  <c r="K300" i="8"/>
  <c r="K112" i="8"/>
  <c r="K413" i="8"/>
  <c r="K421" i="8"/>
  <c r="K432" i="8"/>
  <c r="K502" i="8"/>
  <c r="K580" i="8"/>
  <c r="K35" i="8"/>
  <c r="K62" i="8"/>
  <c r="K86" i="8"/>
  <c r="K152" i="8"/>
  <c r="K161" i="8"/>
  <c r="K198" i="8"/>
  <c r="K200" i="8"/>
  <c r="K204" i="8"/>
  <c r="K210" i="8"/>
  <c r="K236" i="8"/>
  <c r="K241" i="8"/>
  <c r="K321" i="8"/>
  <c r="K386" i="8"/>
  <c r="K395" i="8"/>
  <c r="K397" i="8"/>
  <c r="K406" i="8"/>
  <c r="K411" i="8"/>
  <c r="K435" i="8"/>
  <c r="K439" i="8"/>
  <c r="K495" i="8"/>
  <c r="K499" i="8"/>
  <c r="K527" i="8"/>
  <c r="K583" i="8"/>
  <c r="K620" i="8"/>
  <c r="K45" i="8"/>
  <c r="K240" i="8"/>
  <c r="K295" i="8"/>
  <c r="K424" i="8"/>
  <c r="K484" i="8"/>
  <c r="K115" i="8"/>
  <c r="K143" i="8"/>
  <c r="K163" i="8"/>
  <c r="K47" i="8"/>
  <c r="K63" i="8"/>
  <c r="K133" i="8"/>
  <c r="K182" i="8"/>
  <c r="K201" i="8"/>
  <c r="K217" i="8"/>
  <c r="K224" i="8"/>
  <c r="K231" i="8"/>
  <c r="K243" i="8"/>
  <c r="K264" i="8"/>
  <c r="K288" i="8"/>
  <c r="K298" i="8"/>
  <c r="K312" i="8"/>
  <c r="K360" i="8"/>
  <c r="K377" i="8"/>
  <c r="K389" i="8"/>
  <c r="K433" i="8"/>
  <c r="K457" i="8"/>
  <c r="K481" i="8"/>
  <c r="K488" i="8"/>
  <c r="K490" i="8"/>
  <c r="K22" i="8"/>
  <c r="K49" i="8"/>
  <c r="K71" i="8"/>
  <c r="K80" i="8"/>
  <c r="K131" i="8"/>
  <c r="K144" i="8"/>
  <c r="K172" i="8"/>
  <c r="K310" i="8"/>
  <c r="K322" i="8"/>
  <c r="K357" i="8"/>
  <c r="K398" i="8"/>
  <c r="K430" i="8"/>
  <c r="K436" i="8"/>
  <c r="K475" i="8"/>
  <c r="K579" i="8"/>
  <c r="K590" i="8"/>
  <c r="K612" i="8"/>
  <c r="K73" i="8"/>
  <c r="K43" i="8"/>
  <c r="K15" i="8"/>
  <c r="K31" i="8"/>
  <c r="K33" i="8"/>
  <c r="K52" i="8"/>
  <c r="K78" i="8"/>
  <c r="K189" i="8"/>
  <c r="K57" i="8"/>
  <c r="K70" i="8"/>
  <c r="K98" i="8"/>
  <c r="K101" i="8"/>
  <c r="K110" i="8"/>
  <c r="K125" i="8"/>
  <c r="K137" i="8"/>
  <c r="K147" i="8"/>
  <c r="K171" i="8"/>
  <c r="K179" i="8"/>
  <c r="K44" i="8"/>
  <c r="K585" i="8"/>
  <c r="K66" i="8"/>
  <c r="K25" i="8"/>
  <c r="K40" i="8"/>
  <c r="K50" i="8"/>
  <c r="K53" i="8"/>
  <c r="K92" i="8"/>
  <c r="K127" i="8"/>
  <c r="K150" i="8"/>
  <c r="K156" i="8"/>
  <c r="K181" i="8"/>
  <c r="K192" i="8"/>
  <c r="K211" i="8"/>
  <c r="K257" i="8"/>
  <c r="K369" i="8"/>
  <c r="K11" i="8"/>
  <c r="K20" i="8"/>
  <c r="K30" i="8"/>
  <c r="K60" i="8"/>
  <c r="K67" i="8"/>
  <c r="K77" i="8"/>
  <c r="K102" i="8"/>
  <c r="K105" i="8"/>
  <c r="K180" i="8"/>
  <c r="K2" i="8"/>
  <c r="K5" i="8"/>
  <c r="K29" i="8"/>
  <c r="K41" i="8"/>
  <c r="K54" i="8"/>
  <c r="K74" i="8"/>
  <c r="K82" i="8"/>
  <c r="K95" i="8"/>
  <c r="K141" i="8"/>
  <c r="K159" i="8"/>
  <c r="K218" i="8"/>
  <c r="K248" i="8"/>
  <c r="K338" i="8"/>
  <c r="K21" i="8"/>
  <c r="K32" i="8"/>
  <c r="K75" i="8"/>
  <c r="K79" i="8"/>
  <c r="K87" i="8"/>
  <c r="K93" i="8"/>
  <c r="K113" i="8"/>
  <c r="K120" i="8"/>
  <c r="K124" i="8"/>
  <c r="K134" i="8"/>
  <c r="K149" i="8"/>
  <c r="K166" i="8"/>
  <c r="K185" i="8"/>
  <c r="K199" i="8"/>
  <c r="K363" i="8"/>
  <c r="K16" i="8"/>
  <c r="K3" i="8"/>
  <c r="K9" i="8"/>
  <c r="K51" i="8"/>
  <c r="K65" i="8"/>
  <c r="K72" i="8"/>
  <c r="K123" i="8"/>
  <c r="K168" i="8"/>
  <c r="K203" i="8"/>
  <c r="K228" i="8"/>
  <c r="K235" i="8"/>
  <c r="K596" i="8"/>
  <c r="K13" i="8"/>
  <c r="K18" i="8"/>
  <c r="K28" i="8"/>
  <c r="K83" i="8"/>
  <c r="K94" i="8"/>
  <c r="K100" i="8"/>
  <c r="K158" i="8"/>
  <c r="K194" i="8"/>
  <c r="K206" i="8"/>
  <c r="K223" i="8"/>
  <c r="K136" i="8"/>
  <c r="K153" i="8"/>
  <c r="K173" i="8"/>
  <c r="K195" i="8"/>
  <c r="K249" i="8"/>
  <c r="K253" i="8"/>
  <c r="K267" i="8"/>
  <c r="K292" i="8"/>
  <c r="K329" i="8"/>
  <c r="K340" i="8"/>
  <c r="K356" i="8"/>
  <c r="K359" i="8"/>
  <c r="K419" i="8"/>
  <c r="K462" i="8"/>
  <c r="K470" i="8"/>
  <c r="K556" i="8"/>
  <c r="K559" i="8"/>
  <c r="K561" i="8"/>
  <c r="K571" i="8"/>
  <c r="K245" i="8"/>
  <c r="K252" i="8"/>
  <c r="K271" i="8"/>
  <c r="K274" i="8"/>
  <c r="K278" i="8"/>
  <c r="K324" i="8"/>
  <c r="K408" i="8"/>
  <c r="K427" i="8"/>
  <c r="K434" i="8"/>
  <c r="K447" i="8"/>
  <c r="K456" i="8"/>
  <c r="K468" i="8"/>
  <c r="K478" i="8"/>
  <c r="K487" i="8"/>
  <c r="K504" i="8"/>
  <c r="K512" i="8"/>
  <c r="K514" i="8"/>
  <c r="K546" i="8"/>
  <c r="K553" i="8"/>
  <c r="K568" i="8"/>
  <c r="K597" i="8"/>
  <c r="K622" i="8"/>
  <c r="K460" i="8"/>
  <c r="K516" i="8"/>
  <c r="K261" i="8"/>
  <c r="K297" i="8"/>
  <c r="K332" i="8"/>
  <c r="K341" i="8"/>
  <c r="K344" i="8"/>
  <c r="K346" i="8"/>
  <c r="K441" i="8"/>
  <c r="K450" i="8"/>
  <c r="K506" i="8"/>
  <c r="K538" i="8"/>
  <c r="K604" i="8"/>
  <c r="K618" i="8"/>
  <c r="K96" i="8"/>
  <c r="K106" i="8"/>
  <c r="K111" i="8"/>
  <c r="K151" i="8"/>
  <c r="K167" i="8"/>
  <c r="K174" i="8"/>
  <c r="K183" i="8"/>
  <c r="K193" i="8"/>
  <c r="K216" i="8"/>
  <c r="K246" i="8"/>
  <c r="K250" i="8"/>
  <c r="K254" i="8"/>
  <c r="K268" i="8"/>
  <c r="K326" i="8"/>
  <c r="K392" i="8"/>
  <c r="K402" i="8"/>
  <c r="K417" i="8"/>
  <c r="K428" i="8"/>
  <c r="K469" i="8"/>
  <c r="K479" i="8"/>
  <c r="K543" i="8"/>
  <c r="K554" i="8"/>
  <c r="K557" i="8"/>
  <c r="K560" i="8"/>
  <c r="K598" i="8"/>
  <c r="K609" i="8"/>
  <c r="K615" i="8"/>
  <c r="K623" i="8"/>
  <c r="K272" i="8"/>
  <c r="K420" i="8"/>
  <c r="K464" i="8"/>
  <c r="K471" i="8"/>
  <c r="K574" i="8"/>
  <c r="K207" i="8"/>
  <c r="K227" i="8"/>
  <c r="K232" i="8"/>
  <c r="K255" i="8"/>
  <c r="K260" i="8"/>
  <c r="K265" i="8"/>
  <c r="K275" i="8"/>
  <c r="K281" i="8"/>
  <c r="K289" i="8"/>
  <c r="K306" i="8"/>
  <c r="K311" i="8"/>
  <c r="K387" i="8"/>
  <c r="K409" i="8"/>
  <c r="K425" i="8"/>
  <c r="K448" i="8"/>
  <c r="K476" i="8"/>
  <c r="K517" i="8"/>
  <c r="K520" i="8"/>
  <c r="K529" i="8"/>
  <c r="K569" i="8"/>
  <c r="K226" i="8"/>
  <c r="K251" i="8"/>
  <c r="K269" i="8"/>
  <c r="K286" i="8"/>
  <c r="K291" i="8"/>
  <c r="K296" i="8"/>
  <c r="K304" i="8"/>
  <c r="K334" i="8"/>
  <c r="K347" i="8"/>
  <c r="K418" i="8"/>
  <c r="K532" i="8"/>
  <c r="K539" i="8"/>
  <c r="K544" i="8"/>
  <c r="K549" i="8"/>
  <c r="K572" i="8"/>
  <c r="K575" i="8"/>
  <c r="K578" i="8"/>
  <c r="K605" i="8"/>
  <c r="K345" i="8"/>
  <c r="K349" i="8"/>
  <c r="K400" i="8"/>
  <c r="K555" i="8"/>
  <c r="K558" i="8"/>
  <c r="K273" i="8"/>
  <c r="K277" i="8"/>
  <c r="K285" i="8"/>
  <c r="K371" i="8"/>
  <c r="K416" i="8"/>
  <c r="K431" i="8"/>
  <c r="K440" i="8"/>
  <c r="K467" i="8"/>
  <c r="K483" i="8"/>
  <c r="K491" i="8"/>
  <c r="K547" i="8"/>
  <c r="K552" i="8"/>
  <c r="K616" i="8"/>
  <c r="K191" i="8"/>
  <c r="K221" i="8"/>
  <c r="K230" i="8"/>
  <c r="K237" i="8"/>
  <c r="K244" i="8"/>
  <c r="K259" i="8"/>
  <c r="K279" i="8"/>
  <c r="K282" i="8"/>
  <c r="K307" i="8"/>
  <c r="K348" i="8"/>
  <c r="K362" i="8"/>
  <c r="K374" i="8"/>
  <c r="K382" i="8"/>
  <c r="K388" i="8"/>
  <c r="K415" i="8"/>
  <c r="K426" i="8"/>
  <c r="K446" i="8"/>
  <c r="K455" i="8"/>
  <c r="K477" i="8"/>
  <c r="K496" i="8"/>
  <c r="K503" i="8"/>
  <c r="K511" i="8"/>
  <c r="K524" i="8"/>
  <c r="K545" i="8"/>
  <c r="K566" i="8"/>
  <c r="K601" i="8"/>
  <c r="K621" i="8"/>
  <c r="K12" i="8"/>
  <c r="K6" i="8"/>
  <c r="K14" i="8"/>
  <c r="K97" i="8"/>
  <c r="K139" i="8"/>
  <c r="K184" i="8"/>
  <c r="K229" i="8"/>
  <c r="K37" i="8"/>
  <c r="K55" i="8"/>
  <c r="K69" i="8"/>
  <c r="K215" i="8"/>
  <c r="K10" i="8"/>
  <c r="K109" i="8"/>
  <c r="K169" i="8"/>
  <c r="K91" i="8"/>
  <c r="K132" i="8"/>
  <c r="K138" i="8"/>
  <c r="K162" i="8"/>
  <c r="K222" i="8"/>
  <c r="K8" i="8"/>
  <c r="K17" i="8"/>
  <c r="K34" i="8"/>
  <c r="K39" i="8"/>
  <c r="K88" i="8"/>
  <c r="K177" i="8"/>
  <c r="K23" i="8"/>
  <c r="K154" i="8"/>
  <c r="K175" i="8"/>
  <c r="K186" i="8"/>
  <c r="K27" i="8"/>
  <c r="K117" i="8"/>
  <c r="K126" i="8"/>
  <c r="K135" i="8"/>
  <c r="K214" i="8"/>
  <c r="K219" i="8"/>
  <c r="K42" i="8"/>
  <c r="K68" i="8"/>
  <c r="K142" i="8"/>
  <c r="K155" i="8"/>
  <c r="K187" i="8"/>
  <c r="K208" i="8"/>
  <c r="K287" i="8"/>
  <c r="K284" i="8"/>
  <c r="K258" i="8"/>
  <c r="K239" i="8"/>
  <c r="K309" i="8"/>
  <c r="K263" i="8"/>
  <c r="K328" i="8"/>
  <c r="K325" i="8"/>
  <c r="K317" i="8"/>
  <c r="K333" i="8"/>
  <c r="K323" i="8"/>
  <c r="K367" i="8"/>
  <c r="K315" i="8"/>
  <c r="K373" i="8"/>
  <c r="K383" i="8"/>
  <c r="K445" i="8"/>
  <c r="K500" i="8"/>
  <c r="K380" i="8"/>
  <c r="K391" i="8"/>
  <c r="K422" i="8"/>
  <c r="K351" i="8"/>
  <c r="K405" i="8"/>
  <c r="K429" i="8"/>
  <c r="K461" i="8"/>
  <c r="K465" i="8"/>
  <c r="K473" i="8"/>
  <c r="K381" i="8"/>
  <c r="K407" i="8"/>
  <c r="K443" i="8"/>
  <c r="K498" i="8"/>
  <c r="K526" i="8"/>
  <c r="K335" i="8"/>
  <c r="K480" i="8"/>
  <c r="K401" i="8"/>
  <c r="K454" i="8"/>
  <c r="K510" i="8"/>
  <c r="K385" i="8"/>
  <c r="K540" i="8"/>
  <c r="K562" i="8"/>
  <c r="K565" i="8"/>
  <c r="K563" i="8"/>
  <c r="K587" i="8"/>
  <c r="K606" i="8"/>
  <c r="K628" i="8"/>
  <c r="K588" i="8"/>
  <c r="K593" i="8"/>
  <c r="K599" i="8"/>
  <c r="K602" i="8"/>
  <c r="K607" i="8"/>
  <c r="K610" i="8"/>
  <c r="K614" i="8"/>
  <c r="K627" i="8"/>
  <c r="K611" i="8"/>
  <c r="K589" i="8"/>
  <c r="K594" i="8"/>
  <c r="K619" i="8"/>
  <c r="K624" i="8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2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2" i="6"/>
  <c r="A651" i="1" l="1"/>
  <c r="H651" i="1" s="1"/>
  <c r="A195" i="1"/>
  <c r="H195" i="1" s="1"/>
  <c r="A196" i="1"/>
  <c r="H196" i="1" s="1"/>
  <c r="A194" i="1"/>
  <c r="H194" i="1" s="1"/>
  <c r="A962" i="1"/>
  <c r="H962" i="1" s="1"/>
  <c r="A961" i="1"/>
  <c r="H961" i="1" s="1"/>
  <c r="A609" i="1"/>
  <c r="H609" i="1" s="1"/>
  <c r="A611" i="1"/>
  <c r="H611" i="1" s="1"/>
  <c r="A608" i="1"/>
  <c r="H608" i="1" s="1"/>
  <c r="A180" i="1"/>
  <c r="H180" i="1" s="1"/>
  <c r="A182" i="1"/>
  <c r="H182" i="1" s="1"/>
  <c r="A709" i="1"/>
  <c r="H709" i="1" s="1"/>
  <c r="A80" i="1"/>
  <c r="H80" i="1" s="1"/>
  <c r="A392" i="1"/>
  <c r="H392" i="1" s="1"/>
  <c r="A670" i="1"/>
  <c r="H670" i="1" s="1"/>
  <c r="A278" i="1"/>
  <c r="H278" i="1" s="1"/>
  <c r="A279" i="1"/>
  <c r="H279" i="1" s="1"/>
  <c r="A253" i="1"/>
  <c r="H253" i="1" s="1"/>
  <c r="A254" i="1"/>
  <c r="H254" i="1" s="1"/>
  <c r="A660" i="1"/>
  <c r="H660" i="1" s="1"/>
  <c r="A662" i="1"/>
  <c r="H662" i="1" s="1"/>
  <c r="A661" i="1"/>
  <c r="H661" i="1" s="1"/>
  <c r="A376" i="1"/>
  <c r="H376" i="1" s="1"/>
  <c r="A544" i="1"/>
  <c r="H544" i="1" s="1"/>
  <c r="A593" i="1"/>
  <c r="H593" i="1" s="1"/>
  <c r="A594" i="1"/>
  <c r="H594" i="1" s="1"/>
  <c r="A592" i="1"/>
  <c r="H592" i="1" s="1"/>
  <c r="A99" i="1"/>
  <c r="H99" i="1" s="1"/>
  <c r="A991" i="1"/>
  <c r="H991" i="1" s="1"/>
  <c r="A526" i="1"/>
  <c r="H526" i="1" s="1"/>
  <c r="A647" i="1"/>
  <c r="H647" i="1" s="1"/>
  <c r="A646" i="1"/>
  <c r="H646" i="1" s="1"/>
  <c r="A201" i="1"/>
  <c r="H201" i="1" s="1"/>
  <c r="A203" i="1"/>
  <c r="H203" i="1" s="1"/>
  <c r="A200" i="1"/>
  <c r="H200" i="1" s="1"/>
  <c r="A251" i="1"/>
  <c r="H251" i="1" s="1"/>
  <c r="A773" i="1"/>
  <c r="H773" i="1" s="1"/>
  <c r="A655" i="1"/>
  <c r="H655" i="1" s="1"/>
  <c r="A654" i="1"/>
  <c r="H654" i="1" s="1"/>
  <c r="A208" i="1"/>
  <c r="H208" i="1" s="1"/>
  <c r="A210" i="1"/>
  <c r="H210" i="1" s="1"/>
  <c r="A612" i="1"/>
  <c r="H612" i="1" s="1"/>
  <c r="A330" i="1"/>
  <c r="H330" i="1" s="1"/>
  <c r="A81" i="1"/>
  <c r="H81" i="1" s="1"/>
  <c r="A314" i="1"/>
  <c r="H314" i="1" s="1"/>
  <c r="A554" i="1"/>
  <c r="H554" i="1" s="1"/>
  <c r="A552" i="1"/>
  <c r="H552" i="1" s="1"/>
  <c r="A649" i="1"/>
  <c r="H649" i="1" s="1"/>
  <c r="A648" i="1"/>
  <c r="H648" i="1" s="1"/>
  <c r="A205" i="1"/>
  <c r="H205" i="1" s="1"/>
  <c r="A206" i="1"/>
  <c r="H206" i="1" s="1"/>
  <c r="A204" i="1"/>
  <c r="H204" i="1" s="1"/>
  <c r="A705" i="1"/>
  <c r="H705" i="1" s="1"/>
  <c r="A763" i="1"/>
  <c r="H763" i="1" s="1"/>
  <c r="A181" i="1"/>
  <c r="H181" i="1" s="1"/>
  <c r="A393" i="1"/>
  <c r="H393" i="1" s="1"/>
  <c r="A252" i="1"/>
  <c r="H252" i="1" s="1"/>
  <c r="A665" i="1"/>
  <c r="H665" i="1" s="1"/>
  <c r="A667" i="1"/>
  <c r="H667" i="1" s="1"/>
  <c r="A666" i="1"/>
  <c r="H666" i="1" s="1"/>
  <c r="A377" i="1"/>
  <c r="H377" i="1" s="1"/>
  <c r="A1022" i="1"/>
  <c r="H1022" i="1" s="1"/>
  <c r="A1023" i="1"/>
  <c r="H1023" i="1" s="1"/>
  <c r="A1021" i="1"/>
  <c r="H1021" i="1" s="1"/>
  <c r="A1020" i="1"/>
  <c r="H1020" i="1" s="1"/>
  <c r="A112" i="1"/>
  <c r="H112" i="1" s="1"/>
  <c r="A395" i="1"/>
  <c r="H395" i="1" s="1"/>
  <c r="A426" i="1"/>
  <c r="H426" i="1" s="1"/>
  <c r="A313" i="1"/>
  <c r="H313" i="1" s="1"/>
  <c r="A664" i="1"/>
  <c r="H664" i="1" s="1"/>
  <c r="A381" i="1"/>
  <c r="H381" i="1" s="1"/>
  <c r="A104" i="1"/>
  <c r="H104" i="1" s="1"/>
  <c r="A165" i="1"/>
  <c r="H165" i="1" s="1"/>
  <c r="A292" i="1"/>
  <c r="H292" i="1" s="1"/>
  <c r="A972" i="1"/>
  <c r="H972" i="1" s="1"/>
  <c r="A38" i="1"/>
  <c r="H38" i="1" s="1"/>
  <c r="A269" i="1"/>
  <c r="H269" i="1" s="1"/>
  <c r="A183" i="1"/>
  <c r="H183" i="1" s="1"/>
  <c r="A184" i="1"/>
  <c r="H184" i="1" s="1"/>
  <c r="A966" i="1"/>
  <c r="H966" i="1" s="1"/>
  <c r="A255" i="1"/>
  <c r="H255" i="1" s="1"/>
  <c r="A531" i="1"/>
  <c r="H531" i="1" s="1"/>
  <c r="A532" i="1"/>
  <c r="H532" i="1" s="1"/>
  <c r="A290" i="1"/>
  <c r="H290" i="1" s="1"/>
  <c r="A650" i="1"/>
  <c r="H650" i="1" s="1"/>
  <c r="A198" i="1"/>
  <c r="H198" i="1" s="1"/>
  <c r="A199" i="1"/>
  <c r="H199" i="1" s="1"/>
  <c r="A197" i="1"/>
  <c r="H197" i="1" s="1"/>
  <c r="A528" i="1"/>
  <c r="H528" i="1" s="1"/>
  <c r="A530" i="1"/>
  <c r="H530" i="1" s="1"/>
  <c r="A529" i="1"/>
  <c r="H529" i="1" s="1"/>
  <c r="A555" i="1"/>
  <c r="H555" i="1" s="1"/>
  <c r="A551" i="1"/>
  <c r="H551" i="1" s="1"/>
  <c r="A659" i="1"/>
  <c r="H659" i="1" s="1"/>
  <c r="A658" i="1"/>
  <c r="H658" i="1" s="1"/>
  <c r="A214" i="1"/>
  <c r="H214" i="1" s="1"/>
  <c r="A212" i="1"/>
  <c r="H212" i="1" s="1"/>
  <c r="A329" i="1"/>
  <c r="H329" i="1" s="1"/>
  <c r="A613" i="1"/>
  <c r="H613" i="1" s="1"/>
  <c r="A708" i="1"/>
  <c r="H708" i="1" s="1"/>
  <c r="A387" i="1"/>
  <c r="H387" i="1" s="1"/>
  <c r="A657" i="1"/>
  <c r="H657" i="1" s="1"/>
  <c r="A656" i="1"/>
  <c r="H656" i="1" s="1"/>
  <c r="A786" i="1"/>
  <c r="H786" i="1" s="1"/>
  <c r="A690" i="1"/>
  <c r="H690" i="1" s="1"/>
  <c r="A687" i="1"/>
  <c r="H687" i="1" s="1"/>
  <c r="A692" i="1"/>
  <c r="H692" i="1" s="1"/>
  <c r="A689" i="1"/>
  <c r="H689" i="1" s="1"/>
  <c r="A688" i="1"/>
  <c r="H688" i="1" s="1"/>
  <c r="A84" i="1"/>
  <c r="H84" i="1" s="1"/>
  <c r="A379" i="1"/>
  <c r="H379" i="1" s="1"/>
  <c r="A617" i="1"/>
  <c r="H617" i="1" s="1"/>
  <c r="A100" i="1"/>
  <c r="H100" i="1" s="1"/>
  <c r="A67" i="1"/>
  <c r="H67" i="1" s="1"/>
  <c r="A280" i="1"/>
  <c r="H280" i="1" s="1"/>
  <c r="A85" i="1"/>
  <c r="H85" i="1" s="1"/>
  <c r="A829" i="1"/>
  <c r="H829" i="1" s="1"/>
  <c r="A833" i="1"/>
  <c r="H833" i="1" s="1"/>
  <c r="A831" i="1"/>
  <c r="H831" i="1" s="1"/>
  <c r="A836" i="1"/>
  <c r="H836" i="1" s="1"/>
  <c r="A693" i="1"/>
  <c r="H693" i="1" s="1"/>
  <c r="A95" i="1"/>
  <c r="H95" i="1" s="1"/>
  <c r="A906" i="1"/>
  <c r="H906" i="1" s="1"/>
  <c r="A747" i="1"/>
  <c r="H747" i="1" s="1"/>
  <c r="A748" i="1"/>
  <c r="H748" i="1" s="1"/>
  <c r="A749" i="1"/>
  <c r="H749" i="1" s="1"/>
  <c r="A257" i="1"/>
  <c r="H257" i="1" s="1"/>
  <c r="A838" i="1"/>
  <c r="H838" i="1" s="1"/>
  <c r="A842" i="1"/>
  <c r="H842" i="1" s="1"/>
  <c r="A840" i="1"/>
  <c r="H840" i="1" s="1"/>
  <c r="A845" i="1"/>
  <c r="H845" i="1" s="1"/>
  <c r="A844" i="1"/>
  <c r="H844" i="1" s="1"/>
  <c r="A727" i="1"/>
  <c r="H727" i="1" s="1"/>
  <c r="A728" i="1"/>
  <c r="H728" i="1" s="1"/>
  <c r="A729" i="1"/>
  <c r="H729" i="1" s="1"/>
  <c r="A225" i="1"/>
  <c r="H225" i="1" s="1"/>
  <c r="A588" i="1"/>
  <c r="H588" i="1" s="1"/>
  <c r="A589" i="1"/>
  <c r="H589" i="1" s="1"/>
  <c r="A587" i="1"/>
  <c r="H587" i="1" s="1"/>
  <c r="A908" i="1"/>
  <c r="H908" i="1" s="1"/>
  <c r="A907" i="1"/>
  <c r="H907" i="1" s="1"/>
  <c r="A382" i="1"/>
  <c r="H382" i="1" s="1"/>
  <c r="A350" i="1"/>
  <c r="H350" i="1" s="1"/>
  <c r="A579" i="1"/>
  <c r="H579" i="1" s="1"/>
  <c r="A578" i="1"/>
  <c r="H578" i="1" s="1"/>
  <c r="A577" i="1"/>
  <c r="H577" i="1" s="1"/>
  <c r="A830" i="1"/>
  <c r="H830" i="1" s="1"/>
  <c r="A834" i="1"/>
  <c r="H834" i="1" s="1"/>
  <c r="A832" i="1"/>
  <c r="H832" i="1" s="1"/>
  <c r="A837" i="1"/>
  <c r="H837" i="1" s="1"/>
  <c r="A835" i="1"/>
  <c r="H835" i="1" s="1"/>
  <c r="A909" i="1"/>
  <c r="H909" i="1" s="1"/>
  <c r="A223" i="1"/>
  <c r="H223" i="1" s="1"/>
  <c r="A1014" i="1"/>
  <c r="H1014" i="1" s="1"/>
  <c r="A1015" i="1"/>
  <c r="H1015" i="1" s="1"/>
  <c r="A1013" i="1"/>
  <c r="H1013" i="1" s="1"/>
  <c r="A1016" i="1"/>
  <c r="H1016" i="1" s="1"/>
  <c r="A951" i="1"/>
  <c r="H951" i="1" s="1"/>
  <c r="A545" i="1"/>
  <c r="H545" i="1" s="1"/>
  <c r="A215" i="1"/>
  <c r="H215" i="1" s="1"/>
  <c r="A217" i="1"/>
  <c r="H217" i="1" s="1"/>
  <c r="A213" i="1"/>
  <c r="H213" i="1" s="1"/>
  <c r="A614" i="1"/>
  <c r="H614" i="1" s="1"/>
  <c r="A691" i="1"/>
  <c r="H691" i="1" s="1"/>
  <c r="A971" i="1"/>
  <c r="H971" i="1" s="1"/>
  <c r="A970" i="1"/>
  <c r="H970" i="1" s="1"/>
  <c r="A969" i="1"/>
  <c r="H969" i="1" s="1"/>
  <c r="A263" i="1"/>
  <c r="H263" i="1" s="1"/>
  <c r="A265" i="1"/>
  <c r="H265" i="1" s="1"/>
  <c r="A408" i="1"/>
  <c r="H408" i="1" s="1"/>
  <c r="A407" i="1"/>
  <c r="H407" i="1" s="1"/>
  <c r="A118" i="1"/>
  <c r="H118" i="1" s="1"/>
  <c r="A119" i="1"/>
  <c r="H119" i="1" s="1"/>
  <c r="A120" i="1"/>
  <c r="H120" i="1" s="1"/>
  <c r="A715" i="1"/>
  <c r="H715" i="1" s="1"/>
  <c r="A771" i="1"/>
  <c r="H771" i="1" s="1"/>
  <c r="A769" i="1"/>
  <c r="H769" i="1" s="1"/>
  <c r="A146" i="1"/>
  <c r="H146" i="1" s="1"/>
  <c r="A148" i="1"/>
  <c r="H148" i="1" s="1"/>
  <c r="A150" i="1"/>
  <c r="H150" i="1" s="1"/>
  <c r="A154" i="1"/>
  <c r="H154" i="1" s="1"/>
  <c r="A156" i="1"/>
  <c r="H156" i="1" s="1"/>
  <c r="A158" i="1"/>
  <c r="H158" i="1" s="1"/>
  <c r="A152" i="1"/>
  <c r="H152" i="1" s="1"/>
  <c r="A734" i="1"/>
  <c r="H734" i="1" s="1"/>
  <c r="A735" i="1"/>
  <c r="H735" i="1" s="1"/>
  <c r="A736" i="1"/>
  <c r="H736" i="1" s="1"/>
  <c r="A482" i="1"/>
  <c r="H482" i="1" s="1"/>
  <c r="A566" i="1"/>
  <c r="H566" i="1" s="1"/>
  <c r="A565" i="1"/>
  <c r="H565" i="1" s="1"/>
  <c r="A564" i="1"/>
  <c r="H564" i="1" s="1"/>
  <c r="A103" i="1"/>
  <c r="H103" i="1" s="1"/>
  <c r="A546" i="1"/>
  <c r="H546" i="1" s="1"/>
  <c r="A645" i="1"/>
  <c r="H645" i="1" s="1"/>
  <c r="A121" i="1"/>
  <c r="H121" i="1" s="1"/>
  <c r="A731" i="1"/>
  <c r="H731" i="1" s="1"/>
  <c r="A732" i="1"/>
  <c r="H732" i="1" s="1"/>
  <c r="A733" i="1"/>
  <c r="H733" i="1" s="1"/>
  <c r="A9" i="1"/>
  <c r="H9" i="1" s="1"/>
  <c r="A10" i="1"/>
  <c r="H10" i="1" s="1"/>
  <c r="A722" i="1"/>
  <c r="H722" i="1" s="1"/>
  <c r="A755" i="1"/>
  <c r="H755" i="1" s="1"/>
  <c r="A277" i="1"/>
  <c r="H277" i="1" s="1"/>
  <c r="A561" i="1"/>
  <c r="H561" i="1" s="1"/>
  <c r="A560" i="1"/>
  <c r="H560" i="1" s="1"/>
  <c r="A558" i="1"/>
  <c r="H558" i="1" s="1"/>
  <c r="A409" i="1"/>
  <c r="H409" i="1" s="1"/>
  <c r="A772" i="1"/>
  <c r="H772" i="1" s="1"/>
  <c r="A770" i="1"/>
  <c r="H770" i="1" s="1"/>
  <c r="A147" i="1"/>
  <c r="H147" i="1" s="1"/>
  <c r="A149" i="1"/>
  <c r="H149" i="1" s="1"/>
  <c r="A151" i="1"/>
  <c r="H151" i="1" s="1"/>
  <c r="A155" i="1"/>
  <c r="H155" i="1" s="1"/>
  <c r="A157" i="1"/>
  <c r="H157" i="1" s="1"/>
  <c r="A159" i="1"/>
  <c r="H159" i="1" s="1"/>
  <c r="A153" i="1"/>
  <c r="H153" i="1" s="1"/>
  <c r="A110" i="1"/>
  <c r="H110" i="1" s="1"/>
  <c r="A484" i="1"/>
  <c r="H484" i="1" s="1"/>
  <c r="A166" i="1"/>
  <c r="H166" i="1" s="1"/>
  <c r="A291" i="1"/>
  <c r="H291" i="1" s="1"/>
  <c r="A980" i="1"/>
  <c r="H980" i="1" s="1"/>
  <c r="A891" i="1"/>
  <c r="H891" i="1" s="1"/>
  <c r="A890" i="1"/>
  <c r="H890" i="1" s="1"/>
  <c r="A410" i="1"/>
  <c r="H410" i="1" s="1"/>
  <c r="A745" i="1"/>
  <c r="H745" i="1" s="1"/>
  <c r="A437" i="1"/>
  <c r="H437" i="1" s="1"/>
  <c r="A978" i="1"/>
  <c r="H978" i="1" s="1"/>
  <c r="A40" i="1"/>
  <c r="H40" i="1" s="1"/>
  <c r="A101" i="1"/>
  <c r="H101" i="1" s="1"/>
  <c r="A567" i="1"/>
  <c r="H567" i="1" s="1"/>
  <c r="A264" i="1"/>
  <c r="H264" i="1" s="1"/>
  <c r="A266" i="1"/>
  <c r="H266" i="1" s="1"/>
  <c r="A411" i="1"/>
  <c r="H411" i="1" s="1"/>
  <c r="A990" i="1"/>
  <c r="H990" i="1" s="1"/>
  <c r="A768" i="1"/>
  <c r="H768" i="1" s="1"/>
  <c r="A523" i="1"/>
  <c r="H523" i="1" s="1"/>
  <c r="A885" i="1"/>
  <c r="H885" i="1" s="1"/>
  <c r="A886" i="1"/>
  <c r="H886" i="1" s="1"/>
  <c r="A413" i="1"/>
  <c r="H413" i="1" s="1"/>
  <c r="A710" i="1"/>
  <c r="H710" i="1" s="1"/>
  <c r="A858" i="1"/>
  <c r="H858" i="1" s="1"/>
  <c r="A256" i="1"/>
  <c r="H256" i="1" s="1"/>
  <c r="A742" i="1"/>
  <c r="H742" i="1" s="1"/>
  <c r="A434" i="1"/>
  <c r="H434" i="1" s="1"/>
  <c r="A887" i="1"/>
  <c r="H887" i="1" s="1"/>
  <c r="A888" i="1"/>
  <c r="H888" i="1" s="1"/>
  <c r="A889" i="1"/>
  <c r="H889" i="1" s="1"/>
  <c r="A222" i="1"/>
  <c r="H222" i="1" s="1"/>
  <c r="A605" i="1"/>
  <c r="H605" i="1" s="1"/>
  <c r="A607" i="1"/>
  <c r="H607" i="1" s="1"/>
  <c r="A604" i="1"/>
  <c r="H604" i="1" s="1"/>
  <c r="A716" i="1"/>
  <c r="H716" i="1" s="1"/>
  <c r="A864" i="1"/>
  <c r="H864" i="1" s="1"/>
  <c r="A892" i="1"/>
  <c r="H892" i="1" s="1"/>
  <c r="A893" i="1"/>
  <c r="H893" i="1" s="1"/>
  <c r="A865" i="1"/>
  <c r="H865" i="1" s="1"/>
  <c r="A958" i="1"/>
  <c r="H958" i="1" s="1"/>
  <c r="A536" i="1"/>
  <c r="H536" i="1" s="1"/>
  <c r="A412" i="1"/>
  <c r="H412" i="1" s="1"/>
  <c r="A737" i="1"/>
  <c r="H737" i="1" s="1"/>
  <c r="A58" i="1"/>
  <c r="H58" i="1" s="1"/>
  <c r="A59" i="1"/>
  <c r="H59" i="1" s="1"/>
  <c r="A487" i="1"/>
  <c r="H487" i="1" s="1"/>
  <c r="A511" i="1"/>
  <c r="H511" i="1" s="1"/>
  <c r="A514" i="1"/>
  <c r="H514" i="1" s="1"/>
  <c r="A519" i="1"/>
  <c r="H519" i="1" s="1"/>
  <c r="A517" i="1"/>
  <c r="H517" i="1" s="1"/>
  <c r="A424" i="1"/>
  <c r="H424" i="1" s="1"/>
  <c r="A550" i="1"/>
  <c r="H550" i="1" s="1"/>
  <c r="A549" i="1"/>
  <c r="H549" i="1" s="1"/>
  <c r="A821" i="1"/>
  <c r="H821" i="1" s="1"/>
  <c r="A820" i="1"/>
  <c r="H820" i="1" s="1"/>
  <c r="A819" i="1"/>
  <c r="H819" i="1" s="1"/>
  <c r="A822" i="1"/>
  <c r="H822" i="1" s="1"/>
  <c r="A818" i="1"/>
  <c r="H818" i="1" s="1"/>
  <c r="A817" i="1"/>
  <c r="H817" i="1" s="1"/>
  <c r="A757" i="1"/>
  <c r="H757" i="1" s="1"/>
  <c r="A388" i="1"/>
  <c r="H388" i="1" s="1"/>
  <c r="A583" i="1"/>
  <c r="H583" i="1" s="1"/>
  <c r="A581" i="1"/>
  <c r="H581" i="1" s="1"/>
  <c r="A488" i="1"/>
  <c r="H488" i="1" s="1"/>
  <c r="A548" i="1"/>
  <c r="H548" i="1" s="1"/>
  <c r="A547" i="1"/>
  <c r="H547" i="1" s="1"/>
  <c r="A41" i="1"/>
  <c r="H41" i="1" s="1"/>
  <c r="A764" i="1"/>
  <c r="H764" i="1" s="1"/>
  <c r="A259" i="1"/>
  <c r="H259" i="1" s="1"/>
  <c r="A813" i="1"/>
  <c r="H813" i="1" s="1"/>
  <c r="A812" i="1"/>
  <c r="H812" i="1" s="1"/>
  <c r="A811" i="1"/>
  <c r="H811" i="1" s="1"/>
  <c r="A816" i="1"/>
  <c r="H816" i="1" s="1"/>
  <c r="A810" i="1"/>
  <c r="H810" i="1" s="1"/>
  <c r="A18" i="1"/>
  <c r="H18" i="1" s="1"/>
  <c r="A430" i="1"/>
  <c r="H430" i="1" s="1"/>
  <c r="A968" i="1"/>
  <c r="H968" i="1" s="1"/>
  <c r="A967" i="1"/>
  <c r="H967" i="1" s="1"/>
  <c r="A976" i="1"/>
  <c r="H976" i="1" s="1"/>
  <c r="A42" i="1"/>
  <c r="H42" i="1" s="1"/>
  <c r="A765" i="1"/>
  <c r="H765" i="1" s="1"/>
  <c r="A260" i="1"/>
  <c r="H260" i="1" s="1"/>
  <c r="A512" i="1"/>
  <c r="H512" i="1" s="1"/>
  <c r="A515" i="1"/>
  <c r="H515" i="1" s="1"/>
  <c r="A814" i="1"/>
  <c r="H814" i="1" s="1"/>
  <c r="A389" i="1"/>
  <c r="H389" i="1" s="1"/>
  <c r="A522" i="1"/>
  <c r="H522" i="1" s="1"/>
  <c r="A521" i="1"/>
  <c r="H521" i="1" s="1"/>
  <c r="A472" i="1"/>
  <c r="H472" i="1" s="1"/>
  <c r="A267" i="1"/>
  <c r="H267" i="1" s="1"/>
  <c r="A268" i="1"/>
  <c r="H268" i="1" s="1"/>
  <c r="A164" i="1"/>
  <c r="H164" i="1" s="1"/>
  <c r="A439" i="1"/>
  <c r="H439" i="1" s="1"/>
  <c r="A270" i="1"/>
  <c r="H270" i="1" s="1"/>
  <c r="A788" i="1"/>
  <c r="H788" i="1" s="1"/>
  <c r="A207" i="1"/>
  <c r="H207" i="1" s="1"/>
  <c r="A584" i="1"/>
  <c r="H584" i="1" s="1"/>
  <c r="A580" i="1"/>
  <c r="H580" i="1" s="1"/>
  <c r="A216" i="1"/>
  <c r="H216" i="1" s="1"/>
  <c r="A60" i="1"/>
  <c r="H60" i="1" s="1"/>
  <c r="A185" i="1"/>
  <c r="H185" i="1" s="1"/>
  <c r="A513" i="1"/>
  <c r="H513" i="1" s="1"/>
  <c r="A516" i="1"/>
  <c r="H516" i="1" s="1"/>
  <c r="A520" i="1"/>
  <c r="H520" i="1" s="1"/>
  <c r="A518" i="1"/>
  <c r="H518" i="1" s="1"/>
  <c r="A36" i="1"/>
  <c r="H36" i="1" s="1"/>
  <c r="A37" i="1"/>
  <c r="H37" i="1" s="1"/>
  <c r="A19" i="1"/>
  <c r="H19" i="1" s="1"/>
  <c r="A916" i="1"/>
  <c r="H916" i="1" s="1"/>
  <c r="A917" i="1"/>
  <c r="H917" i="1" s="1"/>
  <c r="A918" i="1"/>
  <c r="H918" i="1" s="1"/>
  <c r="A740" i="1"/>
  <c r="H740" i="1" s="1"/>
  <c r="A872" i="1"/>
  <c r="H872" i="1" s="1"/>
  <c r="A873" i="1"/>
  <c r="H873" i="1" s="1"/>
  <c r="A871" i="1"/>
  <c r="H871" i="1" s="1"/>
  <c r="A394" i="1"/>
  <c r="H394" i="1" s="1"/>
  <c r="A920" i="1"/>
  <c r="H920" i="1" s="1"/>
  <c r="A922" i="1"/>
  <c r="H922" i="1" s="1"/>
  <c r="A924" i="1"/>
  <c r="H924" i="1" s="1"/>
  <c r="A919" i="1"/>
  <c r="H919" i="1" s="1"/>
  <c r="A876" i="1"/>
  <c r="H876" i="1" s="1"/>
  <c r="A878" i="1"/>
  <c r="H878" i="1" s="1"/>
  <c r="A874" i="1"/>
  <c r="H874" i="1" s="1"/>
  <c r="A880" i="1"/>
  <c r="H880" i="1" s="1"/>
  <c r="A717" i="1"/>
  <c r="H717" i="1" s="1"/>
  <c r="A202" i="1"/>
  <c r="H202" i="1" s="1"/>
  <c r="A921" i="1"/>
  <c r="H921" i="1" s="1"/>
  <c r="A923" i="1"/>
  <c r="H923" i="1" s="1"/>
  <c r="A925" i="1"/>
  <c r="H925" i="1" s="1"/>
  <c r="A224" i="1"/>
  <c r="H224" i="1" s="1"/>
  <c r="A877" i="1"/>
  <c r="H877" i="1" s="1"/>
  <c r="A879" i="1"/>
  <c r="H879" i="1" s="1"/>
  <c r="A875" i="1"/>
  <c r="H875" i="1" s="1"/>
  <c r="A226" i="1"/>
  <c r="H226" i="1" s="1"/>
  <c r="A186" i="1"/>
  <c r="H186" i="1" s="1"/>
  <c r="A815" i="1"/>
  <c r="H815" i="1" s="1"/>
  <c r="A977" i="1"/>
  <c r="H977" i="1" s="1"/>
  <c r="A983" i="1"/>
  <c r="H983" i="1" s="1"/>
  <c r="A982" i="1"/>
  <c r="H982" i="1" s="1"/>
  <c r="A981" i="1"/>
  <c r="H981" i="1" s="1"/>
  <c r="A31" i="1"/>
  <c r="H31" i="1" s="1"/>
  <c r="A33" i="1"/>
  <c r="H33" i="1" s="1"/>
  <c r="A406" i="1"/>
  <c r="H406" i="1" s="1"/>
  <c r="A342" i="1"/>
  <c r="H342" i="1" s="1"/>
  <c r="A714" i="1"/>
  <c r="H714" i="1" s="1"/>
  <c r="A713" i="1"/>
  <c r="H713" i="1" s="1"/>
  <c r="A610" i="1"/>
  <c r="H610" i="1" s="1"/>
  <c r="A354" i="1"/>
  <c r="H354" i="1" s="1"/>
  <c r="A355" i="1"/>
  <c r="H355" i="1" s="1"/>
  <c r="A6" i="1"/>
  <c r="H6" i="1" s="1"/>
  <c r="A7" i="1"/>
  <c r="H7" i="1" s="1"/>
  <c r="A390" i="1"/>
  <c r="H390" i="1" s="1"/>
  <c r="A88" i="1"/>
  <c r="H88" i="1" s="1"/>
  <c r="A486" i="1"/>
  <c r="H486" i="1" s="1"/>
  <c r="A401" i="1"/>
  <c r="H401" i="1" s="1"/>
  <c r="A404" i="1"/>
  <c r="H404" i="1" s="1"/>
  <c r="A400" i="1"/>
  <c r="H400" i="1" s="1"/>
  <c r="A405" i="1"/>
  <c r="H405" i="1" s="1"/>
  <c r="A718" i="1"/>
  <c r="H718" i="1" s="1"/>
  <c r="A89" i="1"/>
  <c r="H89" i="1" s="1"/>
  <c r="A90" i="1"/>
  <c r="H90" i="1" s="1"/>
  <c r="A91" i="1"/>
  <c r="H91" i="1" s="1"/>
  <c r="A402" i="1"/>
  <c r="H402" i="1" s="1"/>
  <c r="A391" i="1"/>
  <c r="H391" i="1" s="1"/>
  <c r="A139" i="1"/>
  <c r="H139" i="1" s="1"/>
  <c r="A774" i="1"/>
  <c r="H774" i="1" s="1"/>
  <c r="A39" i="1"/>
  <c r="H39" i="1" s="1"/>
  <c r="A947" i="1"/>
  <c r="H947" i="1" s="1"/>
  <c r="A399" i="1"/>
  <c r="H399" i="1" s="1"/>
  <c r="A726" i="1"/>
  <c r="H726" i="1" s="1"/>
  <c r="A242" i="1"/>
  <c r="H242" i="1" s="1"/>
  <c r="A398" i="1"/>
  <c r="H398" i="1" s="1"/>
  <c r="A92" i="1"/>
  <c r="H92" i="1" s="1"/>
  <c r="A32" i="1"/>
  <c r="H32" i="1" s="1"/>
  <c r="A34" i="1"/>
  <c r="H34" i="1" s="1"/>
  <c r="A8" i="1"/>
  <c r="H8" i="1" s="1"/>
  <c r="A378" i="1"/>
  <c r="H378" i="1" s="1"/>
  <c r="A988" i="1"/>
  <c r="H988" i="1" s="1"/>
  <c r="A73" i="1"/>
  <c r="H73" i="1" s="1"/>
  <c r="A5" i="1"/>
  <c r="H5" i="1" s="1"/>
  <c r="A386" i="1"/>
  <c r="H386" i="1" s="1"/>
  <c r="A943" i="1"/>
  <c r="H943" i="1" s="1"/>
  <c r="A414" i="1"/>
  <c r="H414" i="1" s="1"/>
  <c r="A238" i="1"/>
  <c r="H238" i="1" s="1"/>
  <c r="A237" i="1"/>
  <c r="H237" i="1" s="1"/>
  <c r="A944" i="1"/>
  <c r="H944" i="1" s="1"/>
  <c r="A946" i="1"/>
  <c r="H946" i="1" s="1"/>
  <c r="A562" i="1"/>
  <c r="H562" i="1" s="1"/>
  <c r="A563" i="1"/>
  <c r="H563" i="1" s="1"/>
  <c r="A240" i="1"/>
  <c r="H240" i="1" s="1"/>
  <c r="A239" i="1"/>
  <c r="H239" i="1" s="1"/>
  <c r="A585" i="1"/>
  <c r="H585" i="1" s="1"/>
  <c r="A586" i="1"/>
  <c r="H586" i="1" s="1"/>
  <c r="A601" i="1"/>
  <c r="H601" i="1" s="1"/>
  <c r="A603" i="1"/>
  <c r="H603" i="1" s="1"/>
  <c r="A945" i="1"/>
  <c r="H945" i="1" s="1"/>
  <c r="A590" i="1"/>
  <c r="H590" i="1" s="1"/>
  <c r="A591" i="1"/>
  <c r="H591" i="1" s="1"/>
  <c r="A241" i="1"/>
  <c r="H241" i="1" s="1"/>
  <c r="A556" i="1"/>
  <c r="H556" i="1" s="1"/>
  <c r="A557" i="1"/>
  <c r="H557" i="1" s="1"/>
  <c r="A959" i="1"/>
  <c r="H959" i="1" s="1"/>
  <c r="A955" i="1"/>
  <c r="H955" i="1" s="1"/>
  <c r="A403" i="1"/>
  <c r="H403" i="1" s="1"/>
  <c r="A74" i="1"/>
  <c r="H74" i="1" s="1"/>
  <c r="A71" i="1"/>
  <c r="H71" i="1" s="1"/>
  <c r="A72" i="1"/>
  <c r="H72" i="1" s="1"/>
  <c r="A20" i="1"/>
  <c r="H20" i="1" s="1"/>
  <c r="A21" i="1"/>
  <c r="H21" i="1" s="1"/>
  <c r="A346" i="1"/>
  <c r="H346" i="1" s="1"/>
  <c r="A349" i="1"/>
  <c r="H349" i="1" s="1"/>
  <c r="A167" i="1"/>
  <c r="H167" i="1" s="1"/>
  <c r="A787" i="1"/>
  <c r="H787" i="1" s="1"/>
  <c r="A479" i="1"/>
  <c r="H479" i="1" s="1"/>
  <c r="A478" i="1"/>
  <c r="H478" i="1" s="1"/>
  <c r="A480" i="1"/>
  <c r="H480" i="1" s="1"/>
  <c r="A315" i="1"/>
  <c r="H315" i="1" s="1"/>
  <c r="A316" i="1"/>
  <c r="H316" i="1" s="1"/>
  <c r="A2" i="1"/>
  <c r="H2" i="1" s="1"/>
  <c r="A22" i="1"/>
  <c r="H22" i="1" s="1"/>
  <c r="A344" i="1"/>
  <c r="H344" i="1" s="1"/>
  <c r="A345" i="1"/>
  <c r="H345" i="1" s="1"/>
  <c r="A524" i="1"/>
  <c r="H524" i="1" s="1"/>
  <c r="A473" i="1"/>
  <c r="H473" i="1" s="1"/>
  <c r="A306" i="1"/>
  <c r="H306" i="1" s="1"/>
  <c r="A310" i="1"/>
  <c r="H310" i="1" s="1"/>
  <c r="A23" i="1"/>
  <c r="H23" i="1" s="1"/>
  <c r="A26" i="1"/>
  <c r="H26" i="1" s="1"/>
  <c r="A25" i="1"/>
  <c r="H25" i="1" s="1"/>
  <c r="A27" i="1"/>
  <c r="H27" i="1" s="1"/>
  <c r="A281" i="1"/>
  <c r="H281" i="1" s="1"/>
  <c r="A432" i="1"/>
  <c r="H432" i="1" s="1"/>
  <c r="A347" i="1"/>
  <c r="H347" i="1" s="1"/>
  <c r="A168" i="1"/>
  <c r="H168" i="1" s="1"/>
  <c r="A474" i="1"/>
  <c r="H474" i="1" s="1"/>
  <c r="A307" i="1"/>
  <c r="H307" i="1" s="1"/>
  <c r="A311" i="1"/>
  <c r="H311" i="1" s="1"/>
  <c r="A113" i="1"/>
  <c r="H113" i="1" s="1"/>
  <c r="A114" i="1"/>
  <c r="H114" i="1" s="1"/>
  <c r="A109" i="1"/>
  <c r="H109" i="1" s="1"/>
  <c r="A108" i="1"/>
  <c r="H108" i="1" s="1"/>
  <c r="A107" i="1"/>
  <c r="H107" i="1" s="1"/>
  <c r="A317" i="1"/>
  <c r="H317" i="1" s="1"/>
  <c r="A343" i="1"/>
  <c r="H343" i="1" s="1"/>
  <c r="A318" i="1"/>
  <c r="H318" i="1" s="1"/>
  <c r="A602" i="1"/>
  <c r="H602" i="1" s="1"/>
  <c r="A43" i="1"/>
  <c r="H43" i="1" s="1"/>
  <c r="A986" i="1"/>
  <c r="H986" i="1" s="1"/>
  <c r="A985" i="1"/>
  <c r="H985" i="1" s="1"/>
  <c r="A191" i="1"/>
  <c r="H191" i="1" s="1"/>
  <c r="A193" i="1"/>
  <c r="H193" i="1" s="1"/>
  <c r="A190" i="1"/>
  <c r="H190" i="1" s="1"/>
  <c r="A319" i="1"/>
  <c r="H319" i="1" s="1"/>
  <c r="A282" i="1"/>
  <c r="H282" i="1" s="1"/>
  <c r="A227" i="1"/>
  <c r="H227" i="1" s="1"/>
  <c r="A232" i="1"/>
  <c r="H232" i="1" s="1"/>
  <c r="A229" i="1"/>
  <c r="H229" i="1" s="1"/>
  <c r="A231" i="1"/>
  <c r="H231" i="1" s="1"/>
  <c r="A334" i="1"/>
  <c r="H334" i="1" s="1"/>
  <c r="A338" i="1"/>
  <c r="H338" i="1" s="1"/>
  <c r="A336" i="1"/>
  <c r="H336" i="1" s="1"/>
  <c r="A340" i="1"/>
  <c r="H340" i="1" s="1"/>
  <c r="A333" i="1"/>
  <c r="H333" i="1" s="1"/>
  <c r="A573" i="1"/>
  <c r="H573" i="1" s="1"/>
  <c r="A572" i="1"/>
  <c r="H572" i="1" s="1"/>
  <c r="A571" i="1"/>
  <c r="H571" i="1" s="1"/>
  <c r="A228" i="1"/>
  <c r="H228" i="1" s="1"/>
  <c r="A230" i="1"/>
  <c r="H230" i="1" s="1"/>
  <c r="A335" i="1"/>
  <c r="H335" i="1" s="1"/>
  <c r="A339" i="1"/>
  <c r="H339" i="1" s="1"/>
  <c r="A337" i="1"/>
  <c r="H337" i="1" s="1"/>
  <c r="A341" i="1"/>
  <c r="H341" i="1" s="1"/>
  <c r="A24" i="1"/>
  <c r="H24" i="1" s="1"/>
  <c r="A953" i="1"/>
  <c r="H953" i="1" s="1"/>
  <c r="A481" i="1"/>
  <c r="H481" i="1" s="1"/>
  <c r="A348" i="1"/>
  <c r="H348" i="1" s="1"/>
  <c r="A192" i="1"/>
  <c r="H192" i="1" s="1"/>
  <c r="A974" i="1"/>
  <c r="H974" i="1" s="1"/>
  <c r="A973" i="1"/>
  <c r="H973" i="1" s="1"/>
  <c r="A476" i="1"/>
  <c r="H476" i="1" s="1"/>
  <c r="A948" i="1"/>
  <c r="H948" i="1" s="1"/>
  <c r="A634" i="1"/>
  <c r="H634" i="1" s="1"/>
  <c r="A534" i="1"/>
  <c r="H534" i="1" s="1"/>
  <c r="A535" i="1"/>
  <c r="H535" i="1" s="1"/>
  <c r="A447" i="1"/>
  <c r="H447" i="1" s="1"/>
  <c r="A450" i="1"/>
  <c r="H450" i="1" s="1"/>
  <c r="A446" i="1"/>
  <c r="H446" i="1" s="1"/>
  <c r="A451" i="1"/>
  <c r="H451" i="1" s="1"/>
  <c r="A994" i="1"/>
  <c r="H994" i="1" s="1"/>
  <c r="A992" i="1"/>
  <c r="H992" i="1" s="1"/>
  <c r="A997" i="1"/>
  <c r="H997" i="1" s="1"/>
  <c r="A122" i="1"/>
  <c r="H122" i="1" s="1"/>
  <c r="A124" i="1"/>
  <c r="H124" i="1" s="1"/>
  <c r="A125" i="1"/>
  <c r="H125" i="1" s="1"/>
  <c r="A996" i="1"/>
  <c r="H996" i="1" s="1"/>
  <c r="A283" i="1"/>
  <c r="H283" i="1" s="1"/>
  <c r="A285" i="1"/>
  <c r="H285" i="1" s="1"/>
  <c r="A431" i="1"/>
  <c r="H431" i="1" s="1"/>
  <c r="A775" i="1"/>
  <c r="H775" i="1" s="1"/>
  <c r="A777" i="1"/>
  <c r="H777" i="1" s="1"/>
  <c r="A538" i="1"/>
  <c r="H538" i="1" s="1"/>
  <c r="A477" i="1"/>
  <c r="H477" i="1" s="1"/>
  <c r="A123" i="1"/>
  <c r="H123" i="1" s="1"/>
  <c r="A126" i="1"/>
  <c r="H126" i="1" s="1"/>
  <c r="A448" i="1"/>
  <c r="H448" i="1" s="1"/>
  <c r="A995" i="1"/>
  <c r="H995" i="1" s="1"/>
  <c r="A993" i="1"/>
  <c r="H993" i="1" s="1"/>
  <c r="A998" i="1"/>
  <c r="H998" i="1" s="1"/>
  <c r="A1018" i="1"/>
  <c r="H1018" i="1" s="1"/>
  <c r="A1019" i="1"/>
  <c r="H1019" i="1" s="1"/>
  <c r="A1017" i="1"/>
  <c r="H1017" i="1" s="1"/>
  <c r="A440" i="1"/>
  <c r="H440" i="1" s="1"/>
  <c r="A396" i="1"/>
  <c r="H396" i="1" s="1"/>
  <c r="A425" i="1"/>
  <c r="H425" i="1" s="1"/>
  <c r="A274" i="1"/>
  <c r="H274" i="1" s="1"/>
  <c r="A275" i="1"/>
  <c r="H275" i="1" s="1"/>
  <c r="A444" i="1"/>
  <c r="H444" i="1" s="1"/>
  <c r="A445" i="1"/>
  <c r="H445" i="1" s="1"/>
  <c r="A475" i="1"/>
  <c r="H475" i="1" s="1"/>
  <c r="A506" i="1"/>
  <c r="H506" i="1" s="1"/>
  <c r="A507" i="1"/>
  <c r="H507" i="1" s="1"/>
  <c r="A509" i="1"/>
  <c r="H509" i="1" s="1"/>
  <c r="A441" i="1"/>
  <c r="H441" i="1" s="1"/>
  <c r="A442" i="1"/>
  <c r="H442" i="1" s="1"/>
  <c r="A452" i="1"/>
  <c r="H452" i="1" s="1"/>
  <c r="A508" i="1"/>
  <c r="H508" i="1" s="1"/>
  <c r="A510" i="1"/>
  <c r="H510" i="1" s="1"/>
  <c r="A779" i="1"/>
  <c r="H779" i="1" s="1"/>
  <c r="A780" i="1"/>
  <c r="H780" i="1" s="1"/>
  <c r="A46" i="1"/>
  <c r="H46" i="1" s="1"/>
  <c r="A44" i="1"/>
  <c r="H44" i="1" s="1"/>
  <c r="A187" i="1"/>
  <c r="H187" i="1" s="1"/>
  <c r="A189" i="1"/>
  <c r="H189" i="1" s="1"/>
  <c r="A287" i="1"/>
  <c r="H287" i="1" s="1"/>
  <c r="A286" i="1"/>
  <c r="H286" i="1" s="1"/>
  <c r="A776" i="1"/>
  <c r="H776" i="1" s="1"/>
  <c r="A778" i="1"/>
  <c r="H778" i="1" s="1"/>
  <c r="A926" i="1"/>
  <c r="H926" i="1" s="1"/>
  <c r="A927" i="1"/>
  <c r="H927" i="1" s="1"/>
  <c r="A928" i="1"/>
  <c r="H928" i="1" s="1"/>
  <c r="A750" i="1"/>
  <c r="H750" i="1" s="1"/>
  <c r="A910" i="1"/>
  <c r="H910" i="1" s="1"/>
  <c r="A912" i="1"/>
  <c r="H912" i="1" s="1"/>
  <c r="A914" i="1"/>
  <c r="H914" i="1" s="1"/>
  <c r="A839" i="1"/>
  <c r="H839" i="1" s="1"/>
  <c r="A911" i="1"/>
  <c r="H911" i="1" s="1"/>
  <c r="A913" i="1"/>
  <c r="H913" i="1" s="1"/>
  <c r="A915" i="1"/>
  <c r="H915" i="1" s="1"/>
  <c r="A284" i="1"/>
  <c r="H284" i="1" s="1"/>
  <c r="A956" i="1"/>
  <c r="H956" i="1" s="1"/>
  <c r="A188" i="1"/>
  <c r="H188" i="1" s="1"/>
  <c r="A449" i="1"/>
  <c r="H449" i="1" s="1"/>
  <c r="A533" i="1"/>
  <c r="H533" i="1" s="1"/>
  <c r="A766" i="1"/>
  <c r="H766" i="1" s="1"/>
  <c r="A767" i="1"/>
  <c r="H767" i="1" s="1"/>
  <c r="A799" i="1"/>
  <c r="H799" i="1" s="1"/>
  <c r="A798" i="1"/>
  <c r="H798" i="1" s="1"/>
  <c r="A712" i="1"/>
  <c r="H712" i="1" s="1"/>
  <c r="A427" i="1"/>
  <c r="H427" i="1" s="1"/>
  <c r="A142" i="1"/>
  <c r="H142" i="1" s="1"/>
  <c r="A143" i="1"/>
  <c r="H143" i="1" s="1"/>
  <c r="A75" i="1"/>
  <c r="H75" i="1" s="1"/>
  <c r="A77" i="1"/>
  <c r="H77" i="1" s="1"/>
  <c r="A356" i="1"/>
  <c r="H356" i="1" s="1"/>
  <c r="A711" i="1"/>
  <c r="H711" i="1" s="1"/>
  <c r="A47" i="1"/>
  <c r="H47" i="1" s="1"/>
  <c r="A45" i="1"/>
  <c r="H45" i="1" s="1"/>
  <c r="A3" i="1"/>
  <c r="H3" i="1" s="1"/>
  <c r="A800" i="1"/>
  <c r="H800" i="1" s="1"/>
  <c r="A76" i="1"/>
  <c r="H76" i="1" s="1"/>
  <c r="A11" i="1"/>
  <c r="H11" i="1" s="1"/>
  <c r="A397" i="1"/>
  <c r="H397" i="1" s="1"/>
  <c r="A141" i="1"/>
  <c r="H141" i="1" s="1"/>
  <c r="A140" i="1"/>
  <c r="H140" i="1" s="1"/>
  <c r="A824" i="1"/>
  <c r="H824" i="1" s="1"/>
  <c r="A965" i="1"/>
  <c r="H965" i="1" s="1"/>
  <c r="A443" i="1"/>
  <c r="H443" i="1" s="1"/>
  <c r="A78" i="1"/>
  <c r="H78" i="1" s="1"/>
  <c r="A358" i="1"/>
  <c r="H358" i="1" s="1"/>
  <c r="A360" i="1"/>
  <c r="H360" i="1" s="1"/>
  <c r="A527" i="1"/>
  <c r="H527" i="1" s="1"/>
  <c r="A825" i="1"/>
  <c r="H825" i="1" s="1"/>
  <c r="A79" i="1"/>
  <c r="H79" i="1" s="1"/>
  <c r="A359" i="1"/>
  <c r="H359" i="1" s="1"/>
  <c r="A987" i="1"/>
  <c r="H987" i="1" s="1"/>
  <c r="A793" i="1"/>
  <c r="H793" i="1" s="1"/>
  <c r="A68" i="1"/>
  <c r="H68" i="1" s="1"/>
  <c r="A70" i="1"/>
  <c r="H70" i="1" s="1"/>
  <c r="A48" i="1"/>
  <c r="H48" i="1" s="1"/>
  <c r="A937" i="1"/>
  <c r="H937" i="1" s="1"/>
  <c r="A935" i="1"/>
  <c r="H935" i="1" s="1"/>
  <c r="A936" i="1"/>
  <c r="H936" i="1" s="1"/>
  <c r="A852" i="1"/>
  <c r="H852" i="1" s="1"/>
  <c r="A853" i="1"/>
  <c r="H853" i="1" s="1"/>
  <c r="A1024" i="1"/>
  <c r="H1024" i="1" s="1"/>
  <c r="A940" i="1"/>
  <c r="H940" i="1" s="1"/>
  <c r="A938" i="1"/>
  <c r="H938" i="1" s="1"/>
  <c r="A854" i="1"/>
  <c r="H854" i="1" s="1"/>
  <c r="A856" i="1"/>
  <c r="H856" i="1" s="1"/>
  <c r="A941" i="1"/>
  <c r="H941" i="1" s="1"/>
  <c r="A939" i="1"/>
  <c r="H939" i="1" s="1"/>
  <c r="A942" i="1"/>
  <c r="H942" i="1" s="1"/>
  <c r="A855" i="1"/>
  <c r="H855" i="1" s="1"/>
  <c r="A857" i="1"/>
  <c r="H857" i="1" s="1"/>
  <c r="A794" i="1"/>
  <c r="H794" i="1" s="1"/>
  <c r="A69" i="1"/>
  <c r="H69" i="1" s="1"/>
  <c r="A4" i="1"/>
  <c r="H4" i="1" s="1"/>
  <c r="A49" i="1"/>
  <c r="H49" i="1" s="1"/>
  <c r="A51" i="1"/>
  <c r="H51" i="1" s="1"/>
  <c r="A438" i="1"/>
  <c r="H438" i="1" s="1"/>
  <c r="A326" i="1"/>
  <c r="H326" i="1" s="1"/>
  <c r="A327" i="1"/>
  <c r="H327" i="1" s="1"/>
  <c r="A261" i="1"/>
  <c r="H261" i="1" s="1"/>
  <c r="A262" i="1"/>
  <c r="H262" i="1" s="1"/>
  <c r="A234" i="1"/>
  <c r="H234" i="1" s="1"/>
  <c r="A235" i="1"/>
  <c r="H235" i="1" s="1"/>
  <c r="A669" i="1"/>
  <c r="H669" i="1" s="1"/>
  <c r="A597" i="1"/>
  <c r="H597" i="1" s="1"/>
  <c r="A598" i="1"/>
  <c r="H598" i="1" s="1"/>
  <c r="A595" i="1"/>
  <c r="H595" i="1" s="1"/>
  <c r="A596" i="1"/>
  <c r="H596" i="1" s="1"/>
  <c r="A676" i="1"/>
  <c r="H676" i="1" s="1"/>
  <c r="A679" i="1"/>
  <c r="H679" i="1" s="1"/>
  <c r="A795" i="1"/>
  <c r="H795" i="1" s="1"/>
  <c r="A249" i="1"/>
  <c r="H249" i="1" s="1"/>
  <c r="A681" i="1"/>
  <c r="H681" i="1" s="1"/>
  <c r="A682" i="1"/>
  <c r="H682" i="1" s="1"/>
  <c r="A17" i="1"/>
  <c r="H17" i="1" s="1"/>
  <c r="A984" i="1"/>
  <c r="H984" i="1" s="1"/>
  <c r="A483" i="1"/>
  <c r="H483" i="1" s="1"/>
  <c r="A50" i="1"/>
  <c r="H50" i="1" s="1"/>
  <c r="A52" i="1"/>
  <c r="H52" i="1" s="1"/>
  <c r="A677" i="1"/>
  <c r="H677" i="1" s="1"/>
  <c r="A796" i="1"/>
  <c r="H796" i="1" s="1"/>
  <c r="A741" i="1"/>
  <c r="H741" i="1" s="1"/>
  <c r="A739" i="1"/>
  <c r="H739" i="1" s="1"/>
  <c r="A436" i="1"/>
  <c r="H436" i="1" s="1"/>
  <c r="A111" i="1"/>
  <c r="H111" i="1" s="1"/>
  <c r="A695" i="1"/>
  <c r="H695" i="1" s="1"/>
  <c r="A694" i="1"/>
  <c r="H694" i="1" s="1"/>
  <c r="A696" i="1"/>
  <c r="H696" i="1" s="1"/>
  <c r="A746" i="1"/>
  <c r="H746" i="1" s="1"/>
  <c r="A294" i="1"/>
  <c r="H294" i="1" s="1"/>
  <c r="A293" i="1"/>
  <c r="H293" i="1" s="1"/>
  <c r="A55" i="1"/>
  <c r="H55" i="1" s="1"/>
  <c r="A56" i="1"/>
  <c r="H56" i="1" s="1"/>
  <c r="A429" i="1"/>
  <c r="H429" i="1" s="1"/>
  <c r="A57" i="1"/>
  <c r="H57" i="1" s="1"/>
  <c r="A435" i="1"/>
  <c r="H435" i="1" s="1"/>
  <c r="A65" i="1"/>
  <c r="H65" i="1" s="1"/>
  <c r="A66" i="1"/>
  <c r="H66" i="1" s="1"/>
  <c r="A539" i="1"/>
  <c r="H539" i="1" s="1"/>
  <c r="A751" i="1"/>
  <c r="H751" i="1" s="1"/>
  <c r="A752" i="1"/>
  <c r="H752" i="1" s="1"/>
  <c r="A243" i="1"/>
  <c r="H243" i="1" s="1"/>
  <c r="A244" i="1"/>
  <c r="H244" i="1" s="1"/>
  <c r="A599" i="1"/>
  <c r="H599" i="1" s="1"/>
  <c r="A559" i="1"/>
  <c r="H559" i="1" s="1"/>
  <c r="A245" i="1"/>
  <c r="H245" i="1" s="1"/>
  <c r="A247" i="1"/>
  <c r="H247" i="1" s="1"/>
  <c r="A576" i="1"/>
  <c r="H576" i="1" s="1"/>
  <c r="A575" i="1"/>
  <c r="H575" i="1" s="1"/>
  <c r="A843" i="1"/>
  <c r="H843" i="1" s="1"/>
  <c r="A841" i="1"/>
  <c r="H841" i="1" s="1"/>
  <c r="A846" i="1"/>
  <c r="H846" i="1" s="1"/>
  <c r="A246" i="1"/>
  <c r="H246" i="1" s="1"/>
  <c r="A248" i="1"/>
  <c r="H248" i="1" s="1"/>
  <c r="A574" i="1"/>
  <c r="H574" i="1" s="1"/>
  <c r="A680" i="1"/>
  <c r="H680" i="1" s="1"/>
  <c r="A328" i="1"/>
  <c r="H328" i="1" s="1"/>
  <c r="A675" i="1"/>
  <c r="H675" i="1" s="1"/>
  <c r="A678" i="1"/>
  <c r="H678" i="1" s="1"/>
  <c r="A797" i="1"/>
  <c r="H797" i="1" s="1"/>
  <c r="A700" i="1"/>
  <c r="H700" i="1" s="1"/>
  <c r="A703" i="1"/>
  <c r="H703" i="1" s="1"/>
  <c r="A698" i="1"/>
  <c r="H698" i="1" s="1"/>
  <c r="A161" i="1"/>
  <c r="H161" i="1" s="1"/>
  <c r="A160" i="1"/>
  <c r="H160" i="1" s="1"/>
  <c r="A1002" i="1"/>
  <c r="H1002" i="1" s="1"/>
  <c r="A1005" i="1"/>
  <c r="H1005" i="1" s="1"/>
  <c r="A1004" i="1"/>
  <c r="H1004" i="1" s="1"/>
  <c r="A1003" i="1"/>
  <c r="H1003" i="1" s="1"/>
  <c r="A615" i="1"/>
  <c r="H615" i="1" s="1"/>
  <c r="A759" i="1"/>
  <c r="H759" i="1" s="1"/>
  <c r="A758" i="1"/>
  <c r="H758" i="1" s="1"/>
  <c r="A643" i="1"/>
  <c r="H643" i="1" s="1"/>
  <c r="A635" i="1"/>
  <c r="H635" i="1" s="1"/>
  <c r="A641" i="1"/>
  <c r="H641" i="1" s="1"/>
  <c r="A637" i="1"/>
  <c r="H637" i="1" s="1"/>
  <c r="A639" i="1"/>
  <c r="H639" i="1" s="1"/>
  <c r="A170" i="1"/>
  <c r="H170" i="1" s="1"/>
  <c r="A171" i="1"/>
  <c r="H171" i="1" s="1"/>
  <c r="A537" i="1"/>
  <c r="H537" i="1" s="1"/>
  <c r="A699" i="1"/>
  <c r="H699" i="1" s="1"/>
  <c r="A702" i="1"/>
  <c r="H702" i="1" s="1"/>
  <c r="A1006" i="1"/>
  <c r="H1006" i="1" s="1"/>
  <c r="A1011" i="1"/>
  <c r="H1011" i="1" s="1"/>
  <c r="A1009" i="1"/>
  <c r="H1009" i="1" s="1"/>
  <c r="A1008" i="1"/>
  <c r="H1008" i="1" s="1"/>
  <c r="A365" i="1"/>
  <c r="H365" i="1" s="1"/>
  <c r="A419" i="1"/>
  <c r="H419" i="1" s="1"/>
  <c r="A172" i="1"/>
  <c r="H172" i="1" s="1"/>
  <c r="A162" i="1"/>
  <c r="H162" i="1" s="1"/>
  <c r="A1007" i="1"/>
  <c r="H1007" i="1" s="1"/>
  <c r="A1012" i="1"/>
  <c r="H1012" i="1" s="1"/>
  <c r="A1010" i="1"/>
  <c r="H1010" i="1" s="1"/>
  <c r="A760" i="1"/>
  <c r="H760" i="1" s="1"/>
  <c r="A644" i="1"/>
  <c r="H644" i="1" s="1"/>
  <c r="A636" i="1"/>
  <c r="H636" i="1" s="1"/>
  <c r="A642" i="1"/>
  <c r="H642" i="1" s="1"/>
  <c r="A638" i="1"/>
  <c r="H638" i="1" s="1"/>
  <c r="A640" i="1"/>
  <c r="H640" i="1" s="1"/>
  <c r="A302" i="1"/>
  <c r="H302" i="1" s="1"/>
  <c r="A303" i="1"/>
  <c r="H303" i="1" s="1"/>
  <c r="A979" i="1"/>
  <c r="H979" i="1" s="1"/>
  <c r="A250" i="1"/>
  <c r="H250" i="1" s="1"/>
  <c r="A236" i="1"/>
  <c r="H236" i="1" s="1"/>
  <c r="A219" i="1"/>
  <c r="H219" i="1" s="1"/>
  <c r="A221" i="1"/>
  <c r="H221" i="1" s="1"/>
  <c r="A416" i="1"/>
  <c r="H416" i="1" s="1"/>
  <c r="A701" i="1"/>
  <c r="H701" i="1" s="1"/>
  <c r="A704" i="1"/>
  <c r="H704" i="1" s="1"/>
  <c r="A1000" i="1"/>
  <c r="H1000" i="1" s="1"/>
  <c r="A1001" i="1"/>
  <c r="H1001" i="1" s="1"/>
  <c r="A999" i="1"/>
  <c r="H999" i="1" s="1"/>
  <c r="A761" i="1"/>
  <c r="H761" i="1" s="1"/>
  <c r="A762" i="1"/>
  <c r="H762" i="1" s="1"/>
  <c r="A417" i="1"/>
  <c r="H417" i="1" s="1"/>
  <c r="A179" i="1"/>
  <c r="H179" i="1" s="1"/>
  <c r="A102" i="1"/>
  <c r="H102" i="1" s="1"/>
  <c r="A989" i="1"/>
  <c r="H989" i="1" s="1"/>
  <c r="A420" i="1"/>
  <c r="H420" i="1" s="1"/>
  <c r="A895" i="1"/>
  <c r="H895" i="1" s="1"/>
  <c r="A894" i="1"/>
  <c r="H894" i="1" s="1"/>
  <c r="A218" i="1"/>
  <c r="H218" i="1" s="1"/>
  <c r="A415" i="1"/>
  <c r="H415" i="1" s="1"/>
  <c r="A899" i="1"/>
  <c r="H899" i="1" s="1"/>
  <c r="A898" i="1"/>
  <c r="H898" i="1" s="1"/>
  <c r="A616" i="1"/>
  <c r="H616" i="1" s="1"/>
  <c r="A905" i="1"/>
  <c r="H905" i="1" s="1"/>
  <c r="A903" i="1"/>
  <c r="H903" i="1" s="1"/>
  <c r="A904" i="1"/>
  <c r="H904" i="1" s="1"/>
  <c r="A220" i="1"/>
  <c r="H220" i="1" s="1"/>
  <c r="A163" i="1"/>
  <c r="H163" i="1" s="1"/>
  <c r="A418" i="1"/>
  <c r="H418" i="1" s="1"/>
  <c r="A421" i="1"/>
  <c r="H421" i="1" s="1"/>
  <c r="A792" i="1"/>
  <c r="H792" i="1" s="1"/>
  <c r="A791" i="1"/>
  <c r="H791" i="1" s="1"/>
  <c r="A789" i="1"/>
  <c r="H789" i="1" s="1"/>
  <c r="A362" i="1"/>
  <c r="H362" i="1" s="1"/>
  <c r="A363" i="1"/>
  <c r="H363" i="1" s="1"/>
  <c r="A361" i="1"/>
  <c r="H361" i="1" s="1"/>
  <c r="A364" i="1"/>
  <c r="H364" i="1" s="1"/>
  <c r="A61" i="1"/>
  <c r="H61" i="1" s="1"/>
  <c r="A63" i="1"/>
  <c r="H63" i="1" s="1"/>
  <c r="A683" i="1"/>
  <c r="H683" i="1" s="1"/>
  <c r="A686" i="1"/>
  <c r="H686" i="1" s="1"/>
  <c r="A115" i="1"/>
  <c r="H115" i="1" s="1"/>
  <c r="A721" i="1"/>
  <c r="H721" i="1" s="1"/>
  <c r="A790" i="1"/>
  <c r="H790" i="1" s="1"/>
  <c r="A719" i="1"/>
  <c r="H719" i="1" s="1"/>
  <c r="A807" i="1"/>
  <c r="H807" i="1" s="1"/>
  <c r="A803" i="1"/>
  <c r="H803" i="1" s="1"/>
  <c r="A801" i="1"/>
  <c r="H801" i="1" s="1"/>
  <c r="A805" i="1"/>
  <c r="H805" i="1" s="1"/>
  <c r="A756" i="1"/>
  <c r="H756" i="1" s="1"/>
  <c r="A209" i="1"/>
  <c r="H209" i="1" s="1"/>
  <c r="A211" i="1"/>
  <c r="H211" i="1" s="1"/>
  <c r="A324" i="1"/>
  <c r="H324" i="1" s="1"/>
  <c r="A325" i="1"/>
  <c r="H325" i="1" s="1"/>
  <c r="A725" i="1"/>
  <c r="H725" i="1" s="1"/>
  <c r="A724" i="1"/>
  <c r="H724" i="1" s="1"/>
  <c r="A808" i="1"/>
  <c r="H808" i="1" s="1"/>
  <c r="A804" i="1"/>
  <c r="H804" i="1" s="1"/>
  <c r="A802" i="1"/>
  <c r="H802" i="1" s="1"/>
  <c r="A806" i="1"/>
  <c r="H806" i="1" s="1"/>
  <c r="A684" i="1"/>
  <c r="H684" i="1" s="1"/>
  <c r="A754" i="1"/>
  <c r="H754" i="1" s="1"/>
  <c r="A753" i="1"/>
  <c r="H753" i="1" s="1"/>
  <c r="A471" i="1"/>
  <c r="H471" i="1" s="1"/>
  <c r="A106" i="1"/>
  <c r="H106" i="1" s="1"/>
  <c r="A867" i="1"/>
  <c r="H867" i="1" s="1"/>
  <c r="A868" i="1"/>
  <c r="H868" i="1" s="1"/>
  <c r="A823" i="1"/>
  <c r="H823" i="1" s="1"/>
  <c r="A357" i="1"/>
  <c r="H357" i="1" s="1"/>
  <c r="A312" i="1"/>
  <c r="H312" i="1" s="1"/>
  <c r="A673" i="1"/>
  <c r="H673" i="1" s="1"/>
  <c r="A672" i="1"/>
  <c r="H672" i="1" s="1"/>
  <c r="A674" i="1"/>
  <c r="H674" i="1" s="1"/>
  <c r="A117" i="1"/>
  <c r="H117" i="1" s="1"/>
  <c r="A720" i="1"/>
  <c r="H720" i="1" s="1"/>
  <c r="A53" i="1"/>
  <c r="H53" i="1" s="1"/>
  <c r="A54" i="1"/>
  <c r="H54" i="1" s="1"/>
  <c r="A707" i="1"/>
  <c r="H707" i="1" s="1"/>
  <c r="A62" i="1"/>
  <c r="H62" i="1" s="1"/>
  <c r="A64" i="1"/>
  <c r="H64" i="1" s="1"/>
  <c r="A116" i="1"/>
  <c r="H116" i="1" s="1"/>
  <c r="A866" i="1"/>
  <c r="H866" i="1" s="1"/>
  <c r="A331" i="1"/>
  <c r="H331" i="1" s="1"/>
  <c r="A332" i="1"/>
  <c r="H332" i="1" s="1"/>
  <c r="A897" i="1"/>
  <c r="H897" i="1" s="1"/>
  <c r="A896" i="1"/>
  <c r="H896" i="1" s="1"/>
  <c r="A744" i="1"/>
  <c r="H744" i="1" s="1"/>
  <c r="A869" i="1"/>
  <c r="H869" i="1" s="1"/>
  <c r="A902" i="1"/>
  <c r="H902" i="1" s="1"/>
  <c r="A900" i="1"/>
  <c r="H900" i="1" s="1"/>
  <c r="A870" i="1"/>
  <c r="H870" i="1" s="1"/>
  <c r="A901" i="1"/>
  <c r="H901" i="1" s="1"/>
  <c r="A809" i="1"/>
  <c r="H809" i="1" s="1"/>
  <c r="A685" i="1"/>
  <c r="H685" i="1" s="1"/>
  <c r="A28" i="1"/>
  <c r="H28" i="1" s="1"/>
  <c r="A322" i="1"/>
  <c r="H322" i="1" s="1"/>
  <c r="A320" i="1"/>
  <c r="H320" i="1" s="1"/>
  <c r="A323" i="1"/>
  <c r="H323" i="1" s="1"/>
  <c r="A321" i="1"/>
  <c r="H321" i="1" s="1"/>
  <c r="A627" i="1"/>
  <c r="H627" i="1" s="1"/>
  <c r="A628" i="1"/>
  <c r="H628" i="1" s="1"/>
  <c r="A625" i="1"/>
  <c r="H625" i="1" s="1"/>
  <c r="A626" i="1"/>
  <c r="H626" i="1" s="1"/>
  <c r="A169" i="1"/>
  <c r="H169" i="1" s="1"/>
  <c r="A82" i="1"/>
  <c r="H82" i="1" s="1"/>
  <c r="A384" i="1"/>
  <c r="H384" i="1" s="1"/>
  <c r="A500" i="1"/>
  <c r="H500" i="1" s="1"/>
  <c r="A502" i="1"/>
  <c r="H502" i="1" s="1"/>
  <c r="A503" i="1"/>
  <c r="H503" i="1" s="1"/>
  <c r="A501" i="1"/>
  <c r="H501" i="1" s="1"/>
  <c r="A525" i="1"/>
  <c r="H525" i="1" s="1"/>
  <c r="A309" i="1"/>
  <c r="H309" i="1" s="1"/>
  <c r="A304" i="1"/>
  <c r="H304" i="1" s="1"/>
  <c r="A489" i="1"/>
  <c r="H489" i="1" s="1"/>
  <c r="A629" i="1"/>
  <c r="H629" i="1" s="1"/>
  <c r="A631" i="1"/>
  <c r="H631" i="1" s="1"/>
  <c r="A93" i="1"/>
  <c r="H93" i="1" s="1"/>
  <c r="A600" i="1"/>
  <c r="H600" i="1" s="1"/>
  <c r="A29" i="1"/>
  <c r="H29" i="1" s="1"/>
  <c r="A83" i="1"/>
  <c r="H83" i="1" s="1"/>
  <c r="A490" i="1"/>
  <c r="H490" i="1" s="1"/>
  <c r="A492" i="1"/>
  <c r="H492" i="1" s="1"/>
  <c r="A130" i="1"/>
  <c r="H130" i="1" s="1"/>
  <c r="A129" i="1"/>
  <c r="H129" i="1" s="1"/>
  <c r="A94" i="1"/>
  <c r="H94" i="1" s="1"/>
  <c r="A706" i="1"/>
  <c r="H706" i="1" s="1"/>
  <c r="A308" i="1"/>
  <c r="H308" i="1" s="1"/>
  <c r="A305" i="1"/>
  <c r="H305" i="1" s="1"/>
  <c r="A385" i="1"/>
  <c r="H385" i="1" s="1"/>
  <c r="A493" i="1"/>
  <c r="H493" i="1" s="1"/>
  <c r="A630" i="1"/>
  <c r="H630" i="1" s="1"/>
  <c r="A632" i="1"/>
  <c r="H632" i="1" s="1"/>
  <c r="A491" i="1"/>
  <c r="H491" i="1" s="1"/>
  <c r="A633" i="1"/>
  <c r="H633" i="1" s="1"/>
  <c r="A668" i="1"/>
  <c r="H668" i="1" s="1"/>
  <c r="A296" i="1"/>
  <c r="H296" i="1" s="1"/>
  <c r="A298" i="1"/>
  <c r="H298" i="1" s="1"/>
  <c r="A494" i="1"/>
  <c r="H494" i="1" s="1"/>
  <c r="A496" i="1"/>
  <c r="H496" i="1" s="1"/>
  <c r="A498" i="1"/>
  <c r="H498" i="1" s="1"/>
  <c r="A618" i="1"/>
  <c r="H618" i="1" s="1"/>
  <c r="A622" i="1"/>
  <c r="H622" i="1" s="1"/>
  <c r="A663" i="1"/>
  <c r="H663" i="1" s="1"/>
  <c r="A297" i="1"/>
  <c r="H297" i="1" s="1"/>
  <c r="A299" i="1"/>
  <c r="H299" i="1" s="1"/>
  <c r="A295" i="1"/>
  <c r="H295" i="1" s="1"/>
  <c r="A128" i="1"/>
  <c r="H128" i="1" s="1"/>
  <c r="A127" i="1"/>
  <c r="H127" i="1" s="1"/>
  <c r="A30" i="1"/>
  <c r="H30" i="1" s="1"/>
  <c r="A35" i="1"/>
  <c r="H35" i="1" s="1"/>
  <c r="A300" i="1"/>
  <c r="H300" i="1" s="1"/>
  <c r="A86" i="1"/>
  <c r="H86" i="1" s="1"/>
  <c r="A495" i="1"/>
  <c r="H495" i="1" s="1"/>
  <c r="A497" i="1"/>
  <c r="H497" i="1" s="1"/>
  <c r="A499" i="1"/>
  <c r="H499" i="1" s="1"/>
  <c r="A619" i="1"/>
  <c r="H619" i="1" s="1"/>
  <c r="A623" i="1"/>
  <c r="H623" i="1" s="1"/>
  <c r="A301" i="1"/>
  <c r="H301" i="1" s="1"/>
  <c r="A87" i="1"/>
  <c r="H87" i="1" s="1"/>
  <c r="A504" i="1"/>
  <c r="H504" i="1" s="1"/>
  <c r="A505" i="1"/>
  <c r="H505" i="1" s="1"/>
  <c r="A620" i="1"/>
  <c r="H620" i="1" s="1"/>
  <c r="A177" i="1"/>
  <c r="H177" i="1" s="1"/>
  <c r="A178" i="1"/>
  <c r="H178" i="1" s="1"/>
  <c r="A860" i="1"/>
  <c r="H860" i="1" s="1"/>
  <c r="A859" i="1"/>
  <c r="H859" i="1" s="1"/>
  <c r="A743" i="1"/>
  <c r="H743" i="1" s="1"/>
  <c r="A98" i="1"/>
  <c r="H98" i="1" s="1"/>
  <c r="A433" i="1"/>
  <c r="H433" i="1" s="1"/>
  <c r="A233" i="1"/>
  <c r="H233" i="1" s="1"/>
  <c r="A96" i="1"/>
  <c r="H96" i="1" s="1"/>
  <c r="A862" i="1"/>
  <c r="H862" i="1" s="1"/>
  <c r="A861" i="1"/>
  <c r="H861" i="1" s="1"/>
  <c r="A570" i="1"/>
  <c r="H570" i="1" s="1"/>
  <c r="A568" i="1"/>
  <c r="H568" i="1" s="1"/>
  <c r="A863" i="1"/>
  <c r="H863" i="1" s="1"/>
  <c r="A621" i="1"/>
  <c r="H621" i="1" s="1"/>
  <c r="A624" i="1"/>
  <c r="H624" i="1" s="1"/>
  <c r="A606" i="1"/>
  <c r="H606" i="1" s="1"/>
  <c r="A653" i="1"/>
  <c r="H653" i="1" s="1"/>
  <c r="A975" i="1"/>
  <c r="H975" i="1" s="1"/>
  <c r="A131" i="1"/>
  <c r="H131" i="1" s="1"/>
  <c r="A137" i="1"/>
  <c r="H137" i="1" s="1"/>
  <c r="A145" i="1"/>
  <c r="H145" i="1" s="1"/>
  <c r="A144" i="1"/>
  <c r="H144" i="1" s="1"/>
  <c r="A372" i="1"/>
  <c r="H372" i="1" s="1"/>
  <c r="A369" i="1"/>
  <c r="H369" i="1" s="1"/>
  <c r="A366" i="1"/>
  <c r="H366" i="1" s="1"/>
  <c r="A375" i="1"/>
  <c r="H375" i="1" s="1"/>
  <c r="A373" i="1"/>
  <c r="H373" i="1" s="1"/>
  <c r="A542" i="1"/>
  <c r="H542" i="1" s="1"/>
  <c r="A541" i="1"/>
  <c r="H541" i="1" s="1"/>
  <c r="A271" i="1"/>
  <c r="H271" i="1" s="1"/>
  <c r="A351" i="1"/>
  <c r="H351" i="1" s="1"/>
  <c r="A12" i="1"/>
  <c r="H12" i="1" s="1"/>
  <c r="A782" i="1"/>
  <c r="H782" i="1" s="1"/>
  <c r="A781" i="1"/>
  <c r="H781" i="1" s="1"/>
  <c r="A783" i="1"/>
  <c r="H783" i="1" s="1"/>
  <c r="A784" i="1"/>
  <c r="H784" i="1" s="1"/>
  <c r="A553" i="1"/>
  <c r="H553" i="1" s="1"/>
  <c r="A132" i="1"/>
  <c r="H132" i="1" s="1"/>
  <c r="A453" i="1"/>
  <c r="H453" i="1" s="1"/>
  <c r="A458" i="1"/>
  <c r="H458" i="1" s="1"/>
  <c r="A455" i="1"/>
  <c r="H455" i="1" s="1"/>
  <c r="A370" i="1"/>
  <c r="H370" i="1" s="1"/>
  <c r="A367" i="1"/>
  <c r="H367" i="1" s="1"/>
  <c r="A13" i="1"/>
  <c r="H13" i="1" s="1"/>
  <c r="A15" i="1"/>
  <c r="H15" i="1" s="1"/>
  <c r="A380" i="1"/>
  <c r="H380" i="1" s="1"/>
  <c r="A133" i="1"/>
  <c r="H133" i="1" s="1"/>
  <c r="A135" i="1"/>
  <c r="H135" i="1" s="1"/>
  <c r="A175" i="1"/>
  <c r="H175" i="1" s="1"/>
  <c r="A176" i="1"/>
  <c r="H176" i="1" s="1"/>
  <c r="A723" i="1"/>
  <c r="H723" i="1" s="1"/>
  <c r="A468" i="1"/>
  <c r="H468" i="1" s="1"/>
  <c r="A14" i="1"/>
  <c r="H14" i="1" s="1"/>
  <c r="A276" i="1"/>
  <c r="H276" i="1" s="1"/>
  <c r="A454" i="1"/>
  <c r="H454" i="1" s="1"/>
  <c r="A459" i="1"/>
  <c r="H459" i="1" s="1"/>
  <c r="A456" i="1"/>
  <c r="H456" i="1" s="1"/>
  <c r="A371" i="1"/>
  <c r="H371" i="1" s="1"/>
  <c r="A368" i="1"/>
  <c r="H368" i="1" s="1"/>
  <c r="A374" i="1"/>
  <c r="H374" i="1" s="1"/>
  <c r="A352" i="1"/>
  <c r="H352" i="1" s="1"/>
  <c r="A785" i="1"/>
  <c r="H785" i="1" s="1"/>
  <c r="A730" i="1"/>
  <c r="H730" i="1" s="1"/>
  <c r="A273" i="1"/>
  <c r="H273" i="1" s="1"/>
  <c r="A467" i="1"/>
  <c r="H467" i="1" s="1"/>
  <c r="A105" i="1"/>
  <c r="H105" i="1" s="1"/>
  <c r="A963" i="1"/>
  <c r="H963" i="1" s="1"/>
  <c r="A460" i="1"/>
  <c r="H460" i="1" s="1"/>
  <c r="A738" i="1"/>
  <c r="H738" i="1" s="1"/>
  <c r="A428" i="1"/>
  <c r="H428" i="1" s="1"/>
  <c r="A461" i="1"/>
  <c r="H461" i="1" s="1"/>
  <c r="A697" i="1"/>
  <c r="H697" i="1" s="1"/>
  <c r="A457" i="1"/>
  <c r="H457" i="1" s="1"/>
  <c r="A134" i="1"/>
  <c r="H134" i="1" s="1"/>
  <c r="A463" i="1"/>
  <c r="H463" i="1" s="1"/>
  <c r="A466" i="1"/>
  <c r="H466" i="1" s="1"/>
  <c r="A462" i="1"/>
  <c r="H462" i="1" s="1"/>
  <c r="A173" i="1"/>
  <c r="H173" i="1" s="1"/>
  <c r="A174" i="1"/>
  <c r="H174" i="1" s="1"/>
  <c r="A383" i="1"/>
  <c r="H383" i="1" s="1"/>
  <c r="A272" i="1"/>
  <c r="H272" i="1" s="1"/>
  <c r="A353" i="1"/>
  <c r="H353" i="1" s="1"/>
  <c r="A16" i="1"/>
  <c r="H16" i="1" s="1"/>
  <c r="A540" i="1"/>
  <c r="H540" i="1" s="1"/>
  <c r="A138" i="1"/>
  <c r="H138" i="1" s="1"/>
  <c r="A465" i="1"/>
  <c r="H465" i="1" s="1"/>
  <c r="A469" i="1"/>
  <c r="H469" i="1" s="1"/>
  <c r="A485" i="1"/>
  <c r="H485" i="1" s="1"/>
  <c r="A826" i="1"/>
  <c r="H826" i="1" s="1"/>
  <c r="A258" i="1"/>
  <c r="H258" i="1" s="1"/>
  <c r="A97" i="1"/>
  <c r="H97" i="1" s="1"/>
  <c r="A543" i="1"/>
  <c r="H543" i="1" s="1"/>
  <c r="A883" i="1"/>
  <c r="H883" i="1" s="1"/>
  <c r="A881" i="1"/>
  <c r="H881" i="1" s="1"/>
  <c r="A671" i="1"/>
  <c r="H671" i="1" s="1"/>
  <c r="A423" i="1"/>
  <c r="H423" i="1" s="1"/>
  <c r="A827" i="1"/>
  <c r="H827" i="1" s="1"/>
  <c r="A569" i="1"/>
  <c r="H569" i="1" s="1"/>
  <c r="A828" i="1"/>
  <c r="H828" i="1" s="1"/>
  <c r="A582" i="1"/>
  <c r="H582" i="1" s="1"/>
  <c r="A884" i="1"/>
  <c r="H884" i="1" s="1"/>
  <c r="A882" i="1"/>
  <c r="H882" i="1" s="1"/>
  <c r="A136" i="1"/>
  <c r="H136" i="1" s="1"/>
  <c r="A464" i="1"/>
  <c r="H464" i="1" s="1"/>
  <c r="A470" i="1"/>
  <c r="H470" i="1" s="1"/>
  <c r="A289" i="1"/>
  <c r="H289" i="1" s="1"/>
  <c r="A288" i="1"/>
  <c r="H288" i="1" s="1"/>
  <c r="A931" i="1"/>
  <c r="H931" i="1" s="1"/>
  <c r="A933" i="1"/>
  <c r="H933" i="1" s="1"/>
  <c r="A929" i="1"/>
  <c r="H929" i="1" s="1"/>
  <c r="A422" i="1"/>
  <c r="H422" i="1" s="1"/>
  <c r="A950" i="1"/>
  <c r="H950" i="1" s="1"/>
  <c r="A949" i="1"/>
  <c r="H949" i="1" s="1"/>
  <c r="A964" i="1"/>
  <c r="H964" i="1" s="1"/>
  <c r="A932" i="1"/>
  <c r="H932" i="1" s="1"/>
  <c r="A934" i="1"/>
  <c r="H934" i="1" s="1"/>
  <c r="A930" i="1"/>
  <c r="H930" i="1" s="1"/>
  <c r="A952" i="1"/>
  <c r="H952" i="1" s="1"/>
  <c r="A954" i="1"/>
  <c r="H954" i="1" s="1"/>
  <c r="A957" i="1"/>
  <c r="H957" i="1" s="1"/>
  <c r="A960" i="1"/>
  <c r="H960" i="1" s="1"/>
  <c r="A847" i="1"/>
  <c r="H847" i="1" s="1"/>
  <c r="A848" i="1"/>
  <c r="H848" i="1" s="1"/>
  <c r="A849" i="1"/>
  <c r="H849" i="1" s="1"/>
  <c r="A850" i="1"/>
  <c r="H850" i="1" s="1"/>
  <c r="A851" i="1"/>
  <c r="H851" i="1" s="1"/>
  <c r="A652" i="1"/>
  <c r="H652" i="1" s="1"/>
  <c r="C651" i="1"/>
  <c r="I651" i="1" s="1"/>
  <c r="C195" i="1"/>
  <c r="I195" i="1" s="1"/>
  <c r="C196" i="1"/>
  <c r="I196" i="1" s="1"/>
  <c r="C194" i="1"/>
  <c r="I194" i="1" s="1"/>
  <c r="C962" i="1"/>
  <c r="I962" i="1" s="1"/>
  <c r="C961" i="1"/>
  <c r="I961" i="1" s="1"/>
  <c r="C609" i="1"/>
  <c r="I609" i="1" s="1"/>
  <c r="C611" i="1"/>
  <c r="I611" i="1" s="1"/>
  <c r="C608" i="1"/>
  <c r="I608" i="1" s="1"/>
  <c r="C180" i="1"/>
  <c r="I180" i="1" s="1"/>
  <c r="C182" i="1"/>
  <c r="I182" i="1" s="1"/>
  <c r="C709" i="1"/>
  <c r="I709" i="1" s="1"/>
  <c r="C80" i="1"/>
  <c r="I80" i="1" s="1"/>
  <c r="C392" i="1"/>
  <c r="I392" i="1" s="1"/>
  <c r="C670" i="1"/>
  <c r="I670" i="1" s="1"/>
  <c r="C278" i="1"/>
  <c r="I278" i="1" s="1"/>
  <c r="C279" i="1"/>
  <c r="I279" i="1" s="1"/>
  <c r="C253" i="1"/>
  <c r="I253" i="1" s="1"/>
  <c r="C254" i="1"/>
  <c r="I254" i="1" s="1"/>
  <c r="C660" i="1"/>
  <c r="I660" i="1" s="1"/>
  <c r="C662" i="1"/>
  <c r="I662" i="1" s="1"/>
  <c r="C661" i="1"/>
  <c r="I661" i="1" s="1"/>
  <c r="C376" i="1"/>
  <c r="I376" i="1" s="1"/>
  <c r="C544" i="1"/>
  <c r="I544" i="1" s="1"/>
  <c r="C593" i="1"/>
  <c r="I593" i="1" s="1"/>
  <c r="C594" i="1"/>
  <c r="I594" i="1" s="1"/>
  <c r="C592" i="1"/>
  <c r="I592" i="1" s="1"/>
  <c r="C99" i="1"/>
  <c r="I99" i="1" s="1"/>
  <c r="C991" i="1"/>
  <c r="I991" i="1" s="1"/>
  <c r="C526" i="1"/>
  <c r="I526" i="1" s="1"/>
  <c r="C647" i="1"/>
  <c r="I647" i="1" s="1"/>
  <c r="C646" i="1"/>
  <c r="I646" i="1" s="1"/>
  <c r="C201" i="1"/>
  <c r="I201" i="1" s="1"/>
  <c r="C203" i="1"/>
  <c r="I203" i="1" s="1"/>
  <c r="C200" i="1"/>
  <c r="I200" i="1" s="1"/>
  <c r="C251" i="1"/>
  <c r="I251" i="1" s="1"/>
  <c r="C773" i="1"/>
  <c r="I773" i="1" s="1"/>
  <c r="C655" i="1"/>
  <c r="I655" i="1" s="1"/>
  <c r="C654" i="1"/>
  <c r="I654" i="1" s="1"/>
  <c r="C208" i="1"/>
  <c r="I208" i="1" s="1"/>
  <c r="C210" i="1"/>
  <c r="I210" i="1" s="1"/>
  <c r="C612" i="1"/>
  <c r="I612" i="1" s="1"/>
  <c r="C330" i="1"/>
  <c r="I330" i="1" s="1"/>
  <c r="C81" i="1"/>
  <c r="I81" i="1" s="1"/>
  <c r="C314" i="1"/>
  <c r="I314" i="1" s="1"/>
  <c r="C554" i="1"/>
  <c r="I554" i="1" s="1"/>
  <c r="C552" i="1"/>
  <c r="I552" i="1" s="1"/>
  <c r="C649" i="1"/>
  <c r="I649" i="1" s="1"/>
  <c r="C648" i="1"/>
  <c r="I648" i="1" s="1"/>
  <c r="C205" i="1"/>
  <c r="I205" i="1" s="1"/>
  <c r="C206" i="1"/>
  <c r="I206" i="1" s="1"/>
  <c r="C204" i="1"/>
  <c r="I204" i="1" s="1"/>
  <c r="C705" i="1"/>
  <c r="I705" i="1" s="1"/>
  <c r="C763" i="1"/>
  <c r="I763" i="1" s="1"/>
  <c r="C181" i="1"/>
  <c r="I181" i="1" s="1"/>
  <c r="C393" i="1"/>
  <c r="I393" i="1" s="1"/>
  <c r="C252" i="1"/>
  <c r="I252" i="1" s="1"/>
  <c r="C665" i="1"/>
  <c r="I665" i="1" s="1"/>
  <c r="C667" i="1"/>
  <c r="I667" i="1" s="1"/>
  <c r="C666" i="1"/>
  <c r="I666" i="1" s="1"/>
  <c r="C377" i="1"/>
  <c r="I377" i="1" s="1"/>
  <c r="C1022" i="1"/>
  <c r="I1022" i="1" s="1"/>
  <c r="C1023" i="1"/>
  <c r="I1023" i="1" s="1"/>
  <c r="C1021" i="1"/>
  <c r="I1021" i="1" s="1"/>
  <c r="C1020" i="1"/>
  <c r="I1020" i="1" s="1"/>
  <c r="C112" i="1"/>
  <c r="I112" i="1" s="1"/>
  <c r="C395" i="1"/>
  <c r="I395" i="1" s="1"/>
  <c r="C426" i="1"/>
  <c r="I426" i="1" s="1"/>
  <c r="C313" i="1"/>
  <c r="I313" i="1" s="1"/>
  <c r="C664" i="1"/>
  <c r="I664" i="1" s="1"/>
  <c r="C381" i="1"/>
  <c r="I381" i="1" s="1"/>
  <c r="C104" i="1"/>
  <c r="I104" i="1" s="1"/>
  <c r="C165" i="1"/>
  <c r="I165" i="1" s="1"/>
  <c r="C292" i="1"/>
  <c r="I292" i="1" s="1"/>
  <c r="C972" i="1"/>
  <c r="I972" i="1" s="1"/>
  <c r="C38" i="1"/>
  <c r="I38" i="1" s="1"/>
  <c r="C269" i="1"/>
  <c r="I269" i="1" s="1"/>
  <c r="C183" i="1"/>
  <c r="I183" i="1" s="1"/>
  <c r="C184" i="1"/>
  <c r="I184" i="1" s="1"/>
  <c r="C966" i="1"/>
  <c r="I966" i="1" s="1"/>
  <c r="C255" i="1"/>
  <c r="I255" i="1" s="1"/>
  <c r="C531" i="1"/>
  <c r="I531" i="1" s="1"/>
  <c r="C532" i="1"/>
  <c r="I532" i="1" s="1"/>
  <c r="C290" i="1"/>
  <c r="I290" i="1" s="1"/>
  <c r="C650" i="1"/>
  <c r="I650" i="1" s="1"/>
  <c r="C198" i="1"/>
  <c r="I198" i="1" s="1"/>
  <c r="C199" i="1"/>
  <c r="I199" i="1" s="1"/>
  <c r="C197" i="1"/>
  <c r="I197" i="1" s="1"/>
  <c r="C528" i="1"/>
  <c r="I528" i="1" s="1"/>
  <c r="C530" i="1"/>
  <c r="I530" i="1" s="1"/>
  <c r="C529" i="1"/>
  <c r="I529" i="1" s="1"/>
  <c r="C555" i="1"/>
  <c r="I555" i="1" s="1"/>
  <c r="C551" i="1"/>
  <c r="I551" i="1" s="1"/>
  <c r="C659" i="1"/>
  <c r="I659" i="1" s="1"/>
  <c r="C658" i="1"/>
  <c r="I658" i="1" s="1"/>
  <c r="C214" i="1"/>
  <c r="I214" i="1" s="1"/>
  <c r="C212" i="1"/>
  <c r="I212" i="1" s="1"/>
  <c r="C329" i="1"/>
  <c r="I329" i="1" s="1"/>
  <c r="C613" i="1"/>
  <c r="I613" i="1" s="1"/>
  <c r="C708" i="1"/>
  <c r="I708" i="1" s="1"/>
  <c r="C387" i="1"/>
  <c r="I387" i="1" s="1"/>
  <c r="C657" i="1"/>
  <c r="I657" i="1" s="1"/>
  <c r="C656" i="1"/>
  <c r="I656" i="1" s="1"/>
  <c r="C786" i="1"/>
  <c r="I786" i="1" s="1"/>
  <c r="C690" i="1"/>
  <c r="I690" i="1" s="1"/>
  <c r="C687" i="1"/>
  <c r="I687" i="1" s="1"/>
  <c r="C692" i="1"/>
  <c r="I692" i="1" s="1"/>
  <c r="C689" i="1"/>
  <c r="I689" i="1" s="1"/>
  <c r="C688" i="1"/>
  <c r="I688" i="1" s="1"/>
  <c r="C84" i="1"/>
  <c r="I84" i="1" s="1"/>
  <c r="C379" i="1"/>
  <c r="I379" i="1" s="1"/>
  <c r="C617" i="1"/>
  <c r="I617" i="1" s="1"/>
  <c r="C100" i="1"/>
  <c r="I100" i="1" s="1"/>
  <c r="C67" i="1"/>
  <c r="I67" i="1" s="1"/>
  <c r="C280" i="1"/>
  <c r="I280" i="1" s="1"/>
  <c r="C85" i="1"/>
  <c r="I85" i="1" s="1"/>
  <c r="C829" i="1"/>
  <c r="I829" i="1" s="1"/>
  <c r="C833" i="1"/>
  <c r="I833" i="1" s="1"/>
  <c r="C831" i="1"/>
  <c r="I831" i="1" s="1"/>
  <c r="C836" i="1"/>
  <c r="I836" i="1" s="1"/>
  <c r="C693" i="1"/>
  <c r="I693" i="1" s="1"/>
  <c r="C95" i="1"/>
  <c r="I95" i="1" s="1"/>
  <c r="C906" i="1"/>
  <c r="I906" i="1" s="1"/>
  <c r="C747" i="1"/>
  <c r="I747" i="1" s="1"/>
  <c r="C748" i="1"/>
  <c r="I748" i="1" s="1"/>
  <c r="C749" i="1"/>
  <c r="I749" i="1" s="1"/>
  <c r="C257" i="1"/>
  <c r="I257" i="1" s="1"/>
  <c r="C838" i="1"/>
  <c r="I838" i="1" s="1"/>
  <c r="C842" i="1"/>
  <c r="I842" i="1" s="1"/>
  <c r="C840" i="1"/>
  <c r="I840" i="1" s="1"/>
  <c r="C845" i="1"/>
  <c r="I845" i="1" s="1"/>
  <c r="C844" i="1"/>
  <c r="I844" i="1" s="1"/>
  <c r="C727" i="1"/>
  <c r="I727" i="1" s="1"/>
  <c r="C728" i="1"/>
  <c r="I728" i="1" s="1"/>
  <c r="C729" i="1"/>
  <c r="I729" i="1" s="1"/>
  <c r="C225" i="1"/>
  <c r="I225" i="1" s="1"/>
  <c r="C588" i="1"/>
  <c r="I588" i="1" s="1"/>
  <c r="C589" i="1"/>
  <c r="I589" i="1" s="1"/>
  <c r="C587" i="1"/>
  <c r="I587" i="1" s="1"/>
  <c r="C908" i="1"/>
  <c r="I908" i="1" s="1"/>
  <c r="C907" i="1"/>
  <c r="I907" i="1" s="1"/>
  <c r="C382" i="1"/>
  <c r="I382" i="1" s="1"/>
  <c r="C350" i="1"/>
  <c r="I350" i="1" s="1"/>
  <c r="C579" i="1"/>
  <c r="I579" i="1" s="1"/>
  <c r="C578" i="1"/>
  <c r="I578" i="1" s="1"/>
  <c r="C577" i="1"/>
  <c r="I577" i="1" s="1"/>
  <c r="C830" i="1"/>
  <c r="I830" i="1" s="1"/>
  <c r="C834" i="1"/>
  <c r="I834" i="1" s="1"/>
  <c r="C832" i="1"/>
  <c r="I832" i="1" s="1"/>
  <c r="C837" i="1"/>
  <c r="I837" i="1" s="1"/>
  <c r="C835" i="1"/>
  <c r="I835" i="1" s="1"/>
  <c r="C909" i="1"/>
  <c r="I909" i="1" s="1"/>
  <c r="C223" i="1"/>
  <c r="I223" i="1" s="1"/>
  <c r="C1014" i="1"/>
  <c r="I1014" i="1" s="1"/>
  <c r="C1015" i="1"/>
  <c r="I1015" i="1" s="1"/>
  <c r="C1013" i="1"/>
  <c r="I1013" i="1" s="1"/>
  <c r="C1016" i="1"/>
  <c r="I1016" i="1" s="1"/>
  <c r="C951" i="1"/>
  <c r="I951" i="1" s="1"/>
  <c r="C545" i="1"/>
  <c r="I545" i="1" s="1"/>
  <c r="C215" i="1"/>
  <c r="I215" i="1" s="1"/>
  <c r="C217" i="1"/>
  <c r="I217" i="1" s="1"/>
  <c r="C213" i="1"/>
  <c r="I213" i="1" s="1"/>
  <c r="C614" i="1"/>
  <c r="I614" i="1" s="1"/>
  <c r="C691" i="1"/>
  <c r="I691" i="1" s="1"/>
  <c r="C971" i="1"/>
  <c r="I971" i="1" s="1"/>
  <c r="C970" i="1"/>
  <c r="I970" i="1" s="1"/>
  <c r="C969" i="1"/>
  <c r="I969" i="1" s="1"/>
  <c r="C263" i="1"/>
  <c r="I263" i="1" s="1"/>
  <c r="C265" i="1"/>
  <c r="I265" i="1" s="1"/>
  <c r="C408" i="1"/>
  <c r="I408" i="1" s="1"/>
  <c r="C407" i="1"/>
  <c r="I407" i="1" s="1"/>
  <c r="C118" i="1"/>
  <c r="I118" i="1" s="1"/>
  <c r="C119" i="1"/>
  <c r="I119" i="1" s="1"/>
  <c r="C120" i="1"/>
  <c r="I120" i="1" s="1"/>
  <c r="C715" i="1"/>
  <c r="I715" i="1" s="1"/>
  <c r="C771" i="1"/>
  <c r="I771" i="1" s="1"/>
  <c r="C769" i="1"/>
  <c r="I769" i="1" s="1"/>
  <c r="C146" i="1"/>
  <c r="I146" i="1" s="1"/>
  <c r="C148" i="1"/>
  <c r="I148" i="1" s="1"/>
  <c r="C150" i="1"/>
  <c r="I150" i="1" s="1"/>
  <c r="C154" i="1"/>
  <c r="I154" i="1" s="1"/>
  <c r="C156" i="1"/>
  <c r="I156" i="1" s="1"/>
  <c r="C158" i="1"/>
  <c r="I158" i="1" s="1"/>
  <c r="C152" i="1"/>
  <c r="I152" i="1" s="1"/>
  <c r="C734" i="1"/>
  <c r="I734" i="1" s="1"/>
  <c r="C735" i="1"/>
  <c r="I735" i="1" s="1"/>
  <c r="C736" i="1"/>
  <c r="I736" i="1" s="1"/>
  <c r="C482" i="1"/>
  <c r="I482" i="1" s="1"/>
  <c r="C566" i="1"/>
  <c r="I566" i="1" s="1"/>
  <c r="C565" i="1"/>
  <c r="I565" i="1" s="1"/>
  <c r="C564" i="1"/>
  <c r="I564" i="1" s="1"/>
  <c r="C103" i="1"/>
  <c r="I103" i="1" s="1"/>
  <c r="C546" i="1"/>
  <c r="I546" i="1" s="1"/>
  <c r="C645" i="1"/>
  <c r="I645" i="1" s="1"/>
  <c r="C121" i="1"/>
  <c r="I121" i="1" s="1"/>
  <c r="C731" i="1"/>
  <c r="I731" i="1" s="1"/>
  <c r="C732" i="1"/>
  <c r="I732" i="1" s="1"/>
  <c r="C733" i="1"/>
  <c r="I733" i="1" s="1"/>
  <c r="C9" i="1"/>
  <c r="I9" i="1" s="1"/>
  <c r="C10" i="1"/>
  <c r="I10" i="1" s="1"/>
  <c r="C722" i="1"/>
  <c r="I722" i="1" s="1"/>
  <c r="C755" i="1"/>
  <c r="I755" i="1" s="1"/>
  <c r="C277" i="1"/>
  <c r="I277" i="1" s="1"/>
  <c r="C561" i="1"/>
  <c r="I561" i="1" s="1"/>
  <c r="C560" i="1"/>
  <c r="I560" i="1" s="1"/>
  <c r="C558" i="1"/>
  <c r="I558" i="1" s="1"/>
  <c r="C409" i="1"/>
  <c r="I409" i="1" s="1"/>
  <c r="C772" i="1"/>
  <c r="I772" i="1" s="1"/>
  <c r="C770" i="1"/>
  <c r="I770" i="1" s="1"/>
  <c r="C147" i="1"/>
  <c r="I147" i="1" s="1"/>
  <c r="C149" i="1"/>
  <c r="I149" i="1" s="1"/>
  <c r="C151" i="1"/>
  <c r="I151" i="1" s="1"/>
  <c r="C155" i="1"/>
  <c r="I155" i="1" s="1"/>
  <c r="C157" i="1"/>
  <c r="I157" i="1" s="1"/>
  <c r="C159" i="1"/>
  <c r="I159" i="1" s="1"/>
  <c r="C153" i="1"/>
  <c r="I153" i="1" s="1"/>
  <c r="C110" i="1"/>
  <c r="I110" i="1" s="1"/>
  <c r="C484" i="1"/>
  <c r="I484" i="1" s="1"/>
  <c r="C166" i="1"/>
  <c r="I166" i="1" s="1"/>
  <c r="C291" i="1"/>
  <c r="I291" i="1" s="1"/>
  <c r="C980" i="1"/>
  <c r="I980" i="1" s="1"/>
  <c r="C891" i="1"/>
  <c r="I891" i="1" s="1"/>
  <c r="C890" i="1"/>
  <c r="I890" i="1" s="1"/>
  <c r="C410" i="1"/>
  <c r="I410" i="1" s="1"/>
  <c r="C745" i="1"/>
  <c r="I745" i="1" s="1"/>
  <c r="C437" i="1"/>
  <c r="I437" i="1" s="1"/>
  <c r="C978" i="1"/>
  <c r="I978" i="1" s="1"/>
  <c r="C40" i="1"/>
  <c r="I40" i="1" s="1"/>
  <c r="C101" i="1"/>
  <c r="I101" i="1" s="1"/>
  <c r="C567" i="1"/>
  <c r="I567" i="1" s="1"/>
  <c r="C264" i="1"/>
  <c r="I264" i="1" s="1"/>
  <c r="C266" i="1"/>
  <c r="I266" i="1" s="1"/>
  <c r="C411" i="1"/>
  <c r="I411" i="1" s="1"/>
  <c r="C990" i="1"/>
  <c r="I990" i="1" s="1"/>
  <c r="C768" i="1"/>
  <c r="I768" i="1" s="1"/>
  <c r="C523" i="1"/>
  <c r="I523" i="1" s="1"/>
  <c r="C885" i="1"/>
  <c r="I885" i="1" s="1"/>
  <c r="C886" i="1"/>
  <c r="I886" i="1" s="1"/>
  <c r="C413" i="1"/>
  <c r="I413" i="1" s="1"/>
  <c r="C710" i="1"/>
  <c r="I710" i="1" s="1"/>
  <c r="C858" i="1"/>
  <c r="I858" i="1" s="1"/>
  <c r="C256" i="1"/>
  <c r="I256" i="1" s="1"/>
  <c r="C742" i="1"/>
  <c r="I742" i="1" s="1"/>
  <c r="C434" i="1"/>
  <c r="I434" i="1" s="1"/>
  <c r="C887" i="1"/>
  <c r="I887" i="1" s="1"/>
  <c r="C888" i="1"/>
  <c r="I888" i="1" s="1"/>
  <c r="C889" i="1"/>
  <c r="I889" i="1" s="1"/>
  <c r="C222" i="1"/>
  <c r="I222" i="1" s="1"/>
  <c r="C605" i="1"/>
  <c r="I605" i="1" s="1"/>
  <c r="C607" i="1"/>
  <c r="I607" i="1" s="1"/>
  <c r="C604" i="1"/>
  <c r="I604" i="1" s="1"/>
  <c r="C716" i="1"/>
  <c r="I716" i="1" s="1"/>
  <c r="C864" i="1"/>
  <c r="I864" i="1" s="1"/>
  <c r="C892" i="1"/>
  <c r="I892" i="1" s="1"/>
  <c r="C893" i="1"/>
  <c r="I893" i="1" s="1"/>
  <c r="C865" i="1"/>
  <c r="I865" i="1" s="1"/>
  <c r="C958" i="1"/>
  <c r="I958" i="1" s="1"/>
  <c r="C536" i="1"/>
  <c r="I536" i="1" s="1"/>
  <c r="C412" i="1"/>
  <c r="I412" i="1" s="1"/>
  <c r="C737" i="1"/>
  <c r="I737" i="1" s="1"/>
  <c r="C58" i="1"/>
  <c r="I58" i="1" s="1"/>
  <c r="C59" i="1"/>
  <c r="I59" i="1" s="1"/>
  <c r="C487" i="1"/>
  <c r="I487" i="1" s="1"/>
  <c r="C511" i="1"/>
  <c r="I511" i="1" s="1"/>
  <c r="C514" i="1"/>
  <c r="I514" i="1" s="1"/>
  <c r="C519" i="1"/>
  <c r="I519" i="1" s="1"/>
  <c r="C517" i="1"/>
  <c r="I517" i="1" s="1"/>
  <c r="C424" i="1"/>
  <c r="I424" i="1" s="1"/>
  <c r="C550" i="1"/>
  <c r="I550" i="1" s="1"/>
  <c r="C549" i="1"/>
  <c r="I549" i="1" s="1"/>
  <c r="C821" i="1"/>
  <c r="I821" i="1" s="1"/>
  <c r="C820" i="1"/>
  <c r="I820" i="1" s="1"/>
  <c r="C819" i="1"/>
  <c r="I819" i="1" s="1"/>
  <c r="C822" i="1"/>
  <c r="I822" i="1" s="1"/>
  <c r="C818" i="1"/>
  <c r="I818" i="1" s="1"/>
  <c r="C817" i="1"/>
  <c r="I817" i="1" s="1"/>
  <c r="C757" i="1"/>
  <c r="I757" i="1" s="1"/>
  <c r="C388" i="1"/>
  <c r="I388" i="1" s="1"/>
  <c r="C583" i="1"/>
  <c r="I583" i="1" s="1"/>
  <c r="C581" i="1"/>
  <c r="I581" i="1" s="1"/>
  <c r="C488" i="1"/>
  <c r="I488" i="1" s="1"/>
  <c r="C548" i="1"/>
  <c r="I548" i="1" s="1"/>
  <c r="C547" i="1"/>
  <c r="I547" i="1" s="1"/>
  <c r="C41" i="1"/>
  <c r="I41" i="1" s="1"/>
  <c r="C764" i="1"/>
  <c r="I764" i="1" s="1"/>
  <c r="C259" i="1"/>
  <c r="I259" i="1" s="1"/>
  <c r="C813" i="1"/>
  <c r="I813" i="1" s="1"/>
  <c r="C812" i="1"/>
  <c r="I812" i="1" s="1"/>
  <c r="C811" i="1"/>
  <c r="I811" i="1" s="1"/>
  <c r="C816" i="1"/>
  <c r="I816" i="1" s="1"/>
  <c r="C810" i="1"/>
  <c r="I810" i="1" s="1"/>
  <c r="C18" i="1"/>
  <c r="I18" i="1" s="1"/>
  <c r="C430" i="1"/>
  <c r="I430" i="1" s="1"/>
  <c r="C968" i="1"/>
  <c r="I968" i="1" s="1"/>
  <c r="C967" i="1"/>
  <c r="I967" i="1" s="1"/>
  <c r="C976" i="1"/>
  <c r="I976" i="1" s="1"/>
  <c r="C42" i="1"/>
  <c r="I42" i="1" s="1"/>
  <c r="C765" i="1"/>
  <c r="I765" i="1" s="1"/>
  <c r="C260" i="1"/>
  <c r="I260" i="1" s="1"/>
  <c r="C512" i="1"/>
  <c r="I512" i="1" s="1"/>
  <c r="C515" i="1"/>
  <c r="I515" i="1" s="1"/>
  <c r="C814" i="1"/>
  <c r="I814" i="1" s="1"/>
  <c r="C389" i="1"/>
  <c r="I389" i="1" s="1"/>
  <c r="C522" i="1"/>
  <c r="I522" i="1" s="1"/>
  <c r="C521" i="1"/>
  <c r="I521" i="1" s="1"/>
  <c r="C472" i="1"/>
  <c r="I472" i="1" s="1"/>
  <c r="C267" i="1"/>
  <c r="I267" i="1" s="1"/>
  <c r="C268" i="1"/>
  <c r="I268" i="1" s="1"/>
  <c r="C164" i="1"/>
  <c r="I164" i="1" s="1"/>
  <c r="C439" i="1"/>
  <c r="I439" i="1" s="1"/>
  <c r="C270" i="1"/>
  <c r="I270" i="1" s="1"/>
  <c r="C788" i="1"/>
  <c r="I788" i="1" s="1"/>
  <c r="C207" i="1"/>
  <c r="I207" i="1" s="1"/>
  <c r="C584" i="1"/>
  <c r="I584" i="1" s="1"/>
  <c r="C580" i="1"/>
  <c r="I580" i="1" s="1"/>
  <c r="C216" i="1"/>
  <c r="I216" i="1" s="1"/>
  <c r="C60" i="1"/>
  <c r="I60" i="1" s="1"/>
  <c r="C185" i="1"/>
  <c r="I185" i="1" s="1"/>
  <c r="C513" i="1"/>
  <c r="I513" i="1" s="1"/>
  <c r="C516" i="1"/>
  <c r="I516" i="1" s="1"/>
  <c r="C520" i="1"/>
  <c r="I520" i="1" s="1"/>
  <c r="C518" i="1"/>
  <c r="I518" i="1" s="1"/>
  <c r="C36" i="1"/>
  <c r="I36" i="1" s="1"/>
  <c r="C37" i="1"/>
  <c r="I37" i="1" s="1"/>
  <c r="C19" i="1"/>
  <c r="I19" i="1" s="1"/>
  <c r="C916" i="1"/>
  <c r="I916" i="1" s="1"/>
  <c r="C917" i="1"/>
  <c r="I917" i="1" s="1"/>
  <c r="C918" i="1"/>
  <c r="I918" i="1" s="1"/>
  <c r="C740" i="1"/>
  <c r="I740" i="1" s="1"/>
  <c r="C872" i="1"/>
  <c r="I872" i="1" s="1"/>
  <c r="C873" i="1"/>
  <c r="I873" i="1" s="1"/>
  <c r="C871" i="1"/>
  <c r="I871" i="1" s="1"/>
  <c r="C394" i="1"/>
  <c r="I394" i="1" s="1"/>
  <c r="C920" i="1"/>
  <c r="I920" i="1" s="1"/>
  <c r="C922" i="1"/>
  <c r="I922" i="1" s="1"/>
  <c r="C924" i="1"/>
  <c r="I924" i="1" s="1"/>
  <c r="C919" i="1"/>
  <c r="I919" i="1" s="1"/>
  <c r="C876" i="1"/>
  <c r="I876" i="1" s="1"/>
  <c r="C878" i="1"/>
  <c r="I878" i="1" s="1"/>
  <c r="C874" i="1"/>
  <c r="I874" i="1" s="1"/>
  <c r="C880" i="1"/>
  <c r="I880" i="1" s="1"/>
  <c r="C717" i="1"/>
  <c r="I717" i="1" s="1"/>
  <c r="C202" i="1"/>
  <c r="I202" i="1" s="1"/>
  <c r="C921" i="1"/>
  <c r="I921" i="1" s="1"/>
  <c r="C923" i="1"/>
  <c r="I923" i="1" s="1"/>
  <c r="C925" i="1"/>
  <c r="I925" i="1" s="1"/>
  <c r="C224" i="1"/>
  <c r="I224" i="1" s="1"/>
  <c r="C877" i="1"/>
  <c r="I877" i="1" s="1"/>
  <c r="C879" i="1"/>
  <c r="I879" i="1" s="1"/>
  <c r="C875" i="1"/>
  <c r="I875" i="1" s="1"/>
  <c r="C226" i="1"/>
  <c r="I226" i="1" s="1"/>
  <c r="C186" i="1"/>
  <c r="I186" i="1" s="1"/>
  <c r="C815" i="1"/>
  <c r="I815" i="1" s="1"/>
  <c r="C977" i="1"/>
  <c r="I977" i="1" s="1"/>
  <c r="C983" i="1"/>
  <c r="I983" i="1" s="1"/>
  <c r="C982" i="1"/>
  <c r="I982" i="1" s="1"/>
  <c r="C981" i="1"/>
  <c r="I981" i="1" s="1"/>
  <c r="C31" i="1"/>
  <c r="I31" i="1" s="1"/>
  <c r="C33" i="1"/>
  <c r="I33" i="1" s="1"/>
  <c r="C406" i="1"/>
  <c r="I406" i="1" s="1"/>
  <c r="C342" i="1"/>
  <c r="I342" i="1" s="1"/>
  <c r="C714" i="1"/>
  <c r="I714" i="1" s="1"/>
  <c r="C713" i="1"/>
  <c r="I713" i="1" s="1"/>
  <c r="C610" i="1"/>
  <c r="I610" i="1" s="1"/>
  <c r="C354" i="1"/>
  <c r="I354" i="1" s="1"/>
  <c r="C355" i="1"/>
  <c r="I355" i="1" s="1"/>
  <c r="C6" i="1"/>
  <c r="I6" i="1" s="1"/>
  <c r="C7" i="1"/>
  <c r="I7" i="1" s="1"/>
  <c r="C390" i="1"/>
  <c r="I390" i="1" s="1"/>
  <c r="C88" i="1"/>
  <c r="I88" i="1" s="1"/>
  <c r="C486" i="1"/>
  <c r="I486" i="1" s="1"/>
  <c r="C401" i="1"/>
  <c r="I401" i="1" s="1"/>
  <c r="C404" i="1"/>
  <c r="I404" i="1" s="1"/>
  <c r="C400" i="1"/>
  <c r="I400" i="1" s="1"/>
  <c r="C405" i="1"/>
  <c r="I405" i="1" s="1"/>
  <c r="C718" i="1"/>
  <c r="I718" i="1" s="1"/>
  <c r="C89" i="1"/>
  <c r="I89" i="1" s="1"/>
  <c r="C90" i="1"/>
  <c r="I90" i="1" s="1"/>
  <c r="C91" i="1"/>
  <c r="I91" i="1" s="1"/>
  <c r="C402" i="1"/>
  <c r="I402" i="1" s="1"/>
  <c r="C391" i="1"/>
  <c r="I391" i="1" s="1"/>
  <c r="C139" i="1"/>
  <c r="I139" i="1" s="1"/>
  <c r="C774" i="1"/>
  <c r="I774" i="1" s="1"/>
  <c r="C39" i="1"/>
  <c r="I39" i="1" s="1"/>
  <c r="C947" i="1"/>
  <c r="I947" i="1" s="1"/>
  <c r="C399" i="1"/>
  <c r="I399" i="1" s="1"/>
  <c r="C726" i="1"/>
  <c r="I726" i="1" s="1"/>
  <c r="C242" i="1"/>
  <c r="I242" i="1" s="1"/>
  <c r="C398" i="1"/>
  <c r="I398" i="1" s="1"/>
  <c r="C92" i="1"/>
  <c r="I92" i="1" s="1"/>
  <c r="C32" i="1"/>
  <c r="I32" i="1" s="1"/>
  <c r="C34" i="1"/>
  <c r="I34" i="1" s="1"/>
  <c r="C8" i="1"/>
  <c r="I8" i="1" s="1"/>
  <c r="C378" i="1"/>
  <c r="I378" i="1" s="1"/>
  <c r="C988" i="1"/>
  <c r="I988" i="1" s="1"/>
  <c r="C73" i="1"/>
  <c r="I73" i="1" s="1"/>
  <c r="C5" i="1"/>
  <c r="I5" i="1" s="1"/>
  <c r="C386" i="1"/>
  <c r="I386" i="1" s="1"/>
  <c r="C943" i="1"/>
  <c r="I943" i="1" s="1"/>
  <c r="C414" i="1"/>
  <c r="I414" i="1" s="1"/>
  <c r="C238" i="1"/>
  <c r="I238" i="1" s="1"/>
  <c r="C237" i="1"/>
  <c r="I237" i="1" s="1"/>
  <c r="C944" i="1"/>
  <c r="I944" i="1" s="1"/>
  <c r="C946" i="1"/>
  <c r="I946" i="1" s="1"/>
  <c r="C562" i="1"/>
  <c r="I562" i="1" s="1"/>
  <c r="C563" i="1"/>
  <c r="I563" i="1" s="1"/>
  <c r="C240" i="1"/>
  <c r="I240" i="1" s="1"/>
  <c r="C239" i="1"/>
  <c r="I239" i="1" s="1"/>
  <c r="C585" i="1"/>
  <c r="I585" i="1" s="1"/>
  <c r="C586" i="1"/>
  <c r="I586" i="1" s="1"/>
  <c r="C601" i="1"/>
  <c r="I601" i="1" s="1"/>
  <c r="C603" i="1"/>
  <c r="I603" i="1" s="1"/>
  <c r="C945" i="1"/>
  <c r="I945" i="1" s="1"/>
  <c r="C590" i="1"/>
  <c r="I590" i="1" s="1"/>
  <c r="C591" i="1"/>
  <c r="I591" i="1" s="1"/>
  <c r="C241" i="1"/>
  <c r="I241" i="1" s="1"/>
  <c r="C556" i="1"/>
  <c r="I556" i="1" s="1"/>
  <c r="C557" i="1"/>
  <c r="I557" i="1" s="1"/>
  <c r="C959" i="1"/>
  <c r="I959" i="1" s="1"/>
  <c r="C955" i="1"/>
  <c r="I955" i="1" s="1"/>
  <c r="C403" i="1"/>
  <c r="I403" i="1" s="1"/>
  <c r="C74" i="1"/>
  <c r="I74" i="1" s="1"/>
  <c r="C71" i="1"/>
  <c r="I71" i="1" s="1"/>
  <c r="C72" i="1"/>
  <c r="I72" i="1" s="1"/>
  <c r="C20" i="1"/>
  <c r="I20" i="1" s="1"/>
  <c r="C21" i="1"/>
  <c r="I21" i="1" s="1"/>
  <c r="C346" i="1"/>
  <c r="I346" i="1" s="1"/>
  <c r="C349" i="1"/>
  <c r="I349" i="1" s="1"/>
  <c r="C167" i="1"/>
  <c r="I167" i="1" s="1"/>
  <c r="C787" i="1"/>
  <c r="I787" i="1" s="1"/>
  <c r="C479" i="1"/>
  <c r="I479" i="1" s="1"/>
  <c r="C478" i="1"/>
  <c r="I478" i="1" s="1"/>
  <c r="C480" i="1"/>
  <c r="I480" i="1" s="1"/>
  <c r="C315" i="1"/>
  <c r="I315" i="1" s="1"/>
  <c r="C316" i="1"/>
  <c r="I316" i="1" s="1"/>
  <c r="C2" i="1"/>
  <c r="I2" i="1" s="1"/>
  <c r="C22" i="1"/>
  <c r="I22" i="1" s="1"/>
  <c r="C344" i="1"/>
  <c r="I344" i="1" s="1"/>
  <c r="C345" i="1"/>
  <c r="I345" i="1" s="1"/>
  <c r="C524" i="1"/>
  <c r="I524" i="1" s="1"/>
  <c r="C473" i="1"/>
  <c r="I473" i="1" s="1"/>
  <c r="C306" i="1"/>
  <c r="I306" i="1" s="1"/>
  <c r="C310" i="1"/>
  <c r="I310" i="1" s="1"/>
  <c r="C23" i="1"/>
  <c r="I23" i="1" s="1"/>
  <c r="C26" i="1"/>
  <c r="I26" i="1" s="1"/>
  <c r="C25" i="1"/>
  <c r="I25" i="1" s="1"/>
  <c r="C27" i="1"/>
  <c r="I27" i="1" s="1"/>
  <c r="C281" i="1"/>
  <c r="I281" i="1" s="1"/>
  <c r="C432" i="1"/>
  <c r="I432" i="1" s="1"/>
  <c r="C347" i="1"/>
  <c r="I347" i="1" s="1"/>
  <c r="C168" i="1"/>
  <c r="I168" i="1" s="1"/>
  <c r="C474" i="1"/>
  <c r="I474" i="1" s="1"/>
  <c r="C307" i="1"/>
  <c r="I307" i="1" s="1"/>
  <c r="C311" i="1"/>
  <c r="I311" i="1" s="1"/>
  <c r="C113" i="1"/>
  <c r="I113" i="1" s="1"/>
  <c r="C114" i="1"/>
  <c r="I114" i="1" s="1"/>
  <c r="C109" i="1"/>
  <c r="I109" i="1" s="1"/>
  <c r="C108" i="1"/>
  <c r="I108" i="1" s="1"/>
  <c r="C107" i="1"/>
  <c r="I107" i="1" s="1"/>
  <c r="C317" i="1"/>
  <c r="I317" i="1" s="1"/>
  <c r="C343" i="1"/>
  <c r="I343" i="1" s="1"/>
  <c r="C318" i="1"/>
  <c r="I318" i="1" s="1"/>
  <c r="C602" i="1"/>
  <c r="I602" i="1" s="1"/>
  <c r="C43" i="1"/>
  <c r="I43" i="1" s="1"/>
  <c r="C986" i="1"/>
  <c r="I986" i="1" s="1"/>
  <c r="C985" i="1"/>
  <c r="I985" i="1" s="1"/>
  <c r="C191" i="1"/>
  <c r="I191" i="1" s="1"/>
  <c r="C193" i="1"/>
  <c r="I193" i="1" s="1"/>
  <c r="C190" i="1"/>
  <c r="I190" i="1" s="1"/>
  <c r="C319" i="1"/>
  <c r="I319" i="1" s="1"/>
  <c r="C282" i="1"/>
  <c r="I282" i="1" s="1"/>
  <c r="C227" i="1"/>
  <c r="I227" i="1" s="1"/>
  <c r="C232" i="1"/>
  <c r="I232" i="1" s="1"/>
  <c r="C229" i="1"/>
  <c r="I229" i="1" s="1"/>
  <c r="C231" i="1"/>
  <c r="I231" i="1" s="1"/>
  <c r="C334" i="1"/>
  <c r="I334" i="1" s="1"/>
  <c r="C338" i="1"/>
  <c r="I338" i="1" s="1"/>
  <c r="C336" i="1"/>
  <c r="I336" i="1" s="1"/>
  <c r="C340" i="1"/>
  <c r="I340" i="1" s="1"/>
  <c r="C333" i="1"/>
  <c r="I333" i="1" s="1"/>
  <c r="C573" i="1"/>
  <c r="I573" i="1" s="1"/>
  <c r="C572" i="1"/>
  <c r="I572" i="1" s="1"/>
  <c r="C571" i="1"/>
  <c r="I571" i="1" s="1"/>
  <c r="C228" i="1"/>
  <c r="I228" i="1" s="1"/>
  <c r="C230" i="1"/>
  <c r="I230" i="1" s="1"/>
  <c r="C335" i="1"/>
  <c r="I335" i="1" s="1"/>
  <c r="C339" i="1"/>
  <c r="I339" i="1" s="1"/>
  <c r="C337" i="1"/>
  <c r="I337" i="1" s="1"/>
  <c r="C341" i="1"/>
  <c r="I341" i="1" s="1"/>
  <c r="C24" i="1"/>
  <c r="I24" i="1" s="1"/>
  <c r="C953" i="1"/>
  <c r="I953" i="1" s="1"/>
  <c r="C481" i="1"/>
  <c r="I481" i="1" s="1"/>
  <c r="C348" i="1"/>
  <c r="I348" i="1" s="1"/>
  <c r="C192" i="1"/>
  <c r="I192" i="1" s="1"/>
  <c r="C974" i="1"/>
  <c r="I974" i="1" s="1"/>
  <c r="C973" i="1"/>
  <c r="I973" i="1" s="1"/>
  <c r="C476" i="1"/>
  <c r="I476" i="1" s="1"/>
  <c r="C948" i="1"/>
  <c r="I948" i="1" s="1"/>
  <c r="C634" i="1"/>
  <c r="I634" i="1" s="1"/>
  <c r="C534" i="1"/>
  <c r="I534" i="1" s="1"/>
  <c r="C535" i="1"/>
  <c r="I535" i="1" s="1"/>
  <c r="C447" i="1"/>
  <c r="I447" i="1" s="1"/>
  <c r="C450" i="1"/>
  <c r="I450" i="1" s="1"/>
  <c r="C446" i="1"/>
  <c r="I446" i="1" s="1"/>
  <c r="C451" i="1"/>
  <c r="I451" i="1" s="1"/>
  <c r="C994" i="1"/>
  <c r="I994" i="1" s="1"/>
  <c r="C992" i="1"/>
  <c r="I992" i="1" s="1"/>
  <c r="C997" i="1"/>
  <c r="I997" i="1" s="1"/>
  <c r="C122" i="1"/>
  <c r="I122" i="1" s="1"/>
  <c r="C124" i="1"/>
  <c r="I124" i="1" s="1"/>
  <c r="C125" i="1"/>
  <c r="I125" i="1" s="1"/>
  <c r="C996" i="1"/>
  <c r="I996" i="1" s="1"/>
  <c r="C283" i="1"/>
  <c r="I283" i="1" s="1"/>
  <c r="C285" i="1"/>
  <c r="I285" i="1" s="1"/>
  <c r="C431" i="1"/>
  <c r="I431" i="1" s="1"/>
  <c r="C775" i="1"/>
  <c r="I775" i="1" s="1"/>
  <c r="C777" i="1"/>
  <c r="I777" i="1" s="1"/>
  <c r="C538" i="1"/>
  <c r="I538" i="1" s="1"/>
  <c r="C477" i="1"/>
  <c r="I477" i="1" s="1"/>
  <c r="C123" i="1"/>
  <c r="I123" i="1" s="1"/>
  <c r="C126" i="1"/>
  <c r="I126" i="1" s="1"/>
  <c r="C448" i="1"/>
  <c r="I448" i="1" s="1"/>
  <c r="C995" i="1"/>
  <c r="I995" i="1" s="1"/>
  <c r="C993" i="1"/>
  <c r="I993" i="1" s="1"/>
  <c r="C998" i="1"/>
  <c r="I998" i="1" s="1"/>
  <c r="C1018" i="1"/>
  <c r="I1018" i="1" s="1"/>
  <c r="C1019" i="1"/>
  <c r="I1019" i="1" s="1"/>
  <c r="C1017" i="1"/>
  <c r="I1017" i="1" s="1"/>
  <c r="C440" i="1"/>
  <c r="I440" i="1" s="1"/>
  <c r="C396" i="1"/>
  <c r="I396" i="1" s="1"/>
  <c r="C425" i="1"/>
  <c r="I425" i="1" s="1"/>
  <c r="C274" i="1"/>
  <c r="I274" i="1" s="1"/>
  <c r="C275" i="1"/>
  <c r="I275" i="1" s="1"/>
  <c r="C444" i="1"/>
  <c r="I444" i="1" s="1"/>
  <c r="C445" i="1"/>
  <c r="I445" i="1" s="1"/>
  <c r="C475" i="1"/>
  <c r="I475" i="1" s="1"/>
  <c r="C506" i="1"/>
  <c r="I506" i="1" s="1"/>
  <c r="C507" i="1"/>
  <c r="I507" i="1" s="1"/>
  <c r="C509" i="1"/>
  <c r="I509" i="1" s="1"/>
  <c r="C441" i="1"/>
  <c r="I441" i="1" s="1"/>
  <c r="C442" i="1"/>
  <c r="I442" i="1" s="1"/>
  <c r="C452" i="1"/>
  <c r="I452" i="1" s="1"/>
  <c r="C508" i="1"/>
  <c r="I508" i="1" s="1"/>
  <c r="C510" i="1"/>
  <c r="I510" i="1" s="1"/>
  <c r="C779" i="1"/>
  <c r="I779" i="1" s="1"/>
  <c r="C780" i="1"/>
  <c r="I780" i="1" s="1"/>
  <c r="C46" i="1"/>
  <c r="I46" i="1" s="1"/>
  <c r="C44" i="1"/>
  <c r="I44" i="1" s="1"/>
  <c r="C187" i="1"/>
  <c r="I187" i="1" s="1"/>
  <c r="C189" i="1"/>
  <c r="I189" i="1" s="1"/>
  <c r="C287" i="1"/>
  <c r="I287" i="1" s="1"/>
  <c r="C286" i="1"/>
  <c r="I286" i="1" s="1"/>
  <c r="C776" i="1"/>
  <c r="I776" i="1" s="1"/>
  <c r="C778" i="1"/>
  <c r="I778" i="1" s="1"/>
  <c r="C926" i="1"/>
  <c r="I926" i="1" s="1"/>
  <c r="C927" i="1"/>
  <c r="I927" i="1" s="1"/>
  <c r="C928" i="1"/>
  <c r="I928" i="1" s="1"/>
  <c r="C750" i="1"/>
  <c r="I750" i="1" s="1"/>
  <c r="C910" i="1"/>
  <c r="I910" i="1" s="1"/>
  <c r="C912" i="1"/>
  <c r="I912" i="1" s="1"/>
  <c r="C914" i="1"/>
  <c r="I914" i="1" s="1"/>
  <c r="C839" i="1"/>
  <c r="I839" i="1" s="1"/>
  <c r="C911" i="1"/>
  <c r="I911" i="1" s="1"/>
  <c r="C913" i="1"/>
  <c r="I913" i="1" s="1"/>
  <c r="C915" i="1"/>
  <c r="I915" i="1" s="1"/>
  <c r="C284" i="1"/>
  <c r="I284" i="1" s="1"/>
  <c r="C956" i="1"/>
  <c r="I956" i="1" s="1"/>
  <c r="C188" i="1"/>
  <c r="I188" i="1" s="1"/>
  <c r="C449" i="1"/>
  <c r="I449" i="1" s="1"/>
  <c r="C533" i="1"/>
  <c r="I533" i="1" s="1"/>
  <c r="C766" i="1"/>
  <c r="I766" i="1" s="1"/>
  <c r="C767" i="1"/>
  <c r="I767" i="1" s="1"/>
  <c r="C799" i="1"/>
  <c r="I799" i="1" s="1"/>
  <c r="C798" i="1"/>
  <c r="I798" i="1" s="1"/>
  <c r="C712" i="1"/>
  <c r="I712" i="1" s="1"/>
  <c r="C427" i="1"/>
  <c r="I427" i="1" s="1"/>
  <c r="C142" i="1"/>
  <c r="I142" i="1" s="1"/>
  <c r="C143" i="1"/>
  <c r="I143" i="1" s="1"/>
  <c r="C75" i="1"/>
  <c r="I75" i="1" s="1"/>
  <c r="C77" i="1"/>
  <c r="I77" i="1" s="1"/>
  <c r="C356" i="1"/>
  <c r="I356" i="1" s="1"/>
  <c r="C711" i="1"/>
  <c r="I711" i="1" s="1"/>
  <c r="C47" i="1"/>
  <c r="I47" i="1" s="1"/>
  <c r="C45" i="1"/>
  <c r="I45" i="1" s="1"/>
  <c r="C3" i="1"/>
  <c r="I3" i="1" s="1"/>
  <c r="C800" i="1"/>
  <c r="I800" i="1" s="1"/>
  <c r="C76" i="1"/>
  <c r="I76" i="1" s="1"/>
  <c r="C11" i="1"/>
  <c r="I11" i="1" s="1"/>
  <c r="C397" i="1"/>
  <c r="I397" i="1" s="1"/>
  <c r="C141" i="1"/>
  <c r="I141" i="1" s="1"/>
  <c r="C140" i="1"/>
  <c r="I140" i="1" s="1"/>
  <c r="C824" i="1"/>
  <c r="I824" i="1" s="1"/>
  <c r="C965" i="1"/>
  <c r="I965" i="1" s="1"/>
  <c r="C443" i="1"/>
  <c r="I443" i="1" s="1"/>
  <c r="C78" i="1"/>
  <c r="I78" i="1" s="1"/>
  <c r="C358" i="1"/>
  <c r="I358" i="1" s="1"/>
  <c r="C360" i="1"/>
  <c r="I360" i="1" s="1"/>
  <c r="C527" i="1"/>
  <c r="I527" i="1" s="1"/>
  <c r="C825" i="1"/>
  <c r="I825" i="1" s="1"/>
  <c r="C79" i="1"/>
  <c r="I79" i="1" s="1"/>
  <c r="C359" i="1"/>
  <c r="I359" i="1" s="1"/>
  <c r="C987" i="1"/>
  <c r="I987" i="1" s="1"/>
  <c r="C793" i="1"/>
  <c r="I793" i="1" s="1"/>
  <c r="C68" i="1"/>
  <c r="I68" i="1" s="1"/>
  <c r="C70" i="1"/>
  <c r="I70" i="1" s="1"/>
  <c r="C48" i="1"/>
  <c r="I48" i="1" s="1"/>
  <c r="C937" i="1"/>
  <c r="I937" i="1" s="1"/>
  <c r="C935" i="1"/>
  <c r="I935" i="1" s="1"/>
  <c r="C936" i="1"/>
  <c r="I936" i="1" s="1"/>
  <c r="C852" i="1"/>
  <c r="I852" i="1" s="1"/>
  <c r="C853" i="1"/>
  <c r="I853" i="1" s="1"/>
  <c r="C1024" i="1"/>
  <c r="I1024" i="1" s="1"/>
  <c r="C940" i="1"/>
  <c r="I940" i="1" s="1"/>
  <c r="C938" i="1"/>
  <c r="I938" i="1" s="1"/>
  <c r="C854" i="1"/>
  <c r="I854" i="1" s="1"/>
  <c r="C856" i="1"/>
  <c r="I856" i="1" s="1"/>
  <c r="C941" i="1"/>
  <c r="I941" i="1" s="1"/>
  <c r="C939" i="1"/>
  <c r="I939" i="1" s="1"/>
  <c r="C942" i="1"/>
  <c r="I942" i="1" s="1"/>
  <c r="C855" i="1"/>
  <c r="I855" i="1" s="1"/>
  <c r="C857" i="1"/>
  <c r="I857" i="1" s="1"/>
  <c r="C794" i="1"/>
  <c r="I794" i="1" s="1"/>
  <c r="C69" i="1"/>
  <c r="I69" i="1" s="1"/>
  <c r="C4" i="1"/>
  <c r="I4" i="1" s="1"/>
  <c r="C49" i="1"/>
  <c r="I49" i="1" s="1"/>
  <c r="C51" i="1"/>
  <c r="I51" i="1" s="1"/>
  <c r="C438" i="1"/>
  <c r="I438" i="1" s="1"/>
  <c r="C326" i="1"/>
  <c r="I326" i="1" s="1"/>
  <c r="C327" i="1"/>
  <c r="I327" i="1" s="1"/>
  <c r="C261" i="1"/>
  <c r="I261" i="1" s="1"/>
  <c r="C262" i="1"/>
  <c r="I262" i="1" s="1"/>
  <c r="C234" i="1"/>
  <c r="I234" i="1" s="1"/>
  <c r="C235" i="1"/>
  <c r="I235" i="1" s="1"/>
  <c r="C669" i="1"/>
  <c r="I669" i="1" s="1"/>
  <c r="C597" i="1"/>
  <c r="I597" i="1" s="1"/>
  <c r="C598" i="1"/>
  <c r="I598" i="1" s="1"/>
  <c r="C595" i="1"/>
  <c r="I595" i="1" s="1"/>
  <c r="C596" i="1"/>
  <c r="I596" i="1" s="1"/>
  <c r="C676" i="1"/>
  <c r="I676" i="1" s="1"/>
  <c r="C679" i="1"/>
  <c r="I679" i="1" s="1"/>
  <c r="C795" i="1"/>
  <c r="I795" i="1" s="1"/>
  <c r="C249" i="1"/>
  <c r="I249" i="1" s="1"/>
  <c r="C681" i="1"/>
  <c r="I681" i="1" s="1"/>
  <c r="C682" i="1"/>
  <c r="I682" i="1" s="1"/>
  <c r="C17" i="1"/>
  <c r="I17" i="1" s="1"/>
  <c r="C984" i="1"/>
  <c r="I984" i="1" s="1"/>
  <c r="C483" i="1"/>
  <c r="I483" i="1" s="1"/>
  <c r="C50" i="1"/>
  <c r="I50" i="1" s="1"/>
  <c r="C52" i="1"/>
  <c r="I52" i="1" s="1"/>
  <c r="C677" i="1"/>
  <c r="I677" i="1" s="1"/>
  <c r="C796" i="1"/>
  <c r="I796" i="1" s="1"/>
  <c r="C741" i="1"/>
  <c r="I741" i="1" s="1"/>
  <c r="C739" i="1"/>
  <c r="I739" i="1" s="1"/>
  <c r="C436" i="1"/>
  <c r="I436" i="1" s="1"/>
  <c r="C111" i="1"/>
  <c r="I111" i="1" s="1"/>
  <c r="C695" i="1"/>
  <c r="I695" i="1" s="1"/>
  <c r="C694" i="1"/>
  <c r="I694" i="1" s="1"/>
  <c r="C696" i="1"/>
  <c r="I696" i="1" s="1"/>
  <c r="C746" i="1"/>
  <c r="I746" i="1" s="1"/>
  <c r="C294" i="1"/>
  <c r="I294" i="1" s="1"/>
  <c r="C293" i="1"/>
  <c r="I293" i="1" s="1"/>
  <c r="C55" i="1"/>
  <c r="I55" i="1" s="1"/>
  <c r="C56" i="1"/>
  <c r="I56" i="1" s="1"/>
  <c r="C429" i="1"/>
  <c r="I429" i="1" s="1"/>
  <c r="C57" i="1"/>
  <c r="I57" i="1" s="1"/>
  <c r="C435" i="1"/>
  <c r="I435" i="1" s="1"/>
  <c r="C65" i="1"/>
  <c r="I65" i="1" s="1"/>
  <c r="C66" i="1"/>
  <c r="I66" i="1" s="1"/>
  <c r="C539" i="1"/>
  <c r="I539" i="1" s="1"/>
  <c r="C751" i="1"/>
  <c r="I751" i="1" s="1"/>
  <c r="C752" i="1"/>
  <c r="I752" i="1" s="1"/>
  <c r="C243" i="1"/>
  <c r="I243" i="1" s="1"/>
  <c r="C244" i="1"/>
  <c r="I244" i="1" s="1"/>
  <c r="C599" i="1"/>
  <c r="I599" i="1" s="1"/>
  <c r="C559" i="1"/>
  <c r="I559" i="1" s="1"/>
  <c r="C245" i="1"/>
  <c r="I245" i="1" s="1"/>
  <c r="C247" i="1"/>
  <c r="I247" i="1" s="1"/>
  <c r="C576" i="1"/>
  <c r="I576" i="1" s="1"/>
  <c r="C575" i="1"/>
  <c r="I575" i="1" s="1"/>
  <c r="C843" i="1"/>
  <c r="I843" i="1" s="1"/>
  <c r="C841" i="1"/>
  <c r="I841" i="1" s="1"/>
  <c r="C846" i="1"/>
  <c r="I846" i="1" s="1"/>
  <c r="C246" i="1"/>
  <c r="I246" i="1" s="1"/>
  <c r="C248" i="1"/>
  <c r="I248" i="1" s="1"/>
  <c r="C574" i="1"/>
  <c r="I574" i="1" s="1"/>
  <c r="C680" i="1"/>
  <c r="I680" i="1" s="1"/>
  <c r="C328" i="1"/>
  <c r="I328" i="1" s="1"/>
  <c r="C675" i="1"/>
  <c r="I675" i="1" s="1"/>
  <c r="C678" i="1"/>
  <c r="I678" i="1" s="1"/>
  <c r="C797" i="1"/>
  <c r="I797" i="1" s="1"/>
  <c r="C700" i="1"/>
  <c r="I700" i="1" s="1"/>
  <c r="C703" i="1"/>
  <c r="I703" i="1" s="1"/>
  <c r="C698" i="1"/>
  <c r="I698" i="1" s="1"/>
  <c r="C161" i="1"/>
  <c r="I161" i="1" s="1"/>
  <c r="C160" i="1"/>
  <c r="I160" i="1" s="1"/>
  <c r="C1002" i="1"/>
  <c r="I1002" i="1" s="1"/>
  <c r="C1005" i="1"/>
  <c r="I1005" i="1" s="1"/>
  <c r="C1004" i="1"/>
  <c r="I1004" i="1" s="1"/>
  <c r="C1003" i="1"/>
  <c r="I1003" i="1" s="1"/>
  <c r="C615" i="1"/>
  <c r="I615" i="1" s="1"/>
  <c r="C759" i="1"/>
  <c r="I759" i="1" s="1"/>
  <c r="C758" i="1"/>
  <c r="I758" i="1" s="1"/>
  <c r="C643" i="1"/>
  <c r="I643" i="1" s="1"/>
  <c r="C635" i="1"/>
  <c r="I635" i="1" s="1"/>
  <c r="C641" i="1"/>
  <c r="I641" i="1" s="1"/>
  <c r="C637" i="1"/>
  <c r="I637" i="1" s="1"/>
  <c r="C639" i="1"/>
  <c r="I639" i="1" s="1"/>
  <c r="C170" i="1"/>
  <c r="I170" i="1" s="1"/>
  <c r="C171" i="1"/>
  <c r="I171" i="1" s="1"/>
  <c r="C537" i="1"/>
  <c r="I537" i="1" s="1"/>
  <c r="C699" i="1"/>
  <c r="I699" i="1" s="1"/>
  <c r="C702" i="1"/>
  <c r="I702" i="1" s="1"/>
  <c r="C1006" i="1"/>
  <c r="I1006" i="1" s="1"/>
  <c r="C1011" i="1"/>
  <c r="I1011" i="1" s="1"/>
  <c r="C1009" i="1"/>
  <c r="I1009" i="1" s="1"/>
  <c r="C1008" i="1"/>
  <c r="I1008" i="1" s="1"/>
  <c r="C365" i="1"/>
  <c r="I365" i="1" s="1"/>
  <c r="C419" i="1"/>
  <c r="I419" i="1" s="1"/>
  <c r="C172" i="1"/>
  <c r="I172" i="1" s="1"/>
  <c r="C162" i="1"/>
  <c r="I162" i="1" s="1"/>
  <c r="C1007" i="1"/>
  <c r="I1007" i="1" s="1"/>
  <c r="C1012" i="1"/>
  <c r="I1012" i="1" s="1"/>
  <c r="C1010" i="1"/>
  <c r="I1010" i="1" s="1"/>
  <c r="C760" i="1"/>
  <c r="I760" i="1" s="1"/>
  <c r="C644" i="1"/>
  <c r="I644" i="1" s="1"/>
  <c r="C636" i="1"/>
  <c r="I636" i="1" s="1"/>
  <c r="C642" i="1"/>
  <c r="I642" i="1" s="1"/>
  <c r="C638" i="1"/>
  <c r="I638" i="1" s="1"/>
  <c r="C640" i="1"/>
  <c r="I640" i="1" s="1"/>
  <c r="C302" i="1"/>
  <c r="I302" i="1" s="1"/>
  <c r="C303" i="1"/>
  <c r="I303" i="1" s="1"/>
  <c r="C979" i="1"/>
  <c r="I979" i="1" s="1"/>
  <c r="C250" i="1"/>
  <c r="I250" i="1" s="1"/>
  <c r="C236" i="1"/>
  <c r="I236" i="1" s="1"/>
  <c r="C219" i="1"/>
  <c r="I219" i="1" s="1"/>
  <c r="C221" i="1"/>
  <c r="I221" i="1" s="1"/>
  <c r="C416" i="1"/>
  <c r="I416" i="1" s="1"/>
  <c r="C701" i="1"/>
  <c r="I701" i="1" s="1"/>
  <c r="C704" i="1"/>
  <c r="I704" i="1" s="1"/>
  <c r="C1000" i="1"/>
  <c r="I1000" i="1" s="1"/>
  <c r="C1001" i="1"/>
  <c r="I1001" i="1" s="1"/>
  <c r="C999" i="1"/>
  <c r="I999" i="1" s="1"/>
  <c r="C761" i="1"/>
  <c r="I761" i="1" s="1"/>
  <c r="C762" i="1"/>
  <c r="I762" i="1" s="1"/>
  <c r="C417" i="1"/>
  <c r="I417" i="1" s="1"/>
  <c r="C179" i="1"/>
  <c r="I179" i="1" s="1"/>
  <c r="C102" i="1"/>
  <c r="I102" i="1" s="1"/>
  <c r="C989" i="1"/>
  <c r="I989" i="1" s="1"/>
  <c r="C420" i="1"/>
  <c r="I420" i="1" s="1"/>
  <c r="C895" i="1"/>
  <c r="I895" i="1" s="1"/>
  <c r="C894" i="1"/>
  <c r="I894" i="1" s="1"/>
  <c r="C218" i="1"/>
  <c r="I218" i="1" s="1"/>
  <c r="C415" i="1"/>
  <c r="I415" i="1" s="1"/>
  <c r="C899" i="1"/>
  <c r="I899" i="1" s="1"/>
  <c r="C898" i="1"/>
  <c r="I898" i="1" s="1"/>
  <c r="C616" i="1"/>
  <c r="I616" i="1" s="1"/>
  <c r="C905" i="1"/>
  <c r="I905" i="1" s="1"/>
  <c r="C903" i="1"/>
  <c r="I903" i="1" s="1"/>
  <c r="C904" i="1"/>
  <c r="I904" i="1" s="1"/>
  <c r="C220" i="1"/>
  <c r="I220" i="1" s="1"/>
  <c r="C163" i="1"/>
  <c r="I163" i="1" s="1"/>
  <c r="C418" i="1"/>
  <c r="I418" i="1" s="1"/>
  <c r="C421" i="1"/>
  <c r="I421" i="1" s="1"/>
  <c r="C792" i="1"/>
  <c r="I792" i="1" s="1"/>
  <c r="C791" i="1"/>
  <c r="I791" i="1" s="1"/>
  <c r="C789" i="1"/>
  <c r="I789" i="1" s="1"/>
  <c r="C362" i="1"/>
  <c r="I362" i="1" s="1"/>
  <c r="C363" i="1"/>
  <c r="I363" i="1" s="1"/>
  <c r="C361" i="1"/>
  <c r="I361" i="1" s="1"/>
  <c r="C364" i="1"/>
  <c r="I364" i="1" s="1"/>
  <c r="C61" i="1"/>
  <c r="I61" i="1" s="1"/>
  <c r="C63" i="1"/>
  <c r="I63" i="1" s="1"/>
  <c r="C683" i="1"/>
  <c r="I683" i="1" s="1"/>
  <c r="C686" i="1"/>
  <c r="I686" i="1" s="1"/>
  <c r="C115" i="1"/>
  <c r="I115" i="1" s="1"/>
  <c r="C721" i="1"/>
  <c r="I721" i="1" s="1"/>
  <c r="C790" i="1"/>
  <c r="I790" i="1" s="1"/>
  <c r="C719" i="1"/>
  <c r="I719" i="1" s="1"/>
  <c r="C807" i="1"/>
  <c r="I807" i="1" s="1"/>
  <c r="C803" i="1"/>
  <c r="I803" i="1" s="1"/>
  <c r="C801" i="1"/>
  <c r="I801" i="1" s="1"/>
  <c r="C805" i="1"/>
  <c r="I805" i="1" s="1"/>
  <c r="C756" i="1"/>
  <c r="I756" i="1" s="1"/>
  <c r="C209" i="1"/>
  <c r="I209" i="1" s="1"/>
  <c r="C211" i="1"/>
  <c r="I211" i="1" s="1"/>
  <c r="C324" i="1"/>
  <c r="I324" i="1" s="1"/>
  <c r="C325" i="1"/>
  <c r="I325" i="1" s="1"/>
  <c r="C725" i="1"/>
  <c r="I725" i="1" s="1"/>
  <c r="C724" i="1"/>
  <c r="I724" i="1" s="1"/>
  <c r="C808" i="1"/>
  <c r="I808" i="1" s="1"/>
  <c r="C804" i="1"/>
  <c r="I804" i="1" s="1"/>
  <c r="C802" i="1"/>
  <c r="I802" i="1" s="1"/>
  <c r="C806" i="1"/>
  <c r="I806" i="1" s="1"/>
  <c r="C684" i="1"/>
  <c r="I684" i="1" s="1"/>
  <c r="C754" i="1"/>
  <c r="I754" i="1" s="1"/>
  <c r="C753" i="1"/>
  <c r="I753" i="1" s="1"/>
  <c r="C471" i="1"/>
  <c r="I471" i="1" s="1"/>
  <c r="C106" i="1"/>
  <c r="I106" i="1" s="1"/>
  <c r="C867" i="1"/>
  <c r="I867" i="1" s="1"/>
  <c r="C868" i="1"/>
  <c r="I868" i="1" s="1"/>
  <c r="C823" i="1"/>
  <c r="I823" i="1" s="1"/>
  <c r="C357" i="1"/>
  <c r="I357" i="1" s="1"/>
  <c r="C312" i="1"/>
  <c r="I312" i="1" s="1"/>
  <c r="C673" i="1"/>
  <c r="I673" i="1" s="1"/>
  <c r="C672" i="1"/>
  <c r="I672" i="1" s="1"/>
  <c r="C674" i="1"/>
  <c r="I674" i="1" s="1"/>
  <c r="C117" i="1"/>
  <c r="I117" i="1" s="1"/>
  <c r="C720" i="1"/>
  <c r="I720" i="1" s="1"/>
  <c r="C53" i="1"/>
  <c r="I53" i="1" s="1"/>
  <c r="C54" i="1"/>
  <c r="I54" i="1" s="1"/>
  <c r="C707" i="1"/>
  <c r="I707" i="1" s="1"/>
  <c r="C62" i="1"/>
  <c r="I62" i="1" s="1"/>
  <c r="C64" i="1"/>
  <c r="I64" i="1" s="1"/>
  <c r="C116" i="1"/>
  <c r="I116" i="1" s="1"/>
  <c r="C866" i="1"/>
  <c r="I866" i="1" s="1"/>
  <c r="C331" i="1"/>
  <c r="I331" i="1" s="1"/>
  <c r="C332" i="1"/>
  <c r="I332" i="1" s="1"/>
  <c r="C897" i="1"/>
  <c r="I897" i="1" s="1"/>
  <c r="C896" i="1"/>
  <c r="I896" i="1" s="1"/>
  <c r="C744" i="1"/>
  <c r="I744" i="1" s="1"/>
  <c r="C869" i="1"/>
  <c r="I869" i="1" s="1"/>
  <c r="C902" i="1"/>
  <c r="I902" i="1" s="1"/>
  <c r="C900" i="1"/>
  <c r="I900" i="1" s="1"/>
  <c r="C870" i="1"/>
  <c r="I870" i="1" s="1"/>
  <c r="C901" i="1"/>
  <c r="I901" i="1" s="1"/>
  <c r="C809" i="1"/>
  <c r="I809" i="1" s="1"/>
  <c r="C685" i="1"/>
  <c r="I685" i="1" s="1"/>
  <c r="C28" i="1"/>
  <c r="I28" i="1" s="1"/>
  <c r="C322" i="1"/>
  <c r="I322" i="1" s="1"/>
  <c r="C320" i="1"/>
  <c r="I320" i="1" s="1"/>
  <c r="C323" i="1"/>
  <c r="I323" i="1" s="1"/>
  <c r="C321" i="1"/>
  <c r="I321" i="1" s="1"/>
  <c r="C627" i="1"/>
  <c r="I627" i="1" s="1"/>
  <c r="C628" i="1"/>
  <c r="I628" i="1" s="1"/>
  <c r="C625" i="1"/>
  <c r="I625" i="1" s="1"/>
  <c r="C626" i="1"/>
  <c r="I626" i="1" s="1"/>
  <c r="C169" i="1"/>
  <c r="I169" i="1" s="1"/>
  <c r="C82" i="1"/>
  <c r="I82" i="1" s="1"/>
  <c r="C384" i="1"/>
  <c r="I384" i="1" s="1"/>
  <c r="C500" i="1"/>
  <c r="I500" i="1" s="1"/>
  <c r="C502" i="1"/>
  <c r="I502" i="1" s="1"/>
  <c r="C503" i="1"/>
  <c r="I503" i="1" s="1"/>
  <c r="C501" i="1"/>
  <c r="I501" i="1" s="1"/>
  <c r="C525" i="1"/>
  <c r="I525" i="1" s="1"/>
  <c r="C309" i="1"/>
  <c r="I309" i="1" s="1"/>
  <c r="C304" i="1"/>
  <c r="I304" i="1" s="1"/>
  <c r="C489" i="1"/>
  <c r="I489" i="1" s="1"/>
  <c r="C629" i="1"/>
  <c r="I629" i="1" s="1"/>
  <c r="C631" i="1"/>
  <c r="I631" i="1" s="1"/>
  <c r="C93" i="1"/>
  <c r="I93" i="1" s="1"/>
  <c r="C600" i="1"/>
  <c r="I600" i="1" s="1"/>
  <c r="C29" i="1"/>
  <c r="I29" i="1" s="1"/>
  <c r="C83" i="1"/>
  <c r="I83" i="1" s="1"/>
  <c r="C490" i="1"/>
  <c r="I490" i="1" s="1"/>
  <c r="C492" i="1"/>
  <c r="I492" i="1" s="1"/>
  <c r="C130" i="1"/>
  <c r="I130" i="1" s="1"/>
  <c r="C129" i="1"/>
  <c r="I129" i="1" s="1"/>
  <c r="C94" i="1"/>
  <c r="I94" i="1" s="1"/>
  <c r="C706" i="1"/>
  <c r="I706" i="1" s="1"/>
  <c r="C308" i="1"/>
  <c r="I308" i="1" s="1"/>
  <c r="C305" i="1"/>
  <c r="I305" i="1" s="1"/>
  <c r="C385" i="1"/>
  <c r="I385" i="1" s="1"/>
  <c r="C493" i="1"/>
  <c r="I493" i="1" s="1"/>
  <c r="C630" i="1"/>
  <c r="I630" i="1" s="1"/>
  <c r="C632" i="1"/>
  <c r="I632" i="1" s="1"/>
  <c r="C491" i="1"/>
  <c r="I491" i="1" s="1"/>
  <c r="C633" i="1"/>
  <c r="I633" i="1" s="1"/>
  <c r="C668" i="1"/>
  <c r="I668" i="1" s="1"/>
  <c r="C296" i="1"/>
  <c r="I296" i="1" s="1"/>
  <c r="C298" i="1"/>
  <c r="I298" i="1" s="1"/>
  <c r="C494" i="1"/>
  <c r="I494" i="1" s="1"/>
  <c r="C496" i="1"/>
  <c r="I496" i="1" s="1"/>
  <c r="C498" i="1"/>
  <c r="I498" i="1" s="1"/>
  <c r="C618" i="1"/>
  <c r="I618" i="1" s="1"/>
  <c r="C622" i="1"/>
  <c r="I622" i="1" s="1"/>
  <c r="C663" i="1"/>
  <c r="I663" i="1" s="1"/>
  <c r="C297" i="1"/>
  <c r="I297" i="1" s="1"/>
  <c r="C299" i="1"/>
  <c r="I299" i="1" s="1"/>
  <c r="C295" i="1"/>
  <c r="I295" i="1" s="1"/>
  <c r="C128" i="1"/>
  <c r="I128" i="1" s="1"/>
  <c r="C127" i="1"/>
  <c r="I127" i="1" s="1"/>
  <c r="C30" i="1"/>
  <c r="I30" i="1" s="1"/>
  <c r="C35" i="1"/>
  <c r="I35" i="1" s="1"/>
  <c r="C300" i="1"/>
  <c r="I300" i="1" s="1"/>
  <c r="C86" i="1"/>
  <c r="I86" i="1" s="1"/>
  <c r="C495" i="1"/>
  <c r="I495" i="1" s="1"/>
  <c r="C497" i="1"/>
  <c r="I497" i="1" s="1"/>
  <c r="C499" i="1"/>
  <c r="I499" i="1" s="1"/>
  <c r="C619" i="1"/>
  <c r="I619" i="1" s="1"/>
  <c r="C623" i="1"/>
  <c r="I623" i="1" s="1"/>
  <c r="C301" i="1"/>
  <c r="I301" i="1" s="1"/>
  <c r="C87" i="1"/>
  <c r="I87" i="1" s="1"/>
  <c r="C504" i="1"/>
  <c r="I504" i="1" s="1"/>
  <c r="C505" i="1"/>
  <c r="I505" i="1" s="1"/>
  <c r="C620" i="1"/>
  <c r="I620" i="1" s="1"/>
  <c r="C177" i="1"/>
  <c r="I177" i="1" s="1"/>
  <c r="C178" i="1"/>
  <c r="I178" i="1" s="1"/>
  <c r="C860" i="1"/>
  <c r="I860" i="1" s="1"/>
  <c r="C859" i="1"/>
  <c r="I859" i="1" s="1"/>
  <c r="C743" i="1"/>
  <c r="I743" i="1" s="1"/>
  <c r="C98" i="1"/>
  <c r="I98" i="1" s="1"/>
  <c r="C433" i="1"/>
  <c r="I433" i="1" s="1"/>
  <c r="C233" i="1"/>
  <c r="I233" i="1" s="1"/>
  <c r="C96" i="1"/>
  <c r="I96" i="1" s="1"/>
  <c r="C862" i="1"/>
  <c r="I862" i="1" s="1"/>
  <c r="C861" i="1"/>
  <c r="I861" i="1" s="1"/>
  <c r="C570" i="1"/>
  <c r="I570" i="1" s="1"/>
  <c r="C568" i="1"/>
  <c r="I568" i="1" s="1"/>
  <c r="C863" i="1"/>
  <c r="I863" i="1" s="1"/>
  <c r="C621" i="1"/>
  <c r="I621" i="1" s="1"/>
  <c r="C624" i="1"/>
  <c r="I624" i="1" s="1"/>
  <c r="C606" i="1"/>
  <c r="I606" i="1" s="1"/>
  <c r="C653" i="1"/>
  <c r="I653" i="1" s="1"/>
  <c r="C975" i="1"/>
  <c r="I975" i="1" s="1"/>
  <c r="C131" i="1"/>
  <c r="I131" i="1" s="1"/>
  <c r="C137" i="1"/>
  <c r="I137" i="1" s="1"/>
  <c r="C145" i="1"/>
  <c r="I145" i="1" s="1"/>
  <c r="C144" i="1"/>
  <c r="I144" i="1" s="1"/>
  <c r="C372" i="1"/>
  <c r="I372" i="1" s="1"/>
  <c r="C369" i="1"/>
  <c r="I369" i="1" s="1"/>
  <c r="C366" i="1"/>
  <c r="I366" i="1" s="1"/>
  <c r="C375" i="1"/>
  <c r="I375" i="1" s="1"/>
  <c r="C373" i="1"/>
  <c r="I373" i="1" s="1"/>
  <c r="C542" i="1"/>
  <c r="I542" i="1" s="1"/>
  <c r="C541" i="1"/>
  <c r="I541" i="1" s="1"/>
  <c r="C271" i="1"/>
  <c r="I271" i="1" s="1"/>
  <c r="C351" i="1"/>
  <c r="I351" i="1" s="1"/>
  <c r="C12" i="1"/>
  <c r="I12" i="1" s="1"/>
  <c r="C782" i="1"/>
  <c r="I782" i="1" s="1"/>
  <c r="C781" i="1"/>
  <c r="I781" i="1" s="1"/>
  <c r="C783" i="1"/>
  <c r="I783" i="1" s="1"/>
  <c r="C784" i="1"/>
  <c r="I784" i="1" s="1"/>
  <c r="C553" i="1"/>
  <c r="I553" i="1" s="1"/>
  <c r="C132" i="1"/>
  <c r="I132" i="1" s="1"/>
  <c r="C453" i="1"/>
  <c r="I453" i="1" s="1"/>
  <c r="C458" i="1"/>
  <c r="I458" i="1" s="1"/>
  <c r="C455" i="1"/>
  <c r="I455" i="1" s="1"/>
  <c r="C370" i="1"/>
  <c r="I370" i="1" s="1"/>
  <c r="C367" i="1"/>
  <c r="I367" i="1" s="1"/>
  <c r="C13" i="1"/>
  <c r="I13" i="1" s="1"/>
  <c r="C15" i="1"/>
  <c r="I15" i="1" s="1"/>
  <c r="C380" i="1"/>
  <c r="I380" i="1" s="1"/>
  <c r="C133" i="1"/>
  <c r="I133" i="1" s="1"/>
  <c r="C135" i="1"/>
  <c r="I135" i="1" s="1"/>
  <c r="C175" i="1"/>
  <c r="I175" i="1" s="1"/>
  <c r="C176" i="1"/>
  <c r="I176" i="1" s="1"/>
  <c r="C723" i="1"/>
  <c r="I723" i="1" s="1"/>
  <c r="C468" i="1"/>
  <c r="I468" i="1" s="1"/>
  <c r="C14" i="1"/>
  <c r="I14" i="1" s="1"/>
  <c r="C276" i="1"/>
  <c r="I276" i="1" s="1"/>
  <c r="C454" i="1"/>
  <c r="I454" i="1" s="1"/>
  <c r="C459" i="1"/>
  <c r="I459" i="1" s="1"/>
  <c r="C456" i="1"/>
  <c r="I456" i="1" s="1"/>
  <c r="C371" i="1"/>
  <c r="I371" i="1" s="1"/>
  <c r="C368" i="1"/>
  <c r="I368" i="1" s="1"/>
  <c r="C374" i="1"/>
  <c r="I374" i="1" s="1"/>
  <c r="C352" i="1"/>
  <c r="I352" i="1" s="1"/>
  <c r="C785" i="1"/>
  <c r="I785" i="1" s="1"/>
  <c r="C730" i="1"/>
  <c r="I730" i="1" s="1"/>
  <c r="C273" i="1"/>
  <c r="I273" i="1" s="1"/>
  <c r="C467" i="1"/>
  <c r="I467" i="1" s="1"/>
  <c r="C105" i="1"/>
  <c r="I105" i="1" s="1"/>
  <c r="C963" i="1"/>
  <c r="I963" i="1" s="1"/>
  <c r="C460" i="1"/>
  <c r="I460" i="1" s="1"/>
  <c r="C738" i="1"/>
  <c r="I738" i="1" s="1"/>
  <c r="C428" i="1"/>
  <c r="I428" i="1" s="1"/>
  <c r="C461" i="1"/>
  <c r="I461" i="1" s="1"/>
  <c r="C697" i="1"/>
  <c r="I697" i="1" s="1"/>
  <c r="C457" i="1"/>
  <c r="I457" i="1" s="1"/>
  <c r="C134" i="1"/>
  <c r="I134" i="1" s="1"/>
  <c r="C463" i="1"/>
  <c r="I463" i="1" s="1"/>
  <c r="C466" i="1"/>
  <c r="I466" i="1" s="1"/>
  <c r="C462" i="1"/>
  <c r="I462" i="1" s="1"/>
  <c r="C173" i="1"/>
  <c r="I173" i="1" s="1"/>
  <c r="C174" i="1"/>
  <c r="I174" i="1" s="1"/>
  <c r="C383" i="1"/>
  <c r="I383" i="1" s="1"/>
  <c r="C272" i="1"/>
  <c r="I272" i="1" s="1"/>
  <c r="C353" i="1"/>
  <c r="I353" i="1" s="1"/>
  <c r="C16" i="1"/>
  <c r="I16" i="1" s="1"/>
  <c r="C540" i="1"/>
  <c r="I540" i="1" s="1"/>
  <c r="C138" i="1"/>
  <c r="I138" i="1" s="1"/>
  <c r="C465" i="1"/>
  <c r="I465" i="1" s="1"/>
  <c r="C469" i="1"/>
  <c r="I469" i="1" s="1"/>
  <c r="C485" i="1"/>
  <c r="I485" i="1" s="1"/>
  <c r="C826" i="1"/>
  <c r="I826" i="1" s="1"/>
  <c r="C258" i="1"/>
  <c r="I258" i="1" s="1"/>
  <c r="C97" i="1"/>
  <c r="I97" i="1" s="1"/>
  <c r="C543" i="1"/>
  <c r="I543" i="1" s="1"/>
  <c r="C883" i="1"/>
  <c r="I883" i="1" s="1"/>
  <c r="C881" i="1"/>
  <c r="I881" i="1" s="1"/>
  <c r="C671" i="1"/>
  <c r="I671" i="1" s="1"/>
  <c r="C423" i="1"/>
  <c r="I423" i="1" s="1"/>
  <c r="C827" i="1"/>
  <c r="I827" i="1" s="1"/>
  <c r="C569" i="1"/>
  <c r="I569" i="1" s="1"/>
  <c r="C828" i="1"/>
  <c r="I828" i="1" s="1"/>
  <c r="C582" i="1"/>
  <c r="I582" i="1" s="1"/>
  <c r="C884" i="1"/>
  <c r="I884" i="1" s="1"/>
  <c r="C882" i="1"/>
  <c r="I882" i="1" s="1"/>
  <c r="C136" i="1"/>
  <c r="I136" i="1" s="1"/>
  <c r="C464" i="1"/>
  <c r="I464" i="1" s="1"/>
  <c r="C470" i="1"/>
  <c r="I470" i="1" s="1"/>
  <c r="C289" i="1"/>
  <c r="I289" i="1" s="1"/>
  <c r="C288" i="1"/>
  <c r="I288" i="1" s="1"/>
  <c r="C931" i="1"/>
  <c r="I931" i="1" s="1"/>
  <c r="C933" i="1"/>
  <c r="I933" i="1" s="1"/>
  <c r="C929" i="1"/>
  <c r="I929" i="1" s="1"/>
  <c r="C422" i="1"/>
  <c r="I422" i="1" s="1"/>
  <c r="C950" i="1"/>
  <c r="I950" i="1" s="1"/>
  <c r="C949" i="1"/>
  <c r="I949" i="1" s="1"/>
  <c r="C964" i="1"/>
  <c r="I964" i="1" s="1"/>
  <c r="C932" i="1"/>
  <c r="I932" i="1" s="1"/>
  <c r="C934" i="1"/>
  <c r="I934" i="1" s="1"/>
  <c r="C930" i="1"/>
  <c r="I930" i="1" s="1"/>
  <c r="C952" i="1"/>
  <c r="I952" i="1" s="1"/>
  <c r="C954" i="1"/>
  <c r="I954" i="1" s="1"/>
  <c r="C957" i="1"/>
  <c r="I957" i="1" s="1"/>
  <c r="C960" i="1"/>
  <c r="I960" i="1" s="1"/>
  <c r="C847" i="1"/>
  <c r="I847" i="1" s="1"/>
  <c r="C848" i="1"/>
  <c r="I848" i="1" s="1"/>
  <c r="C849" i="1"/>
  <c r="I849" i="1" s="1"/>
  <c r="C850" i="1"/>
  <c r="I850" i="1" s="1"/>
  <c r="C851" i="1"/>
  <c r="I851" i="1" s="1"/>
  <c r="C652" i="1"/>
  <c r="I652" i="1" s="1"/>
</calcChain>
</file>

<file path=xl/sharedStrings.xml><?xml version="1.0" encoding="utf-8"?>
<sst xmlns="http://schemas.openxmlformats.org/spreadsheetml/2006/main" count="6168" uniqueCount="757">
  <si>
    <t>CARDAPIO</t>
  </si>
  <si>
    <t>ALIMENTO</t>
  </si>
  <si>
    <t>PER_CAPITA</t>
  </si>
  <si>
    <t>Pão francês com margarina</t>
  </si>
  <si>
    <t>Margarina com sal</t>
  </si>
  <si>
    <t>Café  com leite</t>
  </si>
  <si>
    <t>Leite de vaca integral</t>
  </si>
  <si>
    <t>Açúcar cristal</t>
  </si>
  <si>
    <t>Suco de acerola</t>
  </si>
  <si>
    <t>Polpa de acerola congelada</t>
  </si>
  <si>
    <t xml:space="preserve">Mix de Folhas </t>
  </si>
  <si>
    <t>Alface</t>
  </si>
  <si>
    <t>Couve manteiga crua</t>
  </si>
  <si>
    <t>Acelga</t>
  </si>
  <si>
    <t>Cação a Escabeche</t>
  </si>
  <si>
    <t>Cação em posta</t>
  </si>
  <si>
    <t>Molho de tomate</t>
  </si>
  <si>
    <t>Pirão de Peixe com Pedaços e Coentro</t>
  </si>
  <si>
    <t>Arroz</t>
  </si>
  <si>
    <t xml:space="preserve">Arroz </t>
  </si>
  <si>
    <t xml:space="preserve">Feijão preto </t>
  </si>
  <si>
    <t>Pé de Moça</t>
  </si>
  <si>
    <t>Pé de moça</t>
  </si>
  <si>
    <t>Cenoura ralada com tomate</t>
  </si>
  <si>
    <t>Cenoura crua</t>
  </si>
  <si>
    <t>Tomate salada</t>
  </si>
  <si>
    <t>Carne ensopada com ervilha (patinho)</t>
  </si>
  <si>
    <t>Ervilha enlatada drenada</t>
  </si>
  <si>
    <t>Parafuso à Romana (Manjericão com Queijo)</t>
  </si>
  <si>
    <t>Queijo mozarela</t>
  </si>
  <si>
    <t>Manjericão seco</t>
  </si>
  <si>
    <t>Feijão carioca</t>
  </si>
  <si>
    <t>Melancia</t>
  </si>
  <si>
    <t>Mingau de Neston</t>
  </si>
  <si>
    <t>Neston</t>
  </si>
  <si>
    <t>Azeite</t>
  </si>
  <si>
    <t>Vinagre</t>
  </si>
  <si>
    <t>Maçã</t>
  </si>
  <si>
    <t>Maçã fuji com casca</t>
  </si>
  <si>
    <t xml:space="preserve">Pão brioche com margarina </t>
  </si>
  <si>
    <t>Pão brioche</t>
  </si>
  <si>
    <t>Café com leite</t>
  </si>
  <si>
    <t>Carne ensopada  (patinho)</t>
  </si>
  <si>
    <t>Sal</t>
  </si>
  <si>
    <t>Pão francês integral com margarina</t>
  </si>
  <si>
    <t>Pão francês integral</t>
  </si>
  <si>
    <t>Café com leite e adoçante</t>
  </si>
  <si>
    <t xml:space="preserve">Moqueca de Cação </t>
  </si>
  <si>
    <t>Cação em posta cozida</t>
  </si>
  <si>
    <t>Couve-flor refogada</t>
  </si>
  <si>
    <t>Chuchu ensopado</t>
  </si>
  <si>
    <t>Mingau de amido</t>
  </si>
  <si>
    <t>Amido</t>
  </si>
  <si>
    <t>Pão brioche integral</t>
  </si>
  <si>
    <t xml:space="preserve">Café com leite </t>
  </si>
  <si>
    <t>Pera</t>
  </si>
  <si>
    <t>Repolho refogado</t>
  </si>
  <si>
    <t>Repolho branco refogado</t>
  </si>
  <si>
    <t>Parafuso ao sugo e manjericão</t>
  </si>
  <si>
    <t>Macarrão Parafuso cozido</t>
  </si>
  <si>
    <t>Molho sugo</t>
  </si>
  <si>
    <t>Vitamina de Maracujá</t>
  </si>
  <si>
    <t>Leite em pó desnatado enriquecido com cálcio</t>
  </si>
  <si>
    <t>Polpa de maracujá</t>
  </si>
  <si>
    <t>Farinha láctea</t>
  </si>
  <si>
    <t>Batata Cozida</t>
  </si>
  <si>
    <t>Feijão preto batido</t>
  </si>
  <si>
    <t>Gelatina de morango</t>
  </si>
  <si>
    <t>Chuchu em cubinhos</t>
  </si>
  <si>
    <t>Feijão carioca batido</t>
  </si>
  <si>
    <t>Banana prata</t>
  </si>
  <si>
    <t>Biscoito  de sal</t>
  </si>
  <si>
    <t>Biscoito sal cream cracker 6 unidades</t>
  </si>
  <si>
    <t>Chá mate</t>
  </si>
  <si>
    <t>Chá, mate, infusão 5%</t>
  </si>
  <si>
    <t>Suco de limão com adoçante</t>
  </si>
  <si>
    <t>Limão tahiti</t>
  </si>
  <si>
    <t>Água de coco</t>
  </si>
  <si>
    <t>Cenoura cozida</t>
  </si>
  <si>
    <t>Cação ao molho de tomate sem pele sem gordura</t>
  </si>
  <si>
    <t>Suco de caju com adoçante</t>
  </si>
  <si>
    <t>Polpa de caju congelada</t>
  </si>
  <si>
    <t>Carne Ensopada sem gordura(patinho)</t>
  </si>
  <si>
    <t>Macarrão sem gordura ao molho vermelho</t>
  </si>
  <si>
    <t>Macarrão parafuso cozido</t>
  </si>
  <si>
    <t>Molho vermelho tomate sem pele</t>
  </si>
  <si>
    <t>Chá</t>
  </si>
  <si>
    <t>Chá, erva-doce, infusão 5%</t>
  </si>
  <si>
    <t>Pão Brioche sem margarina</t>
  </si>
  <si>
    <t>Café  com leite desnatado</t>
  </si>
  <si>
    <t>Leite em pó desnatado</t>
  </si>
  <si>
    <t xml:space="preserve">Macarrão ao sugo manjericão sem gordura </t>
  </si>
  <si>
    <t>Molho ao sugo</t>
  </si>
  <si>
    <t>Pão Frânces sem sal com margarina sem sal</t>
  </si>
  <si>
    <t>Pão francês sem sal</t>
  </si>
  <si>
    <t>Margarina sem sal</t>
  </si>
  <si>
    <t>Café puro com açúcar</t>
  </si>
  <si>
    <t>Couve-flor cozida</t>
  </si>
  <si>
    <t>Pirão de Peixe</t>
  </si>
  <si>
    <t>Pão francês sem sal com margarina sem sal</t>
  </si>
  <si>
    <t xml:space="preserve">Salada de Tomate </t>
  </si>
  <si>
    <t>Peixe assado com alecrim, limão, azeite e lâminas de alho</t>
  </si>
  <si>
    <t>Alecrim seco</t>
  </si>
  <si>
    <t>Azeite, de oliva, extra virgem</t>
  </si>
  <si>
    <t>Alho cru</t>
  </si>
  <si>
    <t>Nutri Renal</t>
  </si>
  <si>
    <t>Alho</t>
  </si>
  <si>
    <t>Cenoura sauté</t>
  </si>
  <si>
    <t>Sopa creme de couve-flor</t>
  </si>
  <si>
    <t>Margarina</t>
  </si>
  <si>
    <t>Trigo</t>
  </si>
  <si>
    <t>Peixe Desfiado</t>
  </si>
  <si>
    <t>Cação em posta desfiado</t>
  </si>
  <si>
    <t>Arroz papa</t>
  </si>
  <si>
    <t>Sopa de Fubá</t>
  </si>
  <si>
    <t>Fubá cru</t>
  </si>
  <si>
    <t>Purê de cenoura</t>
  </si>
  <si>
    <t>Carne moída</t>
  </si>
  <si>
    <t>Carne moída refogada</t>
  </si>
  <si>
    <t>Vitamina HPHC</t>
  </si>
  <si>
    <t>Sopa Creme de Couve-flor com Frango</t>
  </si>
  <si>
    <t>Purê de abóbora</t>
  </si>
  <si>
    <t>Caldo de feijão preto</t>
  </si>
  <si>
    <t>Mingau de mucilon de milho</t>
  </si>
  <si>
    <t>Mucilon de milho</t>
  </si>
  <si>
    <t>Sopa de Fubá com carne</t>
  </si>
  <si>
    <t>Curau</t>
  </si>
  <si>
    <t>Mingau de farinha láctea</t>
  </si>
  <si>
    <t>Sopa Creme de Couve-flor</t>
  </si>
  <si>
    <t>Caldo de Feijão Carioca</t>
  </si>
  <si>
    <t>Vitamina de Aveia</t>
  </si>
  <si>
    <t>Polpa de fruta</t>
  </si>
  <si>
    <t>Aveia</t>
  </si>
  <si>
    <t>TCM</t>
  </si>
  <si>
    <t>Suco com adoçante</t>
  </si>
  <si>
    <t>Melão</t>
  </si>
  <si>
    <t>Suco de laranja com acerola</t>
  </si>
  <si>
    <t>Laranja pera</t>
  </si>
  <si>
    <t>Cenoura com chuchu</t>
  </si>
  <si>
    <t>Filé de Frango Grelhado com molho de laranja</t>
  </si>
  <si>
    <t>Batata Gratinada</t>
  </si>
  <si>
    <t>Molho branco</t>
  </si>
  <si>
    <t>Pudim de baunilha</t>
  </si>
  <si>
    <t>Rúcula com manga</t>
  </si>
  <si>
    <t>Rúcula crua</t>
  </si>
  <si>
    <t>Manga, Tommy Atkins crua</t>
  </si>
  <si>
    <t>Bife de Palma</t>
  </si>
  <si>
    <t>Cebola</t>
  </si>
  <si>
    <t>Farinha de trigo</t>
  </si>
  <si>
    <t>Ovo de galinha</t>
  </si>
  <si>
    <t>Tomate</t>
  </si>
  <si>
    <t>Óleo vegetal</t>
  </si>
  <si>
    <t>Purê de aipim com queijo</t>
  </si>
  <si>
    <t xml:space="preserve">Laranja </t>
  </si>
  <si>
    <t>Mingau de creme de arroz</t>
  </si>
  <si>
    <t>Creme de arroz em pó</t>
  </si>
  <si>
    <t>Banana nanica</t>
  </si>
  <si>
    <t xml:space="preserve">Melão </t>
  </si>
  <si>
    <t>Pão brioche com margarina</t>
  </si>
  <si>
    <t>Batata sauté</t>
  </si>
  <si>
    <t xml:space="preserve">Purê de aipim </t>
  </si>
  <si>
    <t>Abobrinha com coentro</t>
  </si>
  <si>
    <t>Folha de coentro crua</t>
  </si>
  <si>
    <t>Pudim de coco Diet</t>
  </si>
  <si>
    <t>Pudim de coco diet com leite desnatado</t>
  </si>
  <si>
    <t>Quiabo ensopado</t>
  </si>
  <si>
    <t>Cenoura ralada</t>
  </si>
  <si>
    <t>Mingau de aveia</t>
  </si>
  <si>
    <t>Aveia em flocos</t>
  </si>
  <si>
    <t>Batata baroa cozida</t>
  </si>
  <si>
    <t>Laranja lima</t>
  </si>
  <si>
    <t>Biscoito cream cracker</t>
  </si>
  <si>
    <t>Chá de camomila</t>
  </si>
  <si>
    <t>Chá de camomila, ebulição</t>
  </si>
  <si>
    <t>Suco de maracujá com adoçante</t>
  </si>
  <si>
    <t>Polpa de maracujá congelada</t>
  </si>
  <si>
    <t>Sopa de Chuchu, cenoura e frango batida</t>
  </si>
  <si>
    <t>Frango Assado</t>
  </si>
  <si>
    <t>Purê de batata SEM leite e SEM gordura</t>
  </si>
  <si>
    <t>Goiaba</t>
  </si>
  <si>
    <t>Goiaba vermelha crua</t>
  </si>
  <si>
    <t>Suco de maracujá</t>
  </si>
  <si>
    <t>Aipim ensopado</t>
  </si>
  <si>
    <t>Banana da terra cozida</t>
  </si>
  <si>
    <t>Abacaxi</t>
  </si>
  <si>
    <t>Frango assado</t>
  </si>
  <si>
    <t xml:space="preserve">Uva </t>
  </si>
  <si>
    <t>Uva, Rubi, crua</t>
  </si>
  <si>
    <t>Rúcula</t>
  </si>
  <si>
    <t>Maça</t>
  </si>
  <si>
    <t xml:space="preserve">Sopa de chuchu e cenoura </t>
  </si>
  <si>
    <t>Frango desfiado</t>
  </si>
  <si>
    <t>Polenta</t>
  </si>
  <si>
    <t>Sopa de Aipim</t>
  </si>
  <si>
    <t>Purê de batata baroa</t>
  </si>
  <si>
    <t>Geleia de mocotó sabor tradicional</t>
  </si>
  <si>
    <t>Geleia de mocotó</t>
  </si>
  <si>
    <t>Sopa de chuchu, cenoura e frango (batida)</t>
  </si>
  <si>
    <t>Caldo de feijão carioca</t>
  </si>
  <si>
    <t>Mingau de tapioca batido</t>
  </si>
  <si>
    <t>Tapioca seca</t>
  </si>
  <si>
    <t>Pudim de Chocolate</t>
  </si>
  <si>
    <t>Pudim de chocolate</t>
  </si>
  <si>
    <t>Sopa de Aipim com Carne Moída (batida)</t>
  </si>
  <si>
    <t>Sopa de chuchu, cenoura e frango(batida)</t>
  </si>
  <si>
    <t>Mamão</t>
  </si>
  <si>
    <t>Mamão papaia, cru</t>
  </si>
  <si>
    <t>Alface com repolho roxo</t>
  </si>
  <si>
    <t>Alface crespa, crua</t>
  </si>
  <si>
    <t>Repolho roxo, cru</t>
  </si>
  <si>
    <t>Lasanha à bolonhesa (Patinho Moído)</t>
  </si>
  <si>
    <t>Lasanha (presunto, queijo e molho à bolonhesa)</t>
  </si>
  <si>
    <t>Legumes sautée (Cenoura, chuchu e vagem)</t>
  </si>
  <si>
    <t>Gelatina de framboesa</t>
  </si>
  <si>
    <t>Milho em espiga com beterraba cozida</t>
  </si>
  <si>
    <t>Sobrecoxa de Frango Provençal (cenoura, cebola, tomate, azeitonas e alecrim)</t>
  </si>
  <si>
    <t>Cebola branca crua</t>
  </si>
  <si>
    <t>Tomate com semente, cru</t>
  </si>
  <si>
    <t>Azeitona verde em conserva</t>
  </si>
  <si>
    <t>Quichê de Alho Poró</t>
  </si>
  <si>
    <t>Quiche</t>
  </si>
  <si>
    <t>Mingau de fubá</t>
  </si>
  <si>
    <t>Lasanha à Bolonhesa (Patinho Moído)</t>
  </si>
  <si>
    <t>Legumes Sautée (Cenoura, chuchu e vagem)</t>
  </si>
  <si>
    <t>Milho em espiga com beteraba cozida</t>
  </si>
  <si>
    <t xml:space="preserve">Alface </t>
  </si>
  <si>
    <t>Repolho roxo</t>
  </si>
  <si>
    <t>Carne moída refogada (Patinho Moído)</t>
  </si>
  <si>
    <t>Sobrecoxa de frango provençal (cenoura, cebola, tomate e alecrim)</t>
  </si>
  <si>
    <t>Abobrinha refogada</t>
  </si>
  <si>
    <t>Gelatina diet de limão</t>
  </si>
  <si>
    <t>Suco de graviola</t>
  </si>
  <si>
    <t>Polpa de graviola congelada</t>
  </si>
  <si>
    <t>Legumes Sautée (cenoura, chuchu e vagem)</t>
  </si>
  <si>
    <t>Leite com achocolatado</t>
  </si>
  <si>
    <t>Achocolatado</t>
  </si>
  <si>
    <t>Jiló cozido</t>
  </si>
  <si>
    <t>Cenoura com chuchu cozidos</t>
  </si>
  <si>
    <t>Biscoito  cream cracker</t>
  </si>
  <si>
    <t xml:space="preserve">Inhame </t>
  </si>
  <si>
    <t>Sobrecoxa de Frango  Assada</t>
  </si>
  <si>
    <t>Café com leite desnatado</t>
  </si>
  <si>
    <t>Cação assado</t>
  </si>
  <si>
    <t>Agrião e tomate sem semente</t>
  </si>
  <si>
    <t>Agrião cru</t>
  </si>
  <si>
    <t xml:space="preserve">Sopa de Legumes (Cenoura, Chuchu, Vagem) </t>
  </si>
  <si>
    <t xml:space="preserve">Purê de batata </t>
  </si>
  <si>
    <t xml:space="preserve">Sopa de beterraba, chuchu e batata </t>
  </si>
  <si>
    <t>Sopa de Legumes (Cenoura, Chuchu, Vagem) com Carne Moída batida</t>
  </si>
  <si>
    <t>Sopa de beterraba, chuchu e batata com frango batido</t>
  </si>
  <si>
    <t xml:space="preserve">Caldo de feijão carioca </t>
  </si>
  <si>
    <t xml:space="preserve">Caldo de feijão preto </t>
  </si>
  <si>
    <t>Suco de maracujá com mamão</t>
  </si>
  <si>
    <t>Polpa de mamão congelada</t>
  </si>
  <si>
    <t>Agrião com tomate</t>
  </si>
  <si>
    <t>Filé de Frango Empanado</t>
  </si>
  <si>
    <t>Creme de Ervilha seca</t>
  </si>
  <si>
    <t>Pudim chinês</t>
  </si>
  <si>
    <t>Couve</t>
  </si>
  <si>
    <t>Escondidinho de Aipim com Carne Moída</t>
  </si>
  <si>
    <t>Abóbora Sautée com Bacon</t>
  </si>
  <si>
    <t>Bacon</t>
  </si>
  <si>
    <t xml:space="preserve">Arroz doce </t>
  </si>
  <si>
    <t>Arroz doce</t>
  </si>
  <si>
    <t>Filé de frango ao molho de ervas</t>
  </si>
  <si>
    <t>Manjerona seca</t>
  </si>
  <si>
    <t xml:space="preserve">Abóbora Sautée </t>
  </si>
  <si>
    <t>Pudim de chocolate Diet</t>
  </si>
  <si>
    <t>Arroz doce diet</t>
  </si>
  <si>
    <t>Arroz cozido</t>
  </si>
  <si>
    <t>Leite de vaca em pó</t>
  </si>
  <si>
    <t>Beterraba Cozida</t>
  </si>
  <si>
    <t>Salada de Abóbora</t>
  </si>
  <si>
    <t>Aipim Cozido</t>
  </si>
  <si>
    <t>Sopa de mandioquinha com frango batido</t>
  </si>
  <si>
    <t xml:space="preserve">Filé de Frango </t>
  </si>
  <si>
    <t>Peito de frango, sem pele, cozido,desfiado</t>
  </si>
  <si>
    <t>Purê de  batata SEM leite e SEM gordura</t>
  </si>
  <si>
    <t>Canjiquinha com carne moída sem gordura</t>
  </si>
  <si>
    <t>Abobrinha ao forno</t>
  </si>
  <si>
    <t>Feijão cozido (só grãos)</t>
  </si>
  <si>
    <t>Uva</t>
  </si>
  <si>
    <t>Uva rubi crua</t>
  </si>
  <si>
    <t>Almôndega de Frango</t>
  </si>
  <si>
    <t>Abóbora Sautée</t>
  </si>
  <si>
    <t xml:space="preserve">Sopa de mandioquinha </t>
  </si>
  <si>
    <t>Frango Desfiado</t>
  </si>
  <si>
    <t>Canjiquinha com agrião batida</t>
  </si>
  <si>
    <t>Canjiquinha</t>
  </si>
  <si>
    <t>Sopa de mandioquinha com frango batida</t>
  </si>
  <si>
    <t>Mingau de cereais</t>
  </si>
  <si>
    <t>Multicereais</t>
  </si>
  <si>
    <t>Canjiquinha com agrião e carne moida batida</t>
  </si>
  <si>
    <t>Mingau de Mucilon de arroz</t>
  </si>
  <si>
    <t>Mucilon de arroz</t>
  </si>
  <si>
    <t>Mingau de tapioca</t>
  </si>
  <si>
    <t>Mingau de Multicereais</t>
  </si>
  <si>
    <t>Mingau de arroz</t>
  </si>
  <si>
    <t>Acelga ao vinagrete</t>
  </si>
  <si>
    <t>Vinagrete</t>
  </si>
  <si>
    <t>Cubos de patinho ao molho madeira</t>
  </si>
  <si>
    <t>Bolinho de arroz</t>
  </si>
  <si>
    <t xml:space="preserve">Salpicão </t>
  </si>
  <si>
    <t>Lagarto Assado Recheado com Cenoura e Linguiça Calabresa)</t>
  </si>
  <si>
    <t>Linguiça (suína, bovina, mista)</t>
  </si>
  <si>
    <t>Chuchu Gratinado (molho branco e queijo)</t>
  </si>
  <si>
    <t>Abacaxi cru</t>
  </si>
  <si>
    <t>Cubos de patinho ao molho ferrugem</t>
  </si>
  <si>
    <t xml:space="preserve">Lagarto Assado </t>
  </si>
  <si>
    <t>Chuchu com ovos</t>
  </si>
  <si>
    <t>Ovos</t>
  </si>
  <si>
    <t>Acelga com pimentão colorido</t>
  </si>
  <si>
    <t>Pimentão verde</t>
  </si>
  <si>
    <t>Pimentão amarelo</t>
  </si>
  <si>
    <t>Pimentão vermelho</t>
  </si>
  <si>
    <t>Cenoura sautée</t>
  </si>
  <si>
    <t>Gelatina diet de uva</t>
  </si>
  <si>
    <t>Batata cozida com cenoura cozida</t>
  </si>
  <si>
    <t>Batata Baroa com abobrinha</t>
  </si>
  <si>
    <t xml:space="preserve">Batata Baroa </t>
  </si>
  <si>
    <t>Chuchu refogadinho</t>
  </si>
  <si>
    <t>Cubos de Patinho ao Molho de tomate SEM pele e SEM gordura</t>
  </si>
  <si>
    <t>Chuchu refogado</t>
  </si>
  <si>
    <t>Tomate e pepino</t>
  </si>
  <si>
    <t>Pepino cru</t>
  </si>
  <si>
    <t>Cação assado com limão, tomate e alho</t>
  </si>
  <si>
    <t>Tomate cru com semente</t>
  </si>
  <si>
    <t>Chuchu Refogado</t>
  </si>
  <si>
    <t>Canja de frango com cenoura e hortelã (batida)</t>
  </si>
  <si>
    <t>Hortelã</t>
  </si>
  <si>
    <t>Carne Moída</t>
  </si>
  <si>
    <t>Creme de Ervilha com Carne Moída Batida</t>
  </si>
  <si>
    <t>Ervilha em conserva</t>
  </si>
  <si>
    <t>Mingau de cremogema chocolate</t>
  </si>
  <si>
    <t>Cremogema tradicional</t>
  </si>
  <si>
    <t>Achocolatado em pó</t>
  </si>
  <si>
    <t>Laranja</t>
  </si>
  <si>
    <t>Suco de manga</t>
  </si>
  <si>
    <t>Polpa de manga congelada</t>
  </si>
  <si>
    <t>Lagarto assado ao molho madeira</t>
  </si>
  <si>
    <t>Souflê de Legumes (Vagem, Cenoura e Chuchu)</t>
  </si>
  <si>
    <t>Paçoca</t>
  </si>
  <si>
    <t>Maionese (Batata, Cenoura, Vagem, Milho, Ervilha, Cheiro Verde)</t>
  </si>
  <si>
    <t>Maionese (Batata, Cenoura, Vagem e maionese)</t>
  </si>
  <si>
    <t>Milho enlatado drenado</t>
  </si>
  <si>
    <t>Isca de Frango Colorido (Pimentão, Cebola, Tomate e Cheiro Verde)</t>
  </si>
  <si>
    <t>Virado de Abobrinha ( farinha de milho, abobrinha,ovo,margarina)</t>
  </si>
  <si>
    <t>Farinha de milho</t>
  </si>
  <si>
    <t>Ovo de galinha inteiro cozido</t>
  </si>
  <si>
    <t>Banana Prata</t>
  </si>
  <si>
    <t>Batata, Cenoura, Vagem e cheiro verde</t>
  </si>
  <si>
    <t>Cenoura, vagem e chuchu sautée</t>
  </si>
  <si>
    <t>Gelatina diet de morango</t>
  </si>
  <si>
    <t>Salada de cenoura e vagem</t>
  </si>
  <si>
    <t>Manga</t>
  </si>
  <si>
    <t>Vitamina de Manga</t>
  </si>
  <si>
    <t>Inhame Cozido</t>
  </si>
  <si>
    <t xml:space="preserve">Feijão preto batido </t>
  </si>
  <si>
    <t>Gelatina de limão</t>
  </si>
  <si>
    <t>Cenoura em palito com batata</t>
  </si>
  <si>
    <t>Isca de Frango Colorido ( Tomate e Cheiro Verde)</t>
  </si>
  <si>
    <t>Lagarto assado ao molho de tomate SEM pele e SEM gordura</t>
  </si>
  <si>
    <t>legumes cozidos(batata, cenoura e chuchu)</t>
  </si>
  <si>
    <t>Inhame e batata baroa em cubinhos</t>
  </si>
  <si>
    <t>Isca de Frango sem gordura</t>
  </si>
  <si>
    <t>Salada de Cenoura e vagem cozidas</t>
  </si>
  <si>
    <t>Alface com agrião</t>
  </si>
  <si>
    <t>Cação assado ao molho de ervas(alecrim e coentro)</t>
  </si>
  <si>
    <t>Coentro</t>
  </si>
  <si>
    <t>Salada de Cenoura e vagem</t>
  </si>
  <si>
    <t>Laranja Lima</t>
  </si>
  <si>
    <t>Sopa de Legumes Batida (Batata, Cenoura e Vagem)</t>
  </si>
  <si>
    <t>Purê de Inhame</t>
  </si>
  <si>
    <t>Sopa de Legumes  (Batata, Cenoura e Vagem) com Frango Batido</t>
  </si>
  <si>
    <t>Repolho roxo com tomate</t>
  </si>
  <si>
    <t>Sobrecoxa de frango com molho com quiabo</t>
  </si>
  <si>
    <t>Polenta com queijo</t>
  </si>
  <si>
    <t>Gelatina de uva</t>
  </si>
  <si>
    <t>Beterraba e vagem em cubinhos</t>
  </si>
  <si>
    <t>Almôndegas ao sugo</t>
  </si>
  <si>
    <t>Espaguete ao alho e óleo</t>
  </si>
  <si>
    <t xml:space="preserve">Polenta </t>
  </si>
  <si>
    <t>Abóbora refogada</t>
  </si>
  <si>
    <t>Abobrinha cozida</t>
  </si>
  <si>
    <t>Feijão preto batido batido</t>
  </si>
  <si>
    <t>Beterraba e abóbora em cubinhos</t>
  </si>
  <si>
    <t>Sobrecoxa de frango sem pele e sem gordura</t>
  </si>
  <si>
    <t>Sobrecoxa de frango sem pele, assada</t>
  </si>
  <si>
    <t xml:space="preserve">Suco de caju </t>
  </si>
  <si>
    <t>Inhame em cubinhos</t>
  </si>
  <si>
    <t>Almôndegas assada (patinho) sem gordura</t>
  </si>
  <si>
    <t>Espaguete ao molho de tomate SEM pele SEMgordura</t>
  </si>
  <si>
    <t xml:space="preserve">Sobrecoxa de frango SEM pele SEM gordura assado </t>
  </si>
  <si>
    <t>Tomate sem semente picado</t>
  </si>
  <si>
    <t>Sobrecoxa de frango assada</t>
  </si>
  <si>
    <t>Almôndega ao sugo</t>
  </si>
  <si>
    <t>Sopa de macarrão com cenoura e chuchu</t>
  </si>
  <si>
    <t>Macarrão cozido</t>
  </si>
  <si>
    <t xml:space="preserve">Sopa de abóbora e batata </t>
  </si>
  <si>
    <t>Sopa de macarrão com cenoura e chuchu (batida)</t>
  </si>
  <si>
    <t>Sopa de abóbora e batata com carne moída (batida)</t>
  </si>
  <si>
    <t>Alface com beterraba ralada</t>
  </si>
  <si>
    <t>Beterraba ralada</t>
  </si>
  <si>
    <t>Gurjão de cação a milanesa</t>
  </si>
  <si>
    <t>Couve ao vinagrete</t>
  </si>
  <si>
    <t>Carré suíno grelhado com molho de limão</t>
  </si>
  <si>
    <t>Carne suína</t>
  </si>
  <si>
    <t>Molho de limão</t>
  </si>
  <si>
    <t>Linguiça Calabresa</t>
  </si>
  <si>
    <t>Pavê de amendoim</t>
  </si>
  <si>
    <t>Mingau de Novomilk banana</t>
  </si>
  <si>
    <t>Novomilk banana</t>
  </si>
  <si>
    <t>Peixe assado ao molho de ervas(alecrim e coen0o)</t>
  </si>
  <si>
    <t>Sobrecoxa de frango assado</t>
  </si>
  <si>
    <t>Canjiquinha sem embutidos</t>
  </si>
  <si>
    <t>Peixe assado ao molho de ervas(alecrim e coentro)</t>
  </si>
  <si>
    <t>Abobrinha ensopada</t>
  </si>
  <si>
    <t>Taioba refogada</t>
  </si>
  <si>
    <t>Geleia de mocotó sabor tuti fruti</t>
  </si>
  <si>
    <t>Batata baroa e cenoura cozida</t>
  </si>
  <si>
    <t>Peixe grelhado com ervas sem gordura</t>
  </si>
  <si>
    <t>Chuchu com cenoura cozidos</t>
  </si>
  <si>
    <t>Alface com rabanete</t>
  </si>
  <si>
    <t>Rabanete cru</t>
  </si>
  <si>
    <t>Alface e pepino em rodelas</t>
  </si>
  <si>
    <t>Pepino em rodelas</t>
  </si>
  <si>
    <t xml:space="preserve">Manga </t>
  </si>
  <si>
    <t>Purê rosado</t>
  </si>
  <si>
    <t>Canjiquinha com couve batido</t>
  </si>
  <si>
    <t>Couve manteiga cozida</t>
  </si>
  <si>
    <t>Canjiquinha com couve e frango batido</t>
  </si>
  <si>
    <t>Mingau de cremogema tradicional</t>
  </si>
  <si>
    <t>Pepino e tomate em cubinhos ao cheiro verde</t>
  </si>
  <si>
    <t>Pepino em cubinhos</t>
  </si>
  <si>
    <t>Tomate salada em cubinhos</t>
  </si>
  <si>
    <t>Cebolinha crua</t>
  </si>
  <si>
    <t>Bife rolê com cenoura (patinho)</t>
  </si>
  <si>
    <t>Virado de vagem (farinha de milho, vagem, ovo, linguiça, margari0)</t>
  </si>
  <si>
    <t>Mousse de maracujá</t>
  </si>
  <si>
    <t xml:space="preserve">Repolho com laranja </t>
  </si>
  <si>
    <t>Repolho branco cru</t>
  </si>
  <si>
    <t>Panqueca de frango</t>
  </si>
  <si>
    <t>Brócolis com cenoura na manteiga</t>
  </si>
  <si>
    <t xml:space="preserve">Mamão </t>
  </si>
  <si>
    <t>Pepino</t>
  </si>
  <si>
    <t>Virado de vagem (farinha de milho, vagem, ovo, margari0)</t>
  </si>
  <si>
    <t>Espinafre cortado fino e refogado</t>
  </si>
  <si>
    <t>Frango em iscas</t>
  </si>
  <si>
    <t>Chuchu com inhame em cubinhos</t>
  </si>
  <si>
    <t>Suco de maracujá  com adoçante</t>
  </si>
  <si>
    <t>Carne assada</t>
  </si>
  <si>
    <t>Carne assada (lagarto)</t>
  </si>
  <si>
    <t>Caldo de aipim com frango</t>
  </si>
  <si>
    <t>Frango desfiado sem gordura com molho tomate sem pele</t>
  </si>
  <si>
    <t>Virado de vagem (farinha de milho, vagem, clara de ovo, margari0)</t>
  </si>
  <si>
    <t>Clara de ovo cozida</t>
  </si>
  <si>
    <t>Repolho com tomate</t>
  </si>
  <si>
    <t>Frango em cubos</t>
  </si>
  <si>
    <t>Peito de frango, sem pele, cozido, em cubos</t>
  </si>
  <si>
    <t>Brócolis refogado</t>
  </si>
  <si>
    <t>Banana maçã</t>
  </si>
  <si>
    <t>Peito de frango, sem pele, cozido, em iscas</t>
  </si>
  <si>
    <t>Sopa de espinafre com batata</t>
  </si>
  <si>
    <t>Espinafre cozido</t>
  </si>
  <si>
    <t>Caldo de aipim</t>
  </si>
  <si>
    <t xml:space="preserve">Frango desfiado </t>
  </si>
  <si>
    <t>Sopa de espinafre com batata com carne móida</t>
  </si>
  <si>
    <t>Musse de maracujá</t>
  </si>
  <si>
    <t>Sopa de espinafre com batata e  carne moida</t>
  </si>
  <si>
    <t>Sobrecoxa de frango à picasso (pimentão com milho)</t>
  </si>
  <si>
    <t>Espaguete ao pesto</t>
  </si>
  <si>
    <t>Manjericão</t>
  </si>
  <si>
    <t>Queijo parmesão</t>
  </si>
  <si>
    <t>Alface com tomate</t>
  </si>
  <si>
    <t>Peixe assado ao molho de maracujá</t>
  </si>
  <si>
    <t>Molho de maracujá</t>
  </si>
  <si>
    <t>Batata doce corada</t>
  </si>
  <si>
    <t>Pudim de Chocolate em calda</t>
  </si>
  <si>
    <t>Sobrecoxa de frango com pimentão colorido</t>
  </si>
  <si>
    <t>Quiabo refogado</t>
  </si>
  <si>
    <t>Chuhu com coentro</t>
  </si>
  <si>
    <t>Pudim diet</t>
  </si>
  <si>
    <t>Pudim diet de baunilha</t>
  </si>
  <si>
    <t>Amido de milho</t>
  </si>
  <si>
    <t>Quiabo com Abóbora</t>
  </si>
  <si>
    <t>Jiló</t>
  </si>
  <si>
    <t>Batata baroa</t>
  </si>
  <si>
    <t>Sopa de Batata, Cenoura e Chuchu com Frango</t>
  </si>
  <si>
    <t>Sobrecoxa de Frango SEM gordura</t>
  </si>
  <si>
    <t>Espaguete ao molho de tomate SEM pele e SEM gordura</t>
  </si>
  <si>
    <t>Espaguete cozido</t>
  </si>
  <si>
    <t>Chuchu Cozido</t>
  </si>
  <si>
    <t>Peixe Assado ao Molho de Ervas</t>
  </si>
  <si>
    <t>Batata doce cozida</t>
  </si>
  <si>
    <t>Alface com Manga</t>
  </si>
  <si>
    <t>Pera madura</t>
  </si>
  <si>
    <t xml:space="preserve">Sopa de batata, cenoura e chuchu </t>
  </si>
  <si>
    <t>Creme de ervilha batido</t>
  </si>
  <si>
    <t>Sopa de espinafre com batata (batida)</t>
  </si>
  <si>
    <t>Purê de Batata Doce</t>
  </si>
  <si>
    <t>Batata doce</t>
  </si>
  <si>
    <t>Sopa de batata, cenoura e chuchu com frango (batida)</t>
  </si>
  <si>
    <t>Sopa de espinafre com batata com frango (batida)</t>
  </si>
  <si>
    <t>Agrião com Tomate</t>
  </si>
  <si>
    <t>Agrião</t>
  </si>
  <si>
    <t>Chuchu Tropeiro</t>
  </si>
  <si>
    <t>Cebolinha verde</t>
  </si>
  <si>
    <t>Omelete de Frios</t>
  </si>
  <si>
    <t>Queijo muçarela</t>
  </si>
  <si>
    <t>Bolinho de Arroz com Aveia e Tempero Verde</t>
  </si>
  <si>
    <t>Feijão preto</t>
  </si>
  <si>
    <t>Legumes cozidos (Batata, Cenoura, Vagem, Cheiro Verde)</t>
  </si>
  <si>
    <t>Maçã fuji</t>
  </si>
  <si>
    <t>Legumes Cozidos</t>
  </si>
  <si>
    <t>Omelete de Ricota</t>
  </si>
  <si>
    <t>Arroz e Feijão Carioca</t>
  </si>
  <si>
    <t>Berinjela e abóbrinha sautée</t>
  </si>
  <si>
    <t>Pêra, Williams, crua</t>
  </si>
  <si>
    <t>Patinho moído SEM gordura</t>
  </si>
  <si>
    <t>Patinho moído almôndega sem gordura</t>
  </si>
  <si>
    <t>Chuchu com Claras</t>
  </si>
  <si>
    <t>Clara de ovos</t>
  </si>
  <si>
    <t>Legumes cozidos (batata, cenoura e chuchu)</t>
  </si>
  <si>
    <t>Omelete de claras e ricota</t>
  </si>
  <si>
    <t>Parafuso ao Molho de tomate SEM pele e SEM gordura</t>
  </si>
  <si>
    <t>Berinjela e abóbrinha cozidas</t>
  </si>
  <si>
    <t>Chuchu com coentro</t>
  </si>
  <si>
    <t xml:space="preserve">Arroz  e  feijão preto </t>
  </si>
  <si>
    <t>Chuchu com Coentro</t>
  </si>
  <si>
    <t>Legumes cozidos (Cenoura e chuchu)</t>
  </si>
  <si>
    <t>Brócolis e couve-flor</t>
  </si>
  <si>
    <t>Brócolis</t>
  </si>
  <si>
    <t xml:space="preserve">Sopa de aipim com agrião </t>
  </si>
  <si>
    <t>Aipim</t>
  </si>
  <si>
    <t>Arroz papa e feijão preto batido</t>
  </si>
  <si>
    <t>Geléia de mocotó de Tuti fruti</t>
  </si>
  <si>
    <t>Arroz papa e Feijão carioca batido</t>
  </si>
  <si>
    <t>Sopa de aipim com agrião e carne moída (batida)</t>
  </si>
  <si>
    <t>Mingau de Cremogema</t>
  </si>
  <si>
    <t>Pão francês</t>
  </si>
  <si>
    <t>Berinjela e chuchu à Bandeirola</t>
  </si>
  <si>
    <t>Bife à Fricandole (Chã de Dentro)</t>
  </si>
  <si>
    <t>Farofa Doce (Banana da Terra, Abacaxi e Uvas Passas)</t>
  </si>
  <si>
    <t>Farinha de mandioca</t>
  </si>
  <si>
    <t>Banana-terra frita</t>
  </si>
  <si>
    <t>Uva passas</t>
  </si>
  <si>
    <t>Ovo de galinha inteiro frito</t>
  </si>
  <si>
    <t>Manjar com Calda de Ameixa</t>
  </si>
  <si>
    <t>Pudim de coco</t>
  </si>
  <si>
    <t>Ameixa em calda</t>
  </si>
  <si>
    <t>Cenoura e vagem cozidos</t>
  </si>
  <si>
    <t>Empadão de Frango</t>
  </si>
  <si>
    <t>Abobrinha em Lâminas com Bacon</t>
  </si>
  <si>
    <t>Salada de Frutas</t>
  </si>
  <si>
    <t>Banana-prata</t>
  </si>
  <si>
    <t>Iscas à Lisboeta (Chã de Dentro)</t>
  </si>
  <si>
    <t>Abobrinha em Lâminas com tempero verde</t>
  </si>
  <si>
    <t xml:space="preserve">Feijão carioca </t>
  </si>
  <si>
    <t>Brócolis com Couve-flor</t>
  </si>
  <si>
    <t>Pudim de morango diet</t>
  </si>
  <si>
    <t>Iscas de Frango Aceboladas</t>
  </si>
  <si>
    <t>Cenoura Ralada</t>
  </si>
  <si>
    <t>Abobrinha em Lâminas com Tempero Verde</t>
  </si>
  <si>
    <t>Purê de aipim</t>
  </si>
  <si>
    <t>Suco de cajú</t>
  </si>
  <si>
    <t>Iscas de Chã de Dentro SEM gordura</t>
  </si>
  <si>
    <t>Purê de Aipim SEM leite e SEM gordura</t>
  </si>
  <si>
    <t>Gelatina Diet</t>
  </si>
  <si>
    <t>Gelatina diet qualquer sabor</t>
  </si>
  <si>
    <t xml:space="preserve">Iscas de Frango </t>
  </si>
  <si>
    <t>Penne ao Molho de tomate SEM pele e SEM gordura</t>
  </si>
  <si>
    <t xml:space="preserve">Iscas de FRANGO à Lisboeta </t>
  </si>
  <si>
    <t>Brócolis com Couve Flor</t>
  </si>
  <si>
    <t>Feijão carioca inteiro (só grãos)</t>
  </si>
  <si>
    <t>Manga Picada</t>
  </si>
  <si>
    <t>Sopa Creme de Couve flor</t>
  </si>
  <si>
    <t>Patinho moído</t>
  </si>
  <si>
    <t>Arroz papa e feijão carioca batido</t>
  </si>
  <si>
    <t>Manjar com Calda SEM ameixa</t>
  </si>
  <si>
    <t>Sopa de cenoura, abóbora e vagem com frango (batida)</t>
  </si>
  <si>
    <t>Peito de frango desfiado</t>
  </si>
  <si>
    <t>Gelatina de Cereja</t>
  </si>
  <si>
    <t>Sopa Creme de Couve flor com frango</t>
  </si>
  <si>
    <t>Mingau de Fubá</t>
  </si>
  <si>
    <t>Fubá</t>
  </si>
  <si>
    <t>Chá de erva doce</t>
  </si>
  <si>
    <t>Sopa de Legumes batida e coada</t>
  </si>
  <si>
    <t>Gelatina</t>
  </si>
  <si>
    <t>Gelatina de cereja</t>
  </si>
  <si>
    <t>Suco</t>
  </si>
  <si>
    <t>Sopa da bariátrica</t>
  </si>
  <si>
    <t>Cenoura</t>
  </si>
  <si>
    <t>Chuchu</t>
  </si>
  <si>
    <t>Proteína</t>
  </si>
  <si>
    <t>id</t>
  </si>
  <si>
    <t>nome</t>
  </si>
  <si>
    <t>Abobrinha italiana cozida com sal</t>
  </si>
  <si>
    <t>Abobrinha italiana cozida sem sal</t>
  </si>
  <si>
    <t>Abobrinha italiana cozida, com sal</t>
  </si>
  <si>
    <t>Abobrinha italiana ensopada, com sal</t>
  </si>
  <si>
    <t>Abobrinha italiana ensopada, sem sal</t>
  </si>
  <si>
    <t>Abobrinha italiana refogada, com sal</t>
  </si>
  <si>
    <t>Abobrinha italiana refogada, sem sal</t>
  </si>
  <si>
    <t>Abóbora cozida drenada, com sal</t>
  </si>
  <si>
    <t>Abóbora cozida sem sal</t>
  </si>
  <si>
    <t>Abóbora moranga refogada, com sal</t>
  </si>
  <si>
    <t>Abóbora moranga refogada, sem sal</t>
  </si>
  <si>
    <t>Aipim cozido, com sal</t>
  </si>
  <si>
    <t>Aipim cozido, sem sal</t>
  </si>
  <si>
    <t>Almôndegas, com sal</t>
  </si>
  <si>
    <t>Apresuntado</t>
  </si>
  <si>
    <t xml:space="preserve">Arroz tipo 1, cozido com sal </t>
  </si>
  <si>
    <t>Arroz tipo 1, cozido com sal (checar potassio)</t>
  </si>
  <si>
    <t>Batata baroa cozida, com sal</t>
  </si>
  <si>
    <t>Batata baroa cozida, sem sal</t>
  </si>
  <si>
    <t>Batata doce corada, com sal</t>
  </si>
  <si>
    <t>Batata doce corada, sem sal</t>
  </si>
  <si>
    <t>Batata inglesa cozida, com sal</t>
  </si>
  <si>
    <t>Batata inglesa cozida, sem sal</t>
  </si>
  <si>
    <t>Batata, inglesa sauté, com sal</t>
  </si>
  <si>
    <t>Batata, inglesa sauté, sem sal</t>
  </si>
  <si>
    <t>Berinjela cozida, com sal</t>
  </si>
  <si>
    <t>Berinjela cozida, sem sal</t>
  </si>
  <si>
    <t>Beterraba cozida, com sal</t>
  </si>
  <si>
    <t>Beterraba cozida, sem sal</t>
  </si>
  <si>
    <t>Bolinho de Arroz, sem sal</t>
  </si>
  <si>
    <t>Bolinho de arroz, com sal</t>
  </si>
  <si>
    <t>Brócolis cozido, com sal</t>
  </si>
  <si>
    <t>Brócolis cozido, sem sal</t>
  </si>
  <si>
    <t>Café</t>
  </si>
  <si>
    <t>Canjiquinha, com sal</t>
  </si>
  <si>
    <t>Canjiquinha, sem sal</t>
  </si>
  <si>
    <t>Carne (patinho), com sal</t>
  </si>
  <si>
    <t>Carne (patinho), sem sal</t>
  </si>
  <si>
    <t>Carne moída refogada (Patinho Moído), com sal</t>
  </si>
  <si>
    <t>Carne moída refogada (Patinho Moído), sem sal</t>
  </si>
  <si>
    <t>Carne, bovina, capa de contra-filé, sem gordura, grelhada, com sal</t>
  </si>
  <si>
    <t>Carne, bovina, capa de contra-filé, sem gordura, grelhada, sem sal</t>
  </si>
  <si>
    <t>Carne, bovina, patinho, sem gordura, grelhado, com sal</t>
  </si>
  <si>
    <t>Carne, bovina, patinho, sem gordura, grelhado, sem sal</t>
  </si>
  <si>
    <t>Cenoura cozida, com sal</t>
  </si>
  <si>
    <t>Cenoura cozida, sem sal</t>
  </si>
  <si>
    <t>Cenoura crua ralada</t>
  </si>
  <si>
    <t>Chuchu Refogado, sem sal</t>
  </si>
  <si>
    <t>Chuchu cozido, com sal</t>
  </si>
  <si>
    <t>Chuchu cozido, sem sal</t>
  </si>
  <si>
    <t>Chuchu refogado, com sal</t>
  </si>
  <si>
    <t>Couve-flor cozida, com sal</t>
  </si>
  <si>
    <t>Couve-flor cozida, sem sal</t>
  </si>
  <si>
    <t>Empadão de Frango, com sal</t>
  </si>
  <si>
    <t>Empadão de frango, sem sal</t>
  </si>
  <si>
    <t>Espaguete ao alho e óleo, com sal</t>
  </si>
  <si>
    <t>Espaguete ao alho e óleo, sem sal</t>
  </si>
  <si>
    <t>Espaguete, com sal</t>
  </si>
  <si>
    <t>Espaguete, sem sal</t>
  </si>
  <si>
    <t>Espinafre refogado, com sal</t>
  </si>
  <si>
    <t>Espinafre refogado, sem sal</t>
  </si>
  <si>
    <t>Feijão carioca cozido (50% grãos/caldo), com sal</t>
  </si>
  <si>
    <t>Feijão carioca cozido (50% grãos/caldo), sem sal</t>
  </si>
  <si>
    <t>Feijão carioca cozido (só caldo)</t>
  </si>
  <si>
    <t>Feijão carioca cozido (só grãos)</t>
  </si>
  <si>
    <t>Feijão preto cozido (50% grão/50% caldo), com sal</t>
  </si>
  <si>
    <t>Feijão preto cozido (50% grão/50% caldo), sem sal</t>
  </si>
  <si>
    <t>File de frango com molho branco e ervas, com sal</t>
  </si>
  <si>
    <t>File de frango com molho branco e ervas, sem sal</t>
  </si>
  <si>
    <t>Gelatina de cereja, diet</t>
  </si>
  <si>
    <t>Inhame Cozido, sem sal</t>
  </si>
  <si>
    <t>Inhame cozido, com sal</t>
  </si>
  <si>
    <t>Lagarto bovino assado, com sal</t>
  </si>
  <si>
    <t>Lagarto bovino assado, sem sal</t>
  </si>
  <si>
    <t>Macarrão parafuso ao alho e óleo, com sal</t>
  </si>
  <si>
    <t>Macarrão parafuso ao alho e óleo, sem sal</t>
  </si>
  <si>
    <t>Milho em espiga</t>
  </si>
  <si>
    <t>Molho madeira, com sal</t>
  </si>
  <si>
    <t>Molho madeira, sem sal</t>
  </si>
  <si>
    <t>Patinho cozido, com sal</t>
  </si>
  <si>
    <t>Patinho cozido, sem sal</t>
  </si>
  <si>
    <t>Peito de frango sem pele, cozido, sem sal</t>
  </si>
  <si>
    <t>Peito de frango, sem pele, cozido, com sal</t>
  </si>
  <si>
    <t>Peito de frango, sem pele, grelhado, com sal</t>
  </si>
  <si>
    <t>Peito de frango, sem pele, grelhado, sem sal</t>
  </si>
  <si>
    <t>Pirão, com sal</t>
  </si>
  <si>
    <t>Pirão, sem sal</t>
  </si>
  <si>
    <t>Polenta, com sal</t>
  </si>
  <si>
    <t>Polenta, sem sal</t>
  </si>
  <si>
    <t>Purê de batata, com sal</t>
  </si>
  <si>
    <t>Purê de batata, sem sal</t>
  </si>
  <si>
    <t>Quiabo cozido, com sal</t>
  </si>
  <si>
    <t>Quiabo cozido, sem sal</t>
  </si>
  <si>
    <t>Quiabo ensopado, com sal</t>
  </si>
  <si>
    <t>Quiabo ensopado, sem sal</t>
  </si>
  <si>
    <t>Ricota, com sal</t>
  </si>
  <si>
    <t>Ricota, sem sal</t>
  </si>
  <si>
    <t>Salpicão de frango, com sal</t>
  </si>
  <si>
    <t>Salpicão de frango, sem sal</t>
  </si>
  <si>
    <t>Sobrecoxa de frango, sem pele, assada, com sal</t>
  </si>
  <si>
    <t>Sobrecoxa de frango, sem pele, assada, sem sal</t>
  </si>
  <si>
    <t>Sopa creme de ervilha, com sal</t>
  </si>
  <si>
    <t>Sopa creme de ervilha, sem sal</t>
  </si>
  <si>
    <t>Sopa de canjiquinha de milho em grão</t>
  </si>
  <si>
    <t>Souflê, com sal</t>
  </si>
  <si>
    <t>Souflê, sem sal</t>
  </si>
  <si>
    <t>Taioba refogada, com sal</t>
  </si>
  <si>
    <t>Taioba refogada, sem sal</t>
  </si>
  <si>
    <t>Vagem cozida, com sal</t>
  </si>
  <si>
    <t>Vagem cozida, sem sal</t>
  </si>
  <si>
    <t>id_prato</t>
  </si>
  <si>
    <t>id_ingrediente</t>
  </si>
  <si>
    <t>Purê de batata</t>
  </si>
  <si>
    <t>nome_prato</t>
  </si>
  <si>
    <t>Mix de Folhas</t>
  </si>
  <si>
    <t>Carne ensopada (patinho)</t>
  </si>
  <si>
    <t>Moqueca de Cação</t>
  </si>
  <si>
    <t>Biscoito de sal</t>
  </si>
  <si>
    <t>Macarrão ao sugo manjericão sem gordura</t>
  </si>
  <si>
    <t>Salada de Tomate</t>
  </si>
  <si>
    <t>Sopa de chuchu e cenoura</t>
  </si>
  <si>
    <t>Sobrecoxa de Frango Assada</t>
  </si>
  <si>
    <t>Sopa de Legumes (Cenoura, Chuchu, Vagem)</t>
  </si>
  <si>
    <t>Sopa de beterraba, chuchu e batata</t>
  </si>
  <si>
    <t>Filé de Frango</t>
  </si>
  <si>
    <t>Sopa de mandioquinha</t>
  </si>
  <si>
    <t>Salpicão</t>
  </si>
  <si>
    <t>Lagarto Assado</t>
  </si>
  <si>
    <t>Batata Baroa</t>
  </si>
  <si>
    <t>Sopa de Legumes (Batata, Cenoura e Vagem) com Frango Batido</t>
  </si>
  <si>
    <t>Sobrecoxa de frango SEM pele SEM gordura assado</t>
  </si>
  <si>
    <t>Sopa de abóbora e batata</t>
  </si>
  <si>
    <t>Repolho com laranja</t>
  </si>
  <si>
    <t>Sopa de espinafre com batata e carne moida</t>
  </si>
  <si>
    <t>Sopa de batata, cenoura e chuchu</t>
  </si>
  <si>
    <t>Sopa de aipim com agrião</t>
  </si>
  <si>
    <t>Iscas de Frango</t>
  </si>
  <si>
    <t>Iscas de FRANGO à Lisboeta</t>
  </si>
  <si>
    <t>Rótulos de Linha</t>
  </si>
  <si>
    <t>Total Geral</t>
  </si>
  <si>
    <t>Soma de PER_CAPITA</t>
  </si>
  <si>
    <t>alimento</t>
  </si>
  <si>
    <t>quantidade_g</t>
  </si>
  <si>
    <t>BC1 - Cereal (Café)</t>
  </si>
  <si>
    <t>DP - Laticínios</t>
  </si>
  <si>
    <t>FT - Fruta</t>
  </si>
  <si>
    <t>RC - Arroz</t>
  </si>
  <si>
    <t>BE - Feijão</t>
  </si>
  <si>
    <t>EN - Entrada</t>
  </si>
  <si>
    <t>MD - Principal (Carne)</t>
  </si>
  <si>
    <t>SD - Guarnição</t>
  </si>
  <si>
    <t>JC - Suco</t>
  </si>
  <si>
    <t>DS - Sobremesa</t>
  </si>
  <si>
    <t>BC2 - Cereal (Almoço)</t>
  </si>
  <si>
    <t>tipo_preparacao</t>
  </si>
  <si>
    <t>prato_id</t>
  </si>
  <si>
    <t>ingrediente_id</t>
  </si>
  <si>
    <t>Suco de acerola com adoçante</t>
  </si>
  <si>
    <t>Suco de graviola com adoçante</t>
  </si>
  <si>
    <t>Suco de mamão com adoçante</t>
  </si>
  <si>
    <t>Suco de manga com adoçante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</si>
</sst>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name val="MS Sans Serif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theme="2" tint="-0.89999084444715716"/>
      <name val="Arial"/>
      <family val="2"/>
    </font>
    <font>
      <b/>
      <sz val="10"/>
      <color rgb="FF000000"/>
      <name val="Arial"/>
      <family val="2"/>
    </font>
    <font>
      <b/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7">
    <xf numFmtId="0" fontId="0" fillId="0" borderId="0"/>
    <xf numFmtId="0" fontId="1" fillId="0" borderId="0"/>
    <xf numFmtId="0" fontId="4" fillId="0" borderId="0"/>
    <xf numFmtId="0" fontId="4" fillId="0" borderId="0">
      <alignment vertical="top"/>
    </xf>
    <xf numFmtId="0" fontId="4" fillId="0" borderId="0"/>
    <xf numFmtId="0" fontId="5" fillId="0" borderId="0"/>
    <xf numFmtId="0" fontId="4" fillId="0" borderId="0"/>
  </cellStyleXfs>
  <cellXfs count="21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1" applyFont="1" applyBorder="1" applyAlignment="1">
      <alignment horizontal="left" vertical="center" wrapText="1"/>
    </xf>
    <xf numFmtId="0" fontId="3" fillId="2" borderId="3" xfId="1" applyFont="1" applyFill="1" applyBorder="1" applyAlignment="1">
      <alignment horizontal="left" vertical="center" wrapText="1"/>
    </xf>
    <xf numFmtId="0" fontId="3" fillId="2" borderId="4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vertical="center"/>
    </xf>
    <xf numFmtId="0" fontId="4" fillId="2" borderId="3" xfId="2" applyFill="1" applyBorder="1" applyAlignment="1">
      <alignment vertical="center" wrapText="1"/>
    </xf>
    <xf numFmtId="0" fontId="4" fillId="2" borderId="3" xfId="2" applyFill="1" applyBorder="1" applyAlignment="1">
      <alignment horizontal="left" vertical="center" wrapText="1"/>
    </xf>
    <xf numFmtId="0" fontId="4" fillId="2" borderId="4" xfId="2" applyFill="1" applyBorder="1" applyAlignment="1">
      <alignment horizontal="center" vertical="center" wrapText="1"/>
    </xf>
    <xf numFmtId="0" fontId="1" fillId="0" borderId="3" xfId="1" applyBorder="1" applyAlignment="1">
      <alignment horizontal="left" vertical="center"/>
    </xf>
    <xf numFmtId="0" fontId="4" fillId="0" borderId="3" xfId="2" applyBorder="1" applyAlignment="1">
      <alignment horizontal="left" vertical="center" wrapText="1"/>
    </xf>
    <xf numFmtId="1" fontId="4" fillId="2" borderId="4" xfId="3" applyNumberFormat="1" applyFill="1" applyBorder="1" applyAlignment="1">
      <alignment horizontal="center" vertical="center"/>
    </xf>
    <xf numFmtId="0" fontId="4" fillId="2" borderId="3" xfId="2" applyFill="1" applyBorder="1" applyAlignment="1">
      <alignment vertical="top" wrapText="1"/>
    </xf>
    <xf numFmtId="0" fontId="1" fillId="2" borderId="3" xfId="1" applyFill="1" applyBorder="1"/>
    <xf numFmtId="0" fontId="1" fillId="2" borderId="3" xfId="1" applyFill="1" applyBorder="1" applyAlignment="1">
      <alignment horizontal="left" vertical="center"/>
    </xf>
    <xf numFmtId="0" fontId="4" fillId="0" borderId="4" xfId="2" applyBorder="1" applyAlignment="1">
      <alignment horizontal="center" vertical="center" wrapText="1"/>
    </xf>
    <xf numFmtId="0" fontId="1" fillId="0" borderId="3" xfId="1" applyBorder="1" applyAlignment="1">
      <alignment horizontal="left" wrapText="1"/>
    </xf>
    <xf numFmtId="0" fontId="1" fillId="2" borderId="4" xfId="1" applyFill="1" applyBorder="1" applyAlignment="1">
      <alignment horizontal="center" vertical="center"/>
    </xf>
    <xf numFmtId="0" fontId="1" fillId="0" borderId="3" xfId="1" applyBorder="1"/>
    <xf numFmtId="0" fontId="3" fillId="0" borderId="3" xfId="0" applyFont="1" applyBorder="1" applyAlignment="1">
      <alignment horizontal="left" vertical="center" wrapText="1"/>
    </xf>
    <xf numFmtId="0" fontId="4" fillId="2" borderId="3" xfId="4" applyFill="1" applyBorder="1"/>
    <xf numFmtId="0" fontId="4" fillId="2" borderId="4" xfId="1" applyFont="1" applyFill="1" applyBorder="1" applyAlignment="1">
      <alignment horizontal="center" vertical="center"/>
    </xf>
    <xf numFmtId="0" fontId="4" fillId="2" borderId="3" xfId="4" applyFill="1" applyBorder="1" applyAlignment="1">
      <alignment wrapText="1"/>
    </xf>
    <xf numFmtId="1" fontId="4" fillId="2" borderId="4" xfId="5" quotePrefix="1" applyNumberFormat="1" applyFont="1" applyFill="1" applyBorder="1" applyAlignment="1">
      <alignment horizontal="center"/>
    </xf>
    <xf numFmtId="0" fontId="3" fillId="0" borderId="4" xfId="1" applyFont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4" fillId="0" borderId="3" xfId="2" applyBorder="1" applyAlignment="1">
      <alignment vertical="top" wrapText="1"/>
    </xf>
    <xf numFmtId="0" fontId="4" fillId="0" borderId="3" xfId="4" applyBorder="1"/>
    <xf numFmtId="0" fontId="0" fillId="0" borderId="3" xfId="0" applyBorder="1"/>
    <xf numFmtId="0" fontId="1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left" wrapText="1"/>
    </xf>
    <xf numFmtId="0" fontId="6" fillId="0" borderId="4" xfId="0" applyFont="1" applyBorder="1" applyAlignment="1">
      <alignment horizontal="center" vertical="center"/>
    </xf>
    <xf numFmtId="0" fontId="4" fillId="0" borderId="3" xfId="4" applyBorder="1" applyAlignment="1">
      <alignment wrapText="1"/>
    </xf>
    <xf numFmtId="0" fontId="3" fillId="0" borderId="3" xfId="1" applyFont="1" applyBorder="1" applyAlignment="1">
      <alignment horizontal="left" vertical="top"/>
    </xf>
    <xf numFmtId="0" fontId="3" fillId="0" borderId="3" xfId="1" applyFont="1" applyBorder="1" applyAlignment="1">
      <alignment vertical="top"/>
    </xf>
    <xf numFmtId="0" fontId="4" fillId="2" borderId="3" xfId="2" applyFill="1" applyBorder="1" applyAlignment="1">
      <alignment horizontal="left" vertical="top" wrapText="1"/>
    </xf>
    <xf numFmtId="0" fontId="4" fillId="0" borderId="3" xfId="2" applyBorder="1" applyAlignment="1">
      <alignment horizontal="left" vertical="top" wrapText="1"/>
    </xf>
    <xf numFmtId="0" fontId="1" fillId="0" borderId="3" xfId="1" applyBorder="1" applyAlignment="1">
      <alignment wrapText="1"/>
    </xf>
    <xf numFmtId="0" fontId="6" fillId="2" borderId="4" xfId="2" applyFont="1" applyFill="1" applyBorder="1" applyAlignment="1">
      <alignment horizontal="center" vertical="center" wrapText="1"/>
    </xf>
    <xf numFmtId="0" fontId="3" fillId="0" borderId="3" xfId="1" applyFont="1" applyBorder="1" applyAlignment="1">
      <alignment horizontal="left" vertical="top" wrapText="1"/>
    </xf>
    <xf numFmtId="0" fontId="1" fillId="0" borderId="3" xfId="1" applyBorder="1" applyAlignment="1">
      <alignment vertical="top" wrapText="1"/>
    </xf>
    <xf numFmtId="0" fontId="1" fillId="2" borderId="4" xfId="1" applyFill="1" applyBorder="1" applyAlignment="1">
      <alignment horizontal="center" vertical="top"/>
    </xf>
    <xf numFmtId="0" fontId="1" fillId="2" borderId="3" xfId="1" applyFill="1" applyBorder="1" applyAlignment="1">
      <alignment wrapText="1"/>
    </xf>
    <xf numFmtId="0" fontId="0" fillId="0" borderId="3" xfId="0" applyBorder="1" applyAlignment="1">
      <alignment horizontal="left" wrapText="1"/>
    </xf>
    <xf numFmtId="0" fontId="1" fillId="2" borderId="3" xfId="1" applyFill="1" applyBorder="1" applyAlignment="1">
      <alignment horizontal="left" vertical="center" wrapText="1"/>
    </xf>
    <xf numFmtId="0" fontId="4" fillId="0" borderId="3" xfId="1" applyFont="1" applyBorder="1" applyAlignment="1">
      <alignment wrapText="1"/>
    </xf>
    <xf numFmtId="0" fontId="1" fillId="0" borderId="3" xfId="1" applyBorder="1" applyAlignment="1">
      <alignment horizontal="left" vertical="center" wrapText="1"/>
    </xf>
    <xf numFmtId="0" fontId="4" fillId="2" borderId="3" xfId="1" applyFont="1" applyFill="1" applyBorder="1" applyAlignment="1">
      <alignment wrapText="1"/>
    </xf>
    <xf numFmtId="1" fontId="4" fillId="2" borderId="4" xfId="5" quotePrefix="1" applyNumberFormat="1" applyFont="1" applyFill="1" applyBorder="1" applyAlignment="1">
      <alignment horizontal="center" vertical="center"/>
    </xf>
    <xf numFmtId="0" fontId="4" fillId="4" borderId="3" xfId="2" applyFill="1" applyBorder="1" applyAlignment="1">
      <alignment horizontal="left" vertical="center" wrapText="1"/>
    </xf>
    <xf numFmtId="0" fontId="4" fillId="3" borderId="4" xfId="2" applyFill="1" applyBorder="1" applyAlignment="1">
      <alignment horizontal="center" vertical="center" wrapText="1"/>
    </xf>
    <xf numFmtId="0" fontId="4" fillId="0" borderId="3" xfId="4" applyBorder="1" applyAlignment="1">
      <alignment horizontal="left" vertical="center" wrapText="1"/>
    </xf>
    <xf numFmtId="0" fontId="1" fillId="3" borderId="4" xfId="1" applyFill="1" applyBorder="1" applyAlignment="1">
      <alignment horizontal="center" vertical="center"/>
    </xf>
    <xf numFmtId="0" fontId="4" fillId="2" borderId="4" xfId="2" applyFill="1" applyBorder="1" applyAlignment="1">
      <alignment horizontal="center" wrapText="1"/>
    </xf>
    <xf numFmtId="0" fontId="1" fillId="2" borderId="4" xfId="1" applyFill="1" applyBorder="1" applyAlignment="1">
      <alignment horizontal="center"/>
    </xf>
    <xf numFmtId="0" fontId="3" fillId="2" borderId="4" xfId="1" applyFont="1" applyFill="1" applyBorder="1" applyAlignment="1">
      <alignment horizontal="center"/>
    </xf>
    <xf numFmtId="1" fontId="4" fillId="2" borderId="4" xfId="3" applyNumberFormat="1" applyFill="1" applyBorder="1" applyAlignment="1">
      <alignment horizontal="center" vertical="top"/>
    </xf>
    <xf numFmtId="0" fontId="4" fillId="0" borderId="4" xfId="2" applyBorder="1" applyAlignment="1">
      <alignment horizontal="center" wrapText="1"/>
    </xf>
    <xf numFmtId="0" fontId="1" fillId="0" borderId="3" xfId="0" applyFont="1" applyBorder="1"/>
    <xf numFmtId="0" fontId="3" fillId="0" borderId="3" xfId="0" applyFont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3" xfId="0" applyBorder="1" applyAlignment="1">
      <alignment vertical="top" wrapText="1"/>
    </xf>
    <xf numFmtId="0" fontId="0" fillId="2" borderId="4" xfId="0" applyFill="1" applyBorder="1" applyAlignment="1">
      <alignment horizontal="center" vertical="center"/>
    </xf>
    <xf numFmtId="0" fontId="0" fillId="0" borderId="3" xfId="0" applyBorder="1" applyAlignment="1">
      <alignment wrapText="1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/>
    <xf numFmtId="0" fontId="0" fillId="2" borderId="3" xfId="0" applyFill="1" applyBorder="1" applyAlignment="1">
      <alignment vertical="top" wrapText="1"/>
    </xf>
    <xf numFmtId="0" fontId="0" fillId="2" borderId="3" xfId="0" applyFill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0" fillId="2" borderId="3" xfId="0" applyFill="1" applyBorder="1"/>
    <xf numFmtId="0" fontId="3" fillId="2" borderId="3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left" wrapText="1"/>
    </xf>
    <xf numFmtId="0" fontId="1" fillId="0" borderId="3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0" fillId="0" borderId="3" xfId="0" applyBorder="1" applyAlignment="1">
      <alignment vertical="top"/>
    </xf>
    <xf numFmtId="0" fontId="4" fillId="2" borderId="4" xfId="0" applyFont="1" applyFill="1" applyBorder="1" applyAlignment="1">
      <alignment horizontal="center"/>
    </xf>
    <xf numFmtId="0" fontId="8" fillId="0" borderId="4" xfId="2" applyFont="1" applyBorder="1" applyAlignment="1">
      <alignment horizontal="center" vertical="center" wrapText="1"/>
    </xf>
    <xf numFmtId="0" fontId="8" fillId="2" borderId="4" xfId="2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2" borderId="3" xfId="0" applyFont="1" applyFill="1" applyBorder="1" applyAlignment="1">
      <alignment horizontal="left" vertical="top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left" vertical="top"/>
    </xf>
    <xf numFmtId="1" fontId="4" fillId="2" borderId="4" xfId="3" applyNumberFormat="1" applyFill="1" applyBorder="1" applyAlignment="1">
      <alignment horizontal="center"/>
    </xf>
    <xf numFmtId="0" fontId="0" fillId="2" borderId="3" xfId="0" applyFill="1" applyBorder="1" applyAlignment="1">
      <alignment horizontal="left" vertical="top"/>
    </xf>
    <xf numFmtId="0" fontId="0" fillId="2" borderId="3" xfId="0" applyFill="1" applyBorder="1" applyAlignment="1">
      <alignment horizontal="left" vertical="center"/>
    </xf>
    <xf numFmtId="0" fontId="3" fillId="0" borderId="3" xfId="0" applyFont="1" applyBorder="1" applyAlignment="1">
      <alignment horizontal="left" vertical="top"/>
    </xf>
    <xf numFmtId="0" fontId="3" fillId="2" borderId="3" xfId="0" applyFont="1" applyFill="1" applyBorder="1" applyAlignment="1">
      <alignment vertical="center"/>
    </xf>
    <xf numFmtId="1" fontId="4" fillId="2" borderId="4" xfId="6" applyNumberFormat="1" applyFill="1" applyBorder="1" applyAlignment="1">
      <alignment horizontal="center"/>
    </xf>
    <xf numFmtId="1" fontId="4" fillId="0" borderId="4" xfId="6" applyNumberFormat="1" applyBorder="1" applyAlignment="1">
      <alignment horizontal="center"/>
    </xf>
    <xf numFmtId="1" fontId="4" fillId="3" borderId="4" xfId="6" applyNumberFormat="1" applyFill="1" applyBorder="1" applyAlignment="1">
      <alignment horizontal="center"/>
    </xf>
    <xf numFmtId="0" fontId="6" fillId="0" borderId="4" xfId="2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top"/>
    </xf>
    <xf numFmtId="0" fontId="3" fillId="0" borderId="3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left" vertical="center" wrapText="1"/>
    </xf>
    <xf numFmtId="0" fontId="4" fillId="4" borderId="3" xfId="2" applyFill="1" applyBorder="1" applyAlignment="1">
      <alignment vertical="center" wrapText="1"/>
    </xf>
    <xf numFmtId="0" fontId="3" fillId="4" borderId="3" xfId="1" applyFont="1" applyFill="1" applyBorder="1" applyAlignment="1">
      <alignment horizontal="left" vertical="center"/>
    </xf>
    <xf numFmtId="0" fontId="1" fillId="4" borderId="3" xfId="1" applyFill="1" applyBorder="1" applyAlignment="1">
      <alignment horizontal="left" wrapText="1"/>
    </xf>
    <xf numFmtId="0" fontId="3" fillId="4" borderId="3" xfId="0" applyFont="1" applyFill="1" applyBorder="1" applyAlignment="1">
      <alignment horizontal="left" vertical="center" wrapText="1"/>
    </xf>
    <xf numFmtId="0" fontId="7" fillId="4" borderId="3" xfId="1" applyFont="1" applyFill="1" applyBorder="1" applyAlignment="1">
      <alignment horizontal="left" wrapText="1"/>
    </xf>
    <xf numFmtId="0" fontId="1" fillId="4" borderId="3" xfId="1" applyFill="1" applyBorder="1" applyAlignment="1">
      <alignment horizontal="left" vertical="top" wrapText="1"/>
    </xf>
    <xf numFmtId="0" fontId="1" fillId="4" borderId="3" xfId="1" applyFill="1" applyBorder="1"/>
    <xf numFmtId="0" fontId="0" fillId="4" borderId="3" xfId="0" applyFill="1" applyBorder="1" applyAlignment="1">
      <alignment horizontal="left" wrapText="1"/>
    </xf>
    <xf numFmtId="0" fontId="1" fillId="4" borderId="3" xfId="1" applyFill="1" applyBorder="1" applyAlignment="1">
      <alignment horizontal="left" vertical="center" wrapText="1"/>
    </xf>
    <xf numFmtId="0" fontId="1" fillId="4" borderId="3" xfId="1" applyFill="1" applyBorder="1" applyAlignment="1">
      <alignment horizontal="left"/>
    </xf>
    <xf numFmtId="0" fontId="3" fillId="4" borderId="3" xfId="1" applyFont="1" applyFill="1" applyBorder="1" applyAlignment="1">
      <alignment vertical="center" wrapText="1"/>
    </xf>
    <xf numFmtId="0" fontId="1" fillId="4" borderId="3" xfId="1" applyFill="1" applyBorder="1" applyAlignment="1">
      <alignment wrapText="1"/>
    </xf>
    <xf numFmtId="0" fontId="3" fillId="4" borderId="3" xfId="1" applyFont="1" applyFill="1" applyBorder="1" applyAlignment="1">
      <alignment vertical="top" wrapText="1"/>
    </xf>
    <xf numFmtId="0" fontId="1" fillId="4" borderId="3" xfId="1" applyFill="1" applyBorder="1" applyAlignment="1">
      <alignment vertical="center" wrapText="1"/>
    </xf>
    <xf numFmtId="0" fontId="4" fillId="4" borderId="3" xfId="2" applyFill="1" applyBorder="1" applyAlignment="1">
      <alignment vertical="center"/>
    </xf>
    <xf numFmtId="0" fontId="4" fillId="4" borderId="3" xfId="2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1" fillId="4" borderId="3" xfId="0" applyFont="1" applyFill="1" applyBorder="1"/>
    <xf numFmtId="0" fontId="1" fillId="4" borderId="3" xfId="0" applyFont="1" applyFill="1" applyBorder="1" applyAlignment="1">
      <alignment wrapText="1"/>
    </xf>
    <xf numFmtId="0" fontId="0" fillId="4" borderId="3" xfId="0" applyFill="1" applyBorder="1"/>
    <xf numFmtId="0" fontId="1" fillId="4" borderId="3" xfId="0" applyFont="1" applyFill="1" applyBorder="1" applyAlignment="1">
      <alignment horizontal="left" wrapText="1"/>
    </xf>
    <xf numFmtId="0" fontId="3" fillId="4" borderId="3" xfId="0" applyFont="1" applyFill="1" applyBorder="1" applyAlignment="1">
      <alignment vertical="center" wrapText="1"/>
    </xf>
    <xf numFmtId="0" fontId="0" fillId="4" borderId="3" xfId="0" applyFill="1" applyBorder="1" applyAlignment="1">
      <alignment wrapText="1"/>
    </xf>
    <xf numFmtId="0" fontId="1" fillId="4" borderId="3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left" wrapText="1"/>
    </xf>
    <xf numFmtId="0" fontId="0" fillId="4" borderId="3" xfId="0" applyFill="1" applyBorder="1" applyAlignment="1">
      <alignment horizontal="left" vertical="top" wrapText="1"/>
    </xf>
    <xf numFmtId="0" fontId="9" fillId="4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2" borderId="0" xfId="2" applyFill="1" applyBorder="1" applyAlignment="1">
      <alignment horizontal="left" vertical="center" wrapText="1"/>
    </xf>
    <xf numFmtId="0" fontId="3" fillId="0" borderId="0" xfId="1" applyFont="1" applyBorder="1" applyAlignment="1">
      <alignment vertical="top" wrapText="1"/>
    </xf>
    <xf numFmtId="0" fontId="1" fillId="2" borderId="0" xfId="1" applyFill="1" applyBorder="1" applyAlignment="1">
      <alignment vertical="top"/>
    </xf>
    <xf numFmtId="0" fontId="3" fillId="0" borderId="0" xfId="1" applyFont="1" applyBorder="1" applyAlignment="1">
      <alignment horizontal="left" vertical="center" wrapText="1"/>
    </xf>
    <xf numFmtId="0" fontId="1" fillId="2" borderId="0" xfId="1" applyFill="1" applyBorder="1"/>
    <xf numFmtId="0" fontId="4" fillId="2" borderId="0" xfId="2" applyFill="1" applyBorder="1" applyAlignment="1">
      <alignment horizontal="left" vertical="top" wrapText="1"/>
    </xf>
    <xf numFmtId="0" fontId="4" fillId="2" borderId="0" xfId="4" applyFill="1" applyBorder="1"/>
    <xf numFmtId="0" fontId="1" fillId="0" borderId="0" xfId="1" applyBorder="1"/>
    <xf numFmtId="0" fontId="3" fillId="2" borderId="0" xfId="1" applyFont="1" applyFill="1" applyBorder="1" applyAlignment="1">
      <alignment horizontal="left" vertical="center" wrapText="1"/>
    </xf>
    <xf numFmtId="0" fontId="1" fillId="0" borderId="0" xfId="1" applyBorder="1" applyAlignment="1">
      <alignment horizontal="left" vertical="center"/>
    </xf>
    <xf numFmtId="0" fontId="1" fillId="0" borderId="0" xfId="1" applyBorder="1" applyAlignment="1">
      <alignment wrapText="1"/>
    </xf>
    <xf numFmtId="0" fontId="1" fillId="0" borderId="0" xfId="1" applyBorder="1" applyAlignment="1">
      <alignment horizontal="left" wrapText="1"/>
    </xf>
    <xf numFmtId="0" fontId="1" fillId="0" borderId="0" xfId="1" applyBorder="1" applyAlignment="1">
      <alignment horizontal="left" vertical="center" wrapText="1"/>
    </xf>
    <xf numFmtId="0" fontId="4" fillId="0" borderId="0" xfId="2" applyBorder="1" applyAlignment="1">
      <alignment horizontal="left" vertical="center" wrapText="1"/>
    </xf>
    <xf numFmtId="0" fontId="4" fillId="0" borderId="0" xfId="4" applyBorder="1"/>
    <xf numFmtId="0" fontId="0" fillId="0" borderId="0" xfId="0" applyBorder="1" applyAlignment="1">
      <alignment horizontal="left" vertical="top"/>
    </xf>
    <xf numFmtId="0" fontId="4" fillId="0" borderId="0" xfId="4" applyBorder="1" applyAlignment="1">
      <alignment wrapText="1"/>
    </xf>
    <xf numFmtId="0" fontId="1" fillId="2" borderId="0" xfId="0" applyFont="1" applyFill="1" applyBorder="1"/>
    <xf numFmtId="0" fontId="3" fillId="2" borderId="0" xfId="0" applyFont="1" applyFill="1" applyBorder="1" applyAlignment="1">
      <alignment horizontal="left" vertical="center" wrapText="1"/>
    </xf>
    <xf numFmtId="0" fontId="4" fillId="2" borderId="0" xfId="2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0" fillId="2" borderId="0" xfId="0" applyFill="1" applyBorder="1"/>
    <xf numFmtId="0" fontId="3" fillId="0" borderId="0" xfId="0" applyFont="1" applyBorder="1" applyAlignment="1">
      <alignment horizontal="left" vertical="center" wrapText="1"/>
    </xf>
    <xf numFmtId="0" fontId="4" fillId="0" borderId="0" xfId="2" applyBorder="1" applyAlignment="1">
      <alignment horizontal="left" vertical="top" wrapText="1"/>
    </xf>
    <xf numFmtId="0" fontId="4" fillId="4" borderId="0" xfId="2" applyFill="1" applyBorder="1" applyAlignment="1">
      <alignment horizontal="left" vertical="center" wrapText="1"/>
    </xf>
    <xf numFmtId="0" fontId="1" fillId="2" borderId="0" xfId="1" applyFill="1" applyBorder="1" applyAlignment="1">
      <alignment horizontal="left" vertical="center"/>
    </xf>
    <xf numFmtId="0" fontId="4" fillId="0" borderId="0" xfId="2" applyBorder="1" applyAlignment="1">
      <alignment vertical="center" wrapText="1"/>
    </xf>
    <xf numFmtId="0" fontId="4" fillId="2" borderId="0" xfId="2" applyFill="1" applyBorder="1" applyAlignment="1">
      <alignment vertical="top" wrapText="1"/>
    </xf>
    <xf numFmtId="0" fontId="0" fillId="0" borderId="0" xfId="0" applyBorder="1" applyAlignment="1">
      <alignment horizontal="left" wrapText="1"/>
    </xf>
    <xf numFmtId="0" fontId="4" fillId="2" borderId="0" xfId="2" applyFill="1" applyBorder="1" applyAlignment="1">
      <alignment vertical="center" wrapText="1"/>
    </xf>
    <xf numFmtId="0" fontId="3" fillId="0" borderId="0" xfId="1" applyFont="1" applyBorder="1" applyAlignment="1">
      <alignment horizontal="left" vertical="center"/>
    </xf>
    <xf numFmtId="0" fontId="1" fillId="2" borderId="0" xfId="1" applyFill="1" applyBorder="1" applyAlignment="1">
      <alignment horizontal="left" wrapText="1"/>
    </xf>
    <xf numFmtId="0" fontId="1" fillId="0" borderId="0" xfId="0" applyFont="1" applyBorder="1"/>
    <xf numFmtId="0" fontId="1" fillId="0" borderId="0" xfId="0" applyFont="1" applyBorder="1" applyAlignment="1">
      <alignment horizontal="left" vertical="center"/>
    </xf>
    <xf numFmtId="0" fontId="3" fillId="0" borderId="0" xfId="1" applyFont="1" applyBorder="1" applyAlignment="1">
      <alignment horizontal="left" vertical="top" wrapText="1"/>
    </xf>
    <xf numFmtId="0" fontId="0" fillId="2" borderId="0" xfId="0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/>
    </xf>
    <xf numFmtId="0" fontId="3" fillId="0" borderId="0" xfId="1" applyFont="1" applyBorder="1" applyAlignment="1">
      <alignment vertical="top"/>
    </xf>
    <xf numFmtId="0" fontId="1" fillId="0" borderId="0" xfId="0" applyFont="1" applyBorder="1" applyAlignment="1">
      <alignment wrapText="1"/>
    </xf>
    <xf numFmtId="0" fontId="3" fillId="2" borderId="0" xfId="1" applyFont="1" applyFill="1" applyBorder="1" applyAlignment="1">
      <alignment horizontal="left" vertical="top" wrapText="1"/>
    </xf>
    <xf numFmtId="0" fontId="3" fillId="2" borderId="0" xfId="1" applyFont="1" applyFill="1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10" fillId="0" borderId="0" xfId="0" applyFont="1" applyAlignment="1">
      <alignment horizontal="center" vertical="center"/>
    </xf>
    <xf numFmtId="0" fontId="0" fillId="4" borderId="0" xfId="0" applyFill="1"/>
    <xf numFmtId="0" fontId="0" fillId="0" borderId="0" xfId="0" applyFill="1"/>
    <xf numFmtId="0" fontId="10" fillId="0" borderId="0" xfId="0" applyFont="1" applyFill="1"/>
    <xf numFmtId="0" fontId="0" fillId="0" borderId="0" xfId="0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3" xfId="1" applyFill="1" applyBorder="1" applyAlignment="1">
      <alignment horizontal="left" wrapText="1"/>
    </xf>
    <xf numFmtId="0" fontId="4" fillId="0" borderId="3" xfId="2" applyFill="1" applyBorder="1" applyAlignment="1">
      <alignment horizontal="left" vertical="center"/>
    </xf>
    <xf numFmtId="0" fontId="4" fillId="0" borderId="3" xfId="2" applyFill="1" applyBorder="1" applyAlignment="1">
      <alignment horizontal="left" vertical="center" wrapText="1"/>
    </xf>
    <xf numFmtId="0" fontId="4" fillId="0" borderId="3" xfId="2" applyFill="1" applyBorder="1" applyAlignment="1">
      <alignment vertical="center" wrapText="1"/>
    </xf>
    <xf numFmtId="0" fontId="1" fillId="0" borderId="3" xfId="0" applyFont="1" applyFill="1" applyBorder="1" applyAlignment="1">
      <alignment horizontal="left"/>
    </xf>
    <xf numFmtId="0" fontId="0" fillId="0" borderId="3" xfId="0" applyFill="1" applyBorder="1" applyAlignment="1">
      <alignment horizontal="left" wrapText="1"/>
    </xf>
    <xf numFmtId="0" fontId="3" fillId="0" borderId="3" xfId="1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wrapText="1"/>
    </xf>
    <xf numFmtId="0" fontId="1" fillId="0" borderId="3" xfId="1" applyFill="1" applyBorder="1"/>
    <xf numFmtId="0" fontId="1" fillId="0" borderId="3" xfId="0" applyFont="1" applyFill="1" applyBorder="1" applyAlignment="1">
      <alignment horizontal="left" wrapText="1"/>
    </xf>
    <xf numFmtId="0" fontId="3" fillId="0" borderId="3" xfId="0" applyFont="1" applyFill="1" applyBorder="1" applyAlignment="1">
      <alignment horizontal="left" vertical="center" wrapText="1"/>
    </xf>
    <xf numFmtId="0" fontId="4" fillId="0" borderId="3" xfId="2" applyFill="1" applyBorder="1" applyAlignment="1">
      <alignment vertical="center"/>
    </xf>
    <xf numFmtId="0" fontId="3" fillId="0" borderId="3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top" wrapText="1"/>
    </xf>
    <xf numFmtId="0" fontId="1" fillId="0" borderId="3" xfId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wrapText="1"/>
    </xf>
    <xf numFmtId="0" fontId="1" fillId="0" borderId="3" xfId="0" applyFont="1" applyFill="1" applyBorder="1"/>
    <xf numFmtId="0" fontId="0" fillId="0" borderId="3" xfId="0" applyFill="1" applyBorder="1" applyAlignment="1">
      <alignment horizontal="left" vertical="top" wrapText="1"/>
    </xf>
    <xf numFmtId="0" fontId="3" fillId="0" borderId="3" xfId="1" applyFont="1" applyFill="1" applyBorder="1" applyAlignment="1">
      <alignment horizontal="left" vertical="center"/>
    </xf>
    <xf numFmtId="0" fontId="1" fillId="0" borderId="3" xfId="1" applyFill="1" applyBorder="1" applyAlignment="1">
      <alignment horizontal="left"/>
    </xf>
    <xf numFmtId="0" fontId="0" fillId="0" borderId="3" xfId="0" applyFill="1" applyBorder="1" applyAlignment="1">
      <alignment wrapText="1"/>
    </xf>
    <xf numFmtId="0" fontId="1" fillId="0" borderId="3" xfId="1" applyFill="1" applyBorder="1" applyAlignment="1">
      <alignment horizontal="left" vertical="center" wrapText="1"/>
    </xf>
    <xf numFmtId="0" fontId="0" fillId="5" borderId="0" xfId="0" applyFill="1"/>
  </cellXfs>
  <cellStyles count="7">
    <cellStyle name="Normal" xfId="0" builtinId="0"/>
    <cellStyle name="Normal 2" xfId="2" xr:uid="{70CA11E4-DC33-497E-AF10-A9C4D01C583E}"/>
    <cellStyle name="Normal 3" xfId="1" xr:uid="{EE8A90B8-3AB5-452E-96F9-F5546A648C34}"/>
    <cellStyle name="Normal_Documento para banco de dados" xfId="4" xr:uid="{0DA90790-AE29-4A15-AFF3-203ECAD4B67F}"/>
    <cellStyle name="Normal_Fernando fatores de conversão nova" xfId="3" xr:uid="{F622CE20-8C3A-452F-8378-5A67ADB2DB10}"/>
    <cellStyle name="Normal_resultadoscarneseoutros" xfId="6" xr:uid="{CAACC031-8338-4605-891E-170867818E65}"/>
    <cellStyle name="Normal_Tabela3" xfId="5" xr:uid="{05EDCD1C-B1CA-4ADE-A624-E908FEBAB9E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3048000</xdr:colOff>
      <xdr:row>12</xdr:row>
      <xdr:rowOff>78442</xdr:rowOff>
    </xdr:from>
    <xdr:to>
      <xdr:col>6</xdr:col>
      <xdr:colOff>537882</xdr:colOff>
      <xdr:row>33</xdr:row>
      <xdr:rowOff>11207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669D045A-BC05-4985-8FDA-DC2A3B613A5D}"/>
            </a:ext>
          </a:extLst>
        </xdr:cNvPr>
        <xdr:cNvSpPr txBox="1"/>
      </xdr:nvSpPr>
      <xdr:spPr>
        <a:xfrm>
          <a:off x="3697941" y="1994648"/>
          <a:ext cx="8886265" cy="32272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tem que retirar os duplicados nessa tabela, para manter a relação com os ingredientes, e depois corrigir</a:t>
          </a:r>
          <a:r>
            <a:rPr lang="pt-BR" sz="1100" baseline="0"/>
            <a:t> a tabela de pratos_hospital, e depois corrigir o tamanho da porção padrão de cada prato.</a:t>
          </a:r>
        </a:p>
        <a:p>
          <a:endParaRPr lang="pt-BR" sz="1100" baseline="0"/>
        </a:p>
        <a:p>
          <a:r>
            <a:rPr lang="pt-BR" sz="1100" baseline="0"/>
            <a:t>O erro ocorreu porque ainda existem pratos que estão compostos pelo mesmo prato_id + ingrediente_id, mas devem ter tamanho de porção diferentes</a:t>
          </a:r>
        </a:p>
        <a:p>
          <a:endParaRPr lang="pt-BR" sz="1100" baseline="0"/>
        </a:p>
        <a:p>
          <a:r>
            <a:rPr lang="pt-BR" sz="1100" baseline="0"/>
            <a:t>Aí fudeu, porque se o tamanho da porção muda.... talvez dê pra incluir um fator de correção do tamanho da porção em função da dieta, mas se esse fator de correção não for sempre o mesmo , ou pelo menos não for o mesmo para um mesmo tipo de preparação, aí vou precisar de uma tabela fazendo referência de prato_id X fator de correção para cada tipo de dieta....</a:t>
          </a:r>
        </a:p>
        <a:p>
          <a:endParaRPr lang="pt-BR" sz="1100" baseline="0"/>
        </a:p>
        <a:p>
          <a:r>
            <a:rPr lang="pt-BR" sz="1100" baseline="0"/>
            <a:t>No melhor dos casos, ainda vai precisar de uma tabela de correção com tipo_dieta X tipo_preparacao...</a:t>
          </a:r>
        </a:p>
        <a:p>
          <a:endParaRPr lang="pt-BR" sz="1100" baseline="0"/>
        </a:p>
        <a:p>
          <a:r>
            <a:rPr lang="pt-BR" sz="1100" baseline="0"/>
            <a:t>DECISÃO: RETIRAR OS DUPLICADOS, INDEPENDENTE DO TAMANHO DA PORÇÃO, E DEPOIS CONFERIR SE TEM MESMO PORÇÃO DE TAMANHO </a:t>
          </a:r>
          <a:endParaRPr lang="pt-B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uno" refreshedDate="46229.444949305558" createdVersion="7" refreshedVersion="7" minRefreshableVersion="3" recordCount="1027" xr:uid="{8CD91883-9345-44E0-BB12-2F9FE4A7CAE0}">
  <cacheSource type="worksheet">
    <worksheetSource ref="A1:E1024" sheet="plan1"/>
  </cacheSource>
  <cacheFields count="5">
    <cacheField name="id_prato" numFmtId="0">
      <sharedItems containsSemiMixedTypes="0" containsString="0" containsNumber="1" containsInteger="1" minValue="39" maxValue="447"/>
    </cacheField>
    <cacheField name="CARDAPIO" numFmtId="0">
      <sharedItems count="409">
        <s v="Abacaxi"/>
        <s v="Abóbora refogada"/>
        <s v="Abóbora Sautée"/>
        <s v="Abóbora Sautée "/>
        <s v="Abóbora Sautée com Bacon"/>
        <s v="Abobrinha ao forno"/>
        <s v="Abobrinha com coentro"/>
        <s v="Abobrinha cozida"/>
        <s v="Abobrinha em Lâminas com Bacon"/>
        <s v="Abobrinha em Lâminas com tempero verde"/>
        <s v="Abobrinha ensopada"/>
        <s v="Abobrinha refogada"/>
        <s v="Acelga ao vinagrete"/>
        <s v="Acelga com pimentão colorido"/>
        <s v="Agrião com Tomate"/>
        <s v="Agrião e tomate sem semente"/>
        <s v="Água de coco"/>
        <s v="Aipim Cozido"/>
        <s v="Aipim ensopado"/>
        <s v="Alface "/>
        <s v="Alface com agrião"/>
        <s v="Alface com beterraba ralada"/>
        <s v="Alface com Manga"/>
        <s v="Alface com rabanete"/>
        <s v="Alface com repolho roxo"/>
        <s v="Alface com tomate"/>
        <s v="Alface e pepino em rodelas"/>
        <s v="Alho"/>
        <s v="Almôndega ao sugo"/>
        <s v="Almôndega de Frango"/>
        <s v="Almôndegas ao sugo"/>
        <s v="Almôndegas assada (patinho) sem gordura"/>
        <s v="Arroz"/>
        <s v="Arroz "/>
        <s v="Arroz  e  feijão preto "/>
        <s v="Arroz doce "/>
        <s v="Arroz doce diet"/>
        <s v="Arroz e Feijão Carioca"/>
        <s v="Arroz papa"/>
        <s v="Arroz papa e Feijão carioca batido"/>
        <s v="Arroz papa e feijão preto batido"/>
        <s v="Azeite"/>
        <s v="Banana da terra cozida"/>
        <s v="Banana maçã"/>
        <s v="Banana nanica"/>
        <s v="Banana prata"/>
        <s v="Batata baroa"/>
        <s v="Batata Baroa "/>
        <s v="Batata Baroa com abobrinha"/>
        <s v="Batata baroa cozida"/>
        <s v="Batata baroa e cenoura cozida"/>
        <s v="Batata Cozida"/>
        <s v="Batata cozida com cenoura cozida"/>
        <s v="Batata doce corada"/>
        <s v="Batata doce cozida"/>
        <s v="Batata Gratinada"/>
        <s v="Batata sauté"/>
        <s v="Batata, Cenoura, Vagem e cheiro verde"/>
        <s v="Berinjela e abóbrinha cozidas"/>
        <s v="Berinjela e abóbrinha sautée"/>
        <s v="Berinjela e chuchu à Bandeirola"/>
        <s v="Beterraba Cozida"/>
        <s v="Beterraba e abóbora em cubinhos"/>
        <s v="Beterraba e vagem em cubinhos"/>
        <s v="Bife à Fricandole (Chã de Dentro)"/>
        <s v="Bife de Palma"/>
        <s v="Bife rolê com cenoura (patinho)"/>
        <s v="Biscoito  cream cracker"/>
        <s v="Biscoito  de sal"/>
        <s v="Biscoito cream cracker"/>
        <s v="Bolinho de arroz"/>
        <s v="Bolinho de Arroz com Aveia e Tempero Verde"/>
        <s v="Brócolis com cenoura na manteiga"/>
        <s v="Brócolis com Couve Flor"/>
        <s v="Brócolis com Couve-flor"/>
        <s v="Brócolis e couve-flor"/>
        <s v="Brócolis refogado"/>
        <s v="Cação a Escabeche"/>
        <s v="Cação ao molho de tomate sem pele sem gordura"/>
        <s v="Cação assado"/>
        <s v="Cação assado ao molho de ervas(alecrim e coentro)"/>
        <s v="Cação assado com limão, tomate e alho"/>
        <s v="Café  com leite"/>
        <s v="Café  com leite desnatado"/>
        <s v="Café com leite"/>
        <s v="Café com leite "/>
        <s v="Café com leite desnatado"/>
        <s v="Café com leite e adoçante"/>
        <s v="Café puro com açúcar"/>
        <s v="Caldo de aipim"/>
        <s v="Caldo de aipim com frango"/>
        <s v="Caldo de feijão carioca"/>
        <s v="Caldo de feijão carioca "/>
        <s v="Caldo de feijão preto"/>
        <s v="Caldo de feijão preto "/>
        <s v="Canja de frango com cenoura e hortelã (batida)"/>
        <s v="Canjiquinha"/>
        <s v="Canjiquinha com agrião batida"/>
        <s v="Canjiquinha com agrião e carne moida batida"/>
        <s v="Canjiquinha com carne moída sem gordura"/>
        <s v="Canjiquinha com couve batido"/>
        <s v="Canjiquinha com couve e frango batido"/>
        <s v="Canjiquinha sem embutidos"/>
        <s v="Carne assada"/>
        <s v="Carne ensopada  (patinho)"/>
        <s v="Carne ensopada com ervilha (patinho)"/>
        <s v="Carne Ensopada sem gordura(patinho)"/>
        <s v="Carne moída"/>
        <s v="Carne moída refogada (Patinho Moído)"/>
        <s v="Carré suíno grelhado com molho de limão"/>
        <s v="Cenoura com chuchu"/>
        <s v="Cenoura com chuchu cozidos"/>
        <s v="Cenoura cozida"/>
        <s v="Cenoura e vagem cozidos"/>
        <s v="Cenoura em palito com batata"/>
        <s v="Cenoura Ralada"/>
        <s v="Cenoura ralada com tomate"/>
        <s v="Cenoura sauté"/>
        <s v="Cenoura sautée"/>
        <s v="Cenoura, vagem e chuchu sautée"/>
        <s v="Chá"/>
        <s v="Chá de camomila"/>
        <s v="Chá mate"/>
        <s v="Chuchu com cenoura cozidos"/>
        <s v="Chuchu com Claras"/>
        <s v="Chuchu com coentro"/>
        <s v="Chuchu com inhame em cubinhos"/>
        <s v="Chuchu com ovos"/>
        <s v="Chuchu Cozido"/>
        <s v="Chuchu em cubinhos"/>
        <s v="Chuchu ensopado"/>
        <s v="Chuchu Gratinado (molho branco e queijo)"/>
        <s v="Chuchu refogadinho"/>
        <s v="Chuchu refogado"/>
        <s v="Chuchu Tropeiro"/>
        <s v="Chuhu com coentro"/>
        <s v="Couve ao vinagrete"/>
        <s v="Couve-flor cozida"/>
        <s v="Couve-flor refogada"/>
        <s v="Creme de ervilha batido"/>
        <s v="Creme de Ervilha com Carne Moída Batida"/>
        <s v="Creme de Ervilha seca"/>
        <s v="Cubos de Patinho ao Molho de tomate SEM pele e SEM gordura"/>
        <s v="Cubos de patinho ao molho ferrugem"/>
        <s v="Cubos de patinho ao molho madeira"/>
        <s v="Curau"/>
        <s v="Empadão de Frango"/>
        <s v="Escondidinho de Aipim com Carne Moída"/>
        <s v="Espaguete ao alho e óleo"/>
        <s v="Espaguete ao molho de tomate SEM pele e SEM gordura"/>
        <s v="Espaguete ao molho de tomate SEM pele SEMgordura"/>
        <s v="Espaguete ao pesto"/>
        <s v="Espinafre cortado fino e refogado"/>
        <s v="Farofa Doce (Banana da Terra, Abacaxi e Uvas Passas)"/>
        <s v="Feijão carioca"/>
        <s v="Feijão carioca "/>
        <s v="Feijão carioca batido"/>
        <s v="Feijão carioca inteiro (só grãos)"/>
        <s v="Feijão preto"/>
        <s v="Feijão preto "/>
        <s v="Feijão preto batido"/>
        <s v="Feijão preto batido "/>
        <s v="Feijão preto batido batido"/>
        <s v="Filé de Frango "/>
        <s v="Filé de frango ao molho de ervas"/>
        <s v="Filé de Frango Empanado"/>
        <s v="Filé de Frango Grelhado com molho de laranja"/>
        <s v="Frango Assado"/>
        <s v="Frango desfiado"/>
        <s v="Frango desfiado "/>
        <s v="Frango desfiado sem gordura com molho tomate sem pele"/>
        <s v="Frango em cubos"/>
        <s v="Frango em iscas"/>
        <s v="Gelatina"/>
        <s v="Gelatina de Cereja"/>
        <s v="Gelatina de framboesa"/>
        <s v="Gelatina de limão"/>
        <s v="Gelatina de morango"/>
        <s v="Gelatina de uva"/>
        <s v="Gelatina Diet"/>
        <s v="Gelatina diet de limão"/>
        <s v="Gelatina diet de morango"/>
        <s v="Gelatina diet de uva"/>
        <s v="Geléia de mocotó de Tuti fruti"/>
        <s v="Geleia de mocotó sabor tradicional"/>
        <s v="Geleia de mocotó sabor tuti fruti"/>
        <s v="Goiaba"/>
        <s v="Gurjão de cação a milanesa"/>
        <s v="Inhame "/>
        <s v="Inhame Cozido"/>
        <s v="Inhame e batata baroa em cubinhos"/>
        <s v="Inhame em cubinhos"/>
        <s v="Isca de Frango Colorido ( Tomate e Cheiro Verde)"/>
        <s v="Isca de Frango Colorido (Pimentão, Cebola, Tomate e Cheiro Verde)"/>
        <s v="Isca de Frango sem gordura"/>
        <s v="Iscas à Lisboeta (Chã de Dentro)"/>
        <s v="Iscas de Chã de Dentro SEM gordura"/>
        <s v="Iscas de Frango "/>
        <s v="Iscas de FRANGO à Lisboeta "/>
        <s v="Iscas de Frango Aceboladas"/>
        <s v="Jiló"/>
        <s v="Jiló cozido"/>
        <s v="Lagarto Assado "/>
        <s v="Lagarto assado ao molho de tomate SEM pele e SEM gordura"/>
        <s v="Lagarto assado ao molho madeira"/>
        <s v="Lagarto Assado Recheado com Cenoura e Linguiça Calabresa)"/>
        <s v="Laranja"/>
        <s v="Laranja "/>
        <s v="Laranja lima"/>
        <s v="Laranja pera"/>
        <s v="Lasanha à bolonhesa (Patinho Moído)"/>
        <s v="Legumes Cozidos"/>
        <s v="Legumes cozidos (batata, cenoura e chuchu)"/>
        <s v="Legumes cozidos (Batata, Cenoura, Vagem, Cheiro Verde)"/>
        <s v="Legumes cozidos (Cenoura e chuchu)"/>
        <s v="legumes cozidos(batata, cenoura e chuchu)"/>
        <s v="Legumes sautée (Cenoura, chuchu e vagem)"/>
        <s v="Leite com achocolatado"/>
        <s v="Maça"/>
        <s v="Maçã"/>
        <s v="Macarrão ao sugo manjericão sem gordura "/>
        <s v="Macarrão sem gordura ao molho vermelho"/>
        <s v="Maionese (Batata, Cenoura, Vagem, Milho, Ervilha, Cheiro Verde)"/>
        <s v="Mamão"/>
        <s v="Mamão "/>
        <s v="Manga"/>
        <s v="Manga "/>
        <s v="Manga Picada"/>
        <s v="Manjar com Calda de Ameixa"/>
        <s v="Manjar com Calda SEM ameixa"/>
        <s v="Melancia"/>
        <s v="Melão"/>
        <s v="Melão "/>
        <s v="Milho em espiga com beteraba cozida"/>
        <s v="Milho em espiga com beterraba cozida"/>
        <s v="Mingau de amido"/>
        <s v="Mingau de arroz"/>
        <s v="Mingau de aveia"/>
        <s v="Mingau de cereais"/>
        <s v="Mingau de creme de arroz"/>
        <s v="Mingau de Cremogema"/>
        <s v="Mingau de cremogema chocolate"/>
        <s v="Mingau de cremogema tradicional"/>
        <s v="Mingau de farinha láctea"/>
        <s v="Mingau de fubá"/>
        <s v="Mingau de Mucilon de arroz"/>
        <s v="Mingau de mucilon de milho"/>
        <s v="Mingau de Multicereais"/>
        <s v="Mingau de Neston"/>
        <s v="Mingau de Novomilk banana"/>
        <s v="Mingau de tapioca"/>
        <s v="Mingau de tapioca batido"/>
        <s v="Mix de Folhas "/>
        <s v="Moqueca de Cação "/>
        <s v="Mousse de maracujá"/>
        <s v="Nutri Renal"/>
        <s v="Omelete de claras e ricota"/>
        <s v="Omelete de Frios"/>
        <s v="Omelete de Ricota"/>
        <s v="Paçoca"/>
        <s v="Panqueca de frango"/>
        <s v="Pão brioche com margarina"/>
        <s v="Pão brioche com margarina "/>
        <s v="Pão brioche integral"/>
        <s v="Pão Brioche sem margarina"/>
        <s v="Pão francês com margarina"/>
        <s v="Pão francês integral com margarina"/>
        <s v="Pão francês sem sal com margarina sem sal"/>
        <s v="Pão Frânces sem sal com margarina sem sal"/>
        <s v="Parafuso à Romana (Manjericão com Queijo)"/>
        <s v="Parafuso ao Molho de tomate SEM pele e SEM gordura"/>
        <s v="Parafuso ao sugo e manjericão"/>
        <s v="Patinho moído SEM gordura"/>
        <s v="Pavê de amendoim"/>
        <s v="Pé de Moça"/>
        <s v="Peito de frango desfiado"/>
        <s v="Peixe Assado ao Molho de Ervas"/>
        <s v="Peixe assado ao molho de ervas(alecrim e coen0o)"/>
        <s v="Peixe assado ao molho de ervas(alecrim e coentro)"/>
        <s v="Peixe assado ao molho de maracujá"/>
        <s v="Peixe assado com alecrim, limão, azeite e lâminas de alho"/>
        <s v="Peixe Desfiado"/>
        <s v="Peixe grelhado com ervas sem gordura"/>
        <s v="Penne ao Molho de tomate SEM pele e SEM gordura"/>
        <s v="Pepino e tomate em cubinhos ao cheiro verde"/>
        <s v="Pera"/>
        <s v="Pera madura"/>
        <s v="Pirão de Peixe"/>
        <s v="Pirão de Peixe com Pedaços e Coentro"/>
        <s v="Polenta"/>
        <s v="Polenta "/>
        <s v="Polenta com queijo"/>
        <s v="Pudim chinês"/>
        <s v="Pudim de baunilha"/>
        <s v="Pudim de Chocolate"/>
        <s v="Pudim de chocolate Diet"/>
        <s v="Pudim de Chocolate em calda"/>
        <s v="Pudim de coco Diet"/>
        <s v="Pudim de morango diet"/>
        <s v="Pudim diet"/>
        <s v="Purê de  batata SEM leite e SEM gordura"/>
        <s v="Purê de abóbora"/>
        <s v="Purê de aipim"/>
        <s v="Purê de aipim "/>
        <s v="Purê de aipim com queijo"/>
        <s v="Purê de Aipim SEM leite e SEM gordura"/>
        <s v="Purê de batata "/>
        <s v="Purê de batata baroa"/>
        <s v="Purê de Batata Doce"/>
        <s v="Purê de batata SEM leite e SEM gordura"/>
        <s v="Purê de cenoura"/>
        <s v="Purê de Inhame"/>
        <s v="Purê rosado"/>
        <s v="Quiabo com Abóbora"/>
        <s v="Quiabo ensopado"/>
        <s v="Quiabo refogado"/>
        <s v="Quichê de Alho Poró"/>
        <s v="Repolho com laranja "/>
        <s v="Repolho com tomate"/>
        <s v="Repolho refogado"/>
        <s v="Repolho roxo"/>
        <s v="Repolho roxo com tomate"/>
        <s v="Rúcula"/>
        <s v="Rúcula com manga"/>
        <s v="Sal"/>
        <s v="Salada de Abóbora"/>
        <s v="Salada de cenoura e vagem"/>
        <s v="Salada de Cenoura e vagem cozidas"/>
        <s v="Salada de Frutas"/>
        <s v="Salada de Tomate "/>
        <s v="Salpicão "/>
        <s v="Sobrecoxa de Frango  Assada"/>
        <s v="Sobrecoxa de frango à picasso (pimentão com milho)"/>
        <s v="Sobrecoxa de frango assada"/>
        <s v="Sobrecoxa de frango assado"/>
        <s v="Sobrecoxa de frango com molho com quiabo"/>
        <s v="Sobrecoxa de frango com pimentão colorido"/>
        <s v="Sobrecoxa de frango provençal (cenoura, cebola, tomate e alecrim)"/>
        <s v="Sobrecoxa de Frango Provençal (cenoura, cebola, tomate, azeitonas e alecrim)"/>
        <s v="Sobrecoxa de Frango SEM gordura"/>
        <s v="Sobrecoxa de frango sem pele e sem gordura"/>
        <s v="Sobrecoxa de frango SEM pele SEM gordura assado "/>
        <s v="Sopa Creme de Couve flor"/>
        <s v="Sopa Creme de Couve flor com frango"/>
        <s v="Sopa creme de couve-flor"/>
        <s v="Sopa Creme de Couve-flor com Frango"/>
        <s v="Sopa da bariátrica"/>
        <s v="Sopa de abóbora e batata "/>
        <s v="Sopa de abóbora e batata com carne moída (batida)"/>
        <s v="Sopa de Aipim"/>
        <s v="Sopa de aipim com agrião "/>
        <s v="Sopa de aipim com agrião e carne moída (batida)"/>
        <s v="Sopa de Aipim com Carne Moída (batida)"/>
        <s v="Sopa de batata, cenoura e chuchu "/>
        <s v="Sopa de Batata, Cenoura e Chuchu com Frango"/>
        <s v="Sopa de batata, cenoura e chuchu com frango (batida)"/>
        <s v="Sopa de beterraba, chuchu e batata "/>
        <s v="Sopa de beterraba, chuchu e batata com frango batido"/>
        <s v="Sopa de cenoura, abóbora e vagem com frango (batida)"/>
        <s v="Sopa de chuchu e cenoura "/>
        <s v="Sopa de chuchu, cenoura e frango (batida)"/>
        <s v="Sopa de Chuchu, cenoura e frango batida"/>
        <s v="Sopa de chuchu, cenoura e frango(batida)"/>
        <s v="Sopa de espinafre com batata"/>
        <s v="Sopa de espinafre com batata (batida)"/>
        <s v="Sopa de espinafre com batata com carne móida"/>
        <s v="Sopa de espinafre com batata com frango (batida)"/>
        <s v="Sopa de espinafre com batata e  carne moida"/>
        <s v="Sopa de Fubá"/>
        <s v="Sopa de Fubá com carne"/>
        <s v="Sopa de Legumes  (Batata, Cenoura e Vagem) com Frango Batido"/>
        <s v="Sopa de Legumes (Cenoura, Chuchu, Vagem) "/>
        <s v="Sopa de Legumes (Cenoura, Chuchu, Vagem) com Carne Moída batida"/>
        <s v="Sopa de Legumes Batida (Batata, Cenoura e Vagem)"/>
        <s v="Sopa de Legumes batida e coada"/>
        <s v="Sopa de macarrão com cenoura e chuchu"/>
        <s v="Sopa de macarrão com cenoura e chuchu (batida)"/>
        <s v="Sopa de mandioquinha "/>
        <s v="Sopa de mandioquinha com frango batida"/>
        <s v="Sopa de mandioquinha com frango batido"/>
        <s v="Souflê de Legumes (Vagem, Cenoura e Chuchu)"/>
        <s v="Suco"/>
        <s v="Suco com adoçante"/>
        <s v="Suco de acerola"/>
        <s v="Suco de cajú"/>
        <s v="Suco de caju "/>
        <s v="Suco de caju com adoçante"/>
        <s v="Suco de graviola"/>
        <s v="Suco de laranja com acerola"/>
        <s v="Suco de limão com adoçante"/>
        <s v="Suco de manga"/>
        <s v="Suco de maracujá"/>
        <s v="Suco de maracujá  com adoçante"/>
        <s v="Suco de maracujá com adoçante"/>
        <s v="Suco de maracujá com mamão"/>
        <s v="Taioba refogada"/>
        <s v="Tomate e pepino"/>
        <s v="Tomate sem semente picado"/>
        <s v="Uva"/>
        <s v="Uva "/>
        <s v="Vinagre"/>
        <s v="Virado de Abobrinha ( farinha de milho, abobrinha,ovo,margarina)"/>
        <s v="Virado de vagem (farinha de milho, vagem, clara de ovo, margari0)"/>
        <s v="Virado de vagem (farinha de milho, vagem, ovo, linguiça, margari0)"/>
        <s v="Virado de vagem (farinha de milho, vagem, ovo, margari0)"/>
        <s v="Vitamina de Aveia"/>
        <s v="Vitamina de Manga"/>
        <s v="Vitamina de Maracujá"/>
        <s v="Vitamina HPHC"/>
      </sharedItems>
    </cacheField>
    <cacheField name="id_ingrediente" numFmtId="0">
      <sharedItems containsSemiMixedTypes="0" containsString="0" containsNumber="1" containsInteger="1" minValue="1" maxValue="323" count="268">
        <n v="1"/>
        <n v="2"/>
        <n v="114"/>
        <n v="6"/>
        <n v="44"/>
        <n v="12"/>
        <n v="10"/>
        <n v="150"/>
        <n v="8"/>
        <n v="94"/>
        <n v="14"/>
        <n v="322"/>
        <n v="251"/>
        <n v="252"/>
        <n v="253"/>
        <n v="18"/>
        <n v="19"/>
        <n v="313"/>
        <n v="311"/>
        <n v="20"/>
        <n v="23"/>
        <n v="26"/>
        <n v="25"/>
        <n v="66"/>
        <n v="193"/>
        <n v="286"/>
        <n v="290"/>
        <n v="248"/>
        <n v="27"/>
        <n v="29"/>
        <n v="208"/>
        <n v="91"/>
        <n v="229"/>
        <n v="238"/>
        <n v="34"/>
        <n v="37"/>
        <n v="36"/>
        <n v="176"/>
        <n v="177"/>
        <n v="179"/>
        <n v="38"/>
        <n v="41"/>
        <n v="45"/>
        <n v="46"/>
        <n v="47"/>
        <n v="48"/>
        <n v="49"/>
        <n v="52"/>
        <n v="58"/>
        <n v="96"/>
        <n v="56"/>
        <n v="199"/>
        <n v="57"/>
        <n v="205"/>
        <n v="277"/>
        <n v="60"/>
        <n v="320"/>
        <n v="63"/>
        <n v="106"/>
        <n v="64"/>
        <n v="3"/>
        <n v="88"/>
        <n v="84"/>
        <n v="137"/>
        <n v="221"/>
        <n v="222"/>
        <n v="310"/>
        <n v="233"/>
        <n v="67"/>
        <n v="69"/>
        <n v="72"/>
        <n v="198"/>
        <n v="117"/>
        <n v="70"/>
        <n v="73"/>
        <n v="74"/>
        <n v="75"/>
        <n v="113"/>
        <n v="28"/>
        <n v="312"/>
        <n v="17"/>
        <n v="77"/>
        <n v="178"/>
        <n v="242"/>
        <n v="140"/>
        <n v="141"/>
        <n v="167"/>
        <n v="79"/>
        <n v="182"/>
        <n v="302"/>
        <n v="115"/>
        <n v="82"/>
        <n v="81"/>
        <n v="126"/>
        <n v="83"/>
        <n v="234"/>
        <n v="86"/>
        <n v="206"/>
        <n v="98"/>
        <n v="99"/>
        <n v="102"/>
        <n v="103"/>
        <n v="101"/>
        <n v="104"/>
        <n v="112"/>
        <n v="169"/>
        <n v="223"/>
        <n v="225"/>
        <n v="108"/>
        <n v="109"/>
        <n v="116"/>
        <n v="119"/>
        <n v="125"/>
        <n v="197"/>
        <n v="315"/>
        <n v="301"/>
        <n v="90"/>
        <n v="210"/>
        <n v="122"/>
        <n v="124"/>
        <n v="130"/>
        <n v="131"/>
        <n v="128"/>
        <n v="194"/>
        <n v="279"/>
        <n v="134"/>
        <n v="50"/>
        <n v="135"/>
        <n v="224"/>
        <n v="316"/>
        <n v="144"/>
        <n v="146"/>
        <n v="24"/>
        <n v="147"/>
        <n v="195"/>
        <n v="196"/>
        <n v="149"/>
        <n v="174"/>
        <n v="244"/>
        <n v="297"/>
        <n v="151"/>
        <n v="240"/>
        <n v="152"/>
        <n v="241"/>
        <n v="155"/>
        <n v="157"/>
        <n v="158"/>
        <n v="159"/>
        <n v="160"/>
        <n v="164"/>
        <n v="32"/>
        <n v="161"/>
        <n v="162"/>
        <n v="163"/>
        <n v="165"/>
        <n v="166"/>
        <n v="170"/>
        <n v="172"/>
        <n v="181"/>
        <n v="173"/>
        <n v="175"/>
        <n v="15"/>
        <n v="185"/>
        <n v="183"/>
        <n v="184"/>
        <n v="189"/>
        <n v="204"/>
        <n v="212"/>
        <n v="190"/>
        <n v="203"/>
        <n v="192"/>
        <n v="30"/>
        <n v="270"/>
        <n v="200"/>
        <n v="201"/>
        <n v="202"/>
        <n v="31"/>
        <n v="214"/>
        <n v="39"/>
        <n v="40"/>
        <n v="216"/>
        <n v="120"/>
        <n v="121"/>
        <n v="16"/>
        <n v="138"/>
        <n v="153"/>
        <n v="215"/>
        <n v="218"/>
        <n v="219"/>
        <n v="308"/>
        <n v="213"/>
        <n v="217"/>
        <n v="220"/>
        <n v="291"/>
        <n v="33"/>
        <n v="100"/>
        <n v="278"/>
        <n v="226"/>
        <n v="227"/>
        <n v="228"/>
        <n v="230"/>
        <n v="231"/>
        <n v="188"/>
        <n v="211"/>
        <n v="235"/>
        <n v="236"/>
        <n v="237"/>
        <n v="207"/>
        <n v="42"/>
        <n v="180"/>
        <n v="76"/>
        <n v="93"/>
        <n v="245"/>
        <n v="247"/>
        <n v="314"/>
        <n v="249"/>
        <n v="250"/>
        <n v="255"/>
        <n v="257"/>
        <n v="267"/>
        <n v="268"/>
        <n v="269"/>
        <n v="271"/>
        <n v="272"/>
        <n v="273"/>
        <n v="275"/>
        <n v="276"/>
        <n v="54"/>
        <n v="281"/>
        <n v="283"/>
        <n v="284"/>
        <n v="285"/>
        <n v="287"/>
        <n v="288"/>
        <n v="289"/>
        <n v="293"/>
        <n v="294"/>
        <n v="191"/>
        <n v="263"/>
        <n v="296"/>
        <n v="92"/>
        <n v="43"/>
        <n v="95"/>
        <n v="105"/>
        <n v="266"/>
        <n v="21"/>
        <n v="132"/>
        <n v="154"/>
        <n v="53"/>
        <n v="186"/>
        <n v="304"/>
        <n v="305"/>
        <n v="258"/>
        <n v="259"/>
        <n v="261"/>
        <n v="262"/>
        <n v="265"/>
        <n v="307"/>
        <n v="246"/>
        <n v="317"/>
        <n v="318"/>
        <n v="321"/>
        <n v="136"/>
        <n v="111"/>
        <n v="260"/>
        <n v="309"/>
        <n v="264"/>
        <n v="323"/>
      </sharedItems>
    </cacheField>
    <cacheField name="ALIMENTO" numFmtId="0">
      <sharedItems count="268">
        <s v="Abacaxi"/>
        <s v="Abacaxi cru"/>
        <s v="Couve"/>
        <s v="Abóbora moranga refogada, sem sal"/>
        <s v="Bacon"/>
        <s v="Abobrinha italiana refogada, sem sal"/>
        <s v="Abobrinha italiana ensopada, sem sal"/>
        <s v="Folha de coentro crua"/>
        <s v="Abobrinha italiana cozida sem sal"/>
        <s v="Cebolinha verde"/>
        <s v="Acelga"/>
        <s v="Vinagrete"/>
        <s v="Pimentão amarelo"/>
        <s v="Pimentão verde"/>
        <s v="Pimentão vermelho"/>
        <s v="Agrião"/>
        <s v="Agrião cru"/>
        <s v="Tomate salada"/>
        <s v="Tomate com semente, cru"/>
        <s v="Água de coco"/>
        <s v="Aipim cozido, sem sal"/>
        <s v="Alface crespa, crua"/>
        <s v="Alface"/>
        <s v="Beterraba ralada"/>
        <s v="Manga, Tommy Atkins crua"/>
        <s v="Rabanete cru"/>
        <s v="Repolho roxo, cru"/>
        <s v="Pepino em rodelas"/>
        <s v="Alho"/>
        <s v="Almôndegas, com sal"/>
        <s v="Molho de tomate"/>
        <s v="Cebola"/>
        <s v="Pão francês"/>
        <s v="Peito de frango sem pele, cozido, sem sal"/>
        <s v="Arroz tipo 1, cozido com sal "/>
        <s v="Arroz doce"/>
        <s v="Arroz cozido"/>
        <s v="Leite de vaca em pó"/>
        <s v="Leite de vaca integral"/>
        <s v="Leite em pó desnatado enriquecido com cálcio"/>
        <s v="Arroz papa"/>
        <s v="Azeite"/>
        <s v="Banana da terra cozida"/>
        <s v="Banana maçã"/>
        <s v="Banana nanica"/>
        <s v="Banana prata"/>
        <s v="Banana-prata"/>
        <s v="Batata baroa cozida, sem sal"/>
        <s v="Batata inglesa cozida, sem sal"/>
        <s v="Cenoura cozida, sem sal"/>
        <s v="Batata doce corada, sem sal"/>
        <s v="Margarina sem sal"/>
        <s v="Batata doce cozida"/>
        <s v="Molho branco"/>
        <s v="Queijo mozarela"/>
        <s v="Batata, inglesa sauté, sem sal"/>
        <s v="Vagem cozida, sem sal"/>
        <s v="Berinjela cozida, sem sal"/>
        <s v="Chuchu cozido, sem sal"/>
        <s v="Beterraba cozida, sem sal"/>
        <s v="Abóbora cozida sem sal"/>
        <s v="Carne, bovina, capa de contra-filé, sem gordura, grelhada, sem sal"/>
        <s v="Carne moída refogada (Patinho Moído), sem sal"/>
        <s v="Farinha de trigo"/>
        <s v="Óleo vegetal"/>
        <s v="Ovo de galinha"/>
        <s v="Tomate"/>
        <s v="Patinho cozido, sem sal"/>
        <s v="Biscoito sal cream cracker 6 unidades"/>
        <s v="Bolinho de Arroz, sem sal"/>
        <s v="Brócolis cozido, sem sal"/>
        <s v="Margarina com sal"/>
        <s v="Couve-flor cozida, sem sal"/>
        <s v="Brócolis"/>
        <s v="Brócolis refogado"/>
        <s v="Cação em posta"/>
        <s v="Cação em posta cozida"/>
        <s v="Coentro"/>
        <s v="Alho cru"/>
        <s v="Tomate cru com semente"/>
        <s v="Açúcar cristal"/>
        <s v="Café"/>
        <s v="Leite em pó desnatado"/>
        <s v="Peito de frango, sem pele, cozido,desfiado"/>
        <s v="Feijão carioca cozido (50% grãos/caldo), sem sal"/>
        <s v="Feijão carioca cozido (só caldo)"/>
        <s v="Hortelã"/>
        <s v="Canjiquinha, sem sal"/>
        <s v="Linguiça Calabresa"/>
        <s v="Sopa de canjiquinha de milho em grão"/>
        <s v="Couve manteiga cozida"/>
        <s v="Carne assada (lagarto)"/>
        <s v="Carne (patinho), sem sal"/>
        <s v="Ervilha enlatada drenada"/>
        <s v="Carne moída refogada"/>
        <s v="Patinho moído"/>
        <s v="Carne suína"/>
        <s v="Molho de limão"/>
        <s v="Cenoura crua"/>
        <s v="Cenoura crua ralada"/>
        <s v="Chá de erva doce"/>
        <s v="Chá, erva-doce, infusão 5%"/>
        <s v="Chá de camomila, ebulição"/>
        <s v="Chá, mate, infusão 5%"/>
        <s v="Clara de ovos"/>
        <s v="Inhame Cozido, sem sal"/>
        <s v="Ovo de galinha inteiro cozido"/>
        <s v="Ovos"/>
        <s v="Chuchu ensopado"/>
        <s v="Chuchu Refogado, sem sal"/>
        <s v="Couve manteiga crua"/>
        <s v="Couve-flor refogada"/>
        <s v="Ervilha em conserva"/>
        <s v="Margarina"/>
        <s v="Trigo"/>
        <s v="Sopa creme de ervilha, sem sal"/>
        <s v="Carne, bovina, patinho, sem gordura, grelhado, sem sal"/>
        <s v="Molho madeira, sem sal"/>
        <s v="Curau"/>
        <s v="Empadão de frango, sem sal"/>
        <s v="Espaguete ao alho e óleo, sem sal"/>
        <s v="Espaguete cozido"/>
        <s v="Espaguete, sem sal"/>
        <s v="Manjericão"/>
        <s v="Queijo parmesão"/>
        <s v="Espinafre refogado, sem sal"/>
        <s v="Banana-terra frita"/>
        <s v="Farinha de mandioca"/>
        <s v="Ovo de galinha inteiro frito"/>
        <s v="Uva passas"/>
        <s v="Feijão cozido (só grãos)"/>
        <s v="Feijão preto cozido (50% grão/50% caldo), sem sal"/>
        <s v="Alecrim seco"/>
        <s v="File de frango com molho branco e ervas, sem sal"/>
        <s v="Manjericão seco"/>
        <s v="Manjerona seca"/>
        <s v="Filé de Frango Empanado"/>
        <s v="Laranja pera"/>
        <s v="Peito de frango, sem pele, grelhado, sem sal"/>
        <s v="Sobrecoxa de frango sem pele, assada"/>
        <s v="Frango desfiado"/>
        <s v="Peito de frango, sem pele, cozido, em cubos"/>
        <s v="Frango em iscas"/>
        <s v="Peito de frango, sem pele, cozido, em iscas"/>
        <s v="Gelatina de cereja"/>
        <s v="Gelatina de framboesa"/>
        <s v="Gelatina de limão"/>
        <s v="Gelatina de morango"/>
        <s v="Gelatina de uva"/>
        <s v="Gelatina diet qualquer sabor"/>
        <s v="Amido de milho"/>
        <s v="Gelatina diet de limão"/>
        <s v="Gelatina diet de morango"/>
        <s v="Gelatina diet de uva"/>
        <s v="Geleia de mocotó"/>
        <s v="Goiaba vermelha crua"/>
        <s v="Jiló cozido"/>
        <s v="Lagarto bovino assado, sem sal"/>
        <s v="Linguiça (suína, bovina, mista)"/>
        <s v="Laranja lima"/>
        <s v="Lasanha (presunto, queijo e molho à bolonhesa)"/>
        <s v="Achocolatado"/>
        <s v="Maçã fuji com casca"/>
        <s v="Maçã"/>
        <s v="Maçã fuji"/>
        <s v="Macarrão parafuso cozido"/>
        <s v="Molho ao sugo"/>
        <s v="Molho vermelho tomate sem pele"/>
        <s v="Maionese (Batata, Cenoura, Vagem e maionese)"/>
        <s v="Milho enlatado drenado"/>
        <s v="Mamão papaia, cru"/>
        <s v="Ameixa em calda"/>
        <s v="Pudim de coco"/>
        <s v="Melancia"/>
        <s v="Melão"/>
        <s v="Milho em espiga"/>
        <s v="Amido"/>
        <s v="Mucilon de arroz"/>
        <s v="Aveia"/>
        <s v="Aveia em flocos"/>
        <s v="Multicereais"/>
        <s v="Creme de arroz em pó"/>
        <s v="Cremogema tradicional"/>
        <s v="Achocolatado em pó"/>
        <s v="Farinha láctea"/>
        <s v="Fubá"/>
        <s v="Mucilon de milho"/>
        <s v="Neston"/>
        <s v="Novomilk banana"/>
        <s v="Tapioca seca"/>
        <s v="Mousse de maracujá"/>
        <s v="Musse de maracujá"/>
        <s v="Nutri Renal"/>
        <s v="Ricota, sem sal"/>
        <s v="Apresuntado"/>
        <s v="Cenoura ralada"/>
        <s v="Queijo muçarela"/>
        <s v="Paçoca"/>
        <s v="Pão brioche"/>
        <s v="Pão brioche integral"/>
        <s v="Pão francês integral"/>
        <s v="Pão francês sem sal"/>
        <s v="Macarrão parafuso ao alho e óleo, sem sal"/>
        <s v="Molho sugo"/>
        <s v="Patinho moído almôndega sem gordura"/>
        <s v="Pavê de amendoim"/>
        <s v="Pé de moça"/>
        <s v="Molho de maracujá"/>
        <s v="Azeite, de oliva, extra virgem"/>
        <s v="Limão tahiti"/>
        <s v="Cação em posta desfiado"/>
        <s v="Cebolinha crua"/>
        <s v="Pepino"/>
        <s v="Pepino em cubinhos"/>
        <s v="Tomate salada em cubinhos"/>
        <s v="Pera"/>
        <s v="Pêra, Williams, crua"/>
        <s v="Pirão, sem sal"/>
        <s v="Polenta, sem sal"/>
        <s v="Pudim de baunilha"/>
        <s v="Pudim de chocolate"/>
        <s v="Pudim de chocolate Diet"/>
        <s v="Pudim de coco diet com leite desnatado"/>
        <s v="Pudim de morango diet"/>
        <s v="Pudim diet de baunilha"/>
        <s v="Purê de batata, sem sal"/>
        <s v="Purê de batata baroa"/>
        <s v="Batata doce"/>
        <s v="Quiabo cozido, sem sal"/>
        <s v="Quiabo ensopado, sem sal"/>
        <s v="Quiabo refogado"/>
        <s v="Quiche"/>
        <s v="Repolho branco cru"/>
        <s v="Repolho branco refogado"/>
        <s v="Repolho roxo"/>
        <s v="Rúcula crua"/>
        <s v="Sal"/>
        <s v="Mamão"/>
        <s v="Polpa de manga congelada"/>
        <s v="Salpicão de frango, sem sal"/>
        <s v="Cebola branca crua"/>
        <s v="Azeitona verde em conserva"/>
        <s v="Cenoura"/>
        <s v="Chuchu"/>
        <s v="Proteína"/>
        <s v="Aipim"/>
        <s v="Espinafre cozido"/>
        <s v="Fubá cru"/>
        <s v="Batata Cozida"/>
        <s v="Macarrão cozido"/>
        <s v="Souflê, sem sal"/>
        <s v="Suco de cajú"/>
        <s v="Polpa de acerola congelada"/>
        <s v="Polpa de caju congelada"/>
        <s v="Polpa de graviola congelada"/>
        <s v="Polpa de mamão congelada"/>
        <s v="Polpa de maracujá congelada"/>
        <s v="Taioba refogada, sem sal"/>
        <s v="Pepino cru"/>
        <s v="Uva rubi crua"/>
        <s v="Uva, Rubi, crua"/>
        <s v="Vinagre"/>
        <s v="Farinha de milho"/>
        <s v="Clara de ovo cozida"/>
        <s v="Polpa de fruta"/>
        <s v="TCM"/>
        <s v="Polpa de maracujá"/>
        <s v="Vitamina HPHC"/>
      </sharedItems>
    </cacheField>
    <cacheField name="PER_CAPITA" numFmtId="0">
      <sharedItems containsSemiMixedTypes="0" containsString="0" containsNumber="1" minValue="0.5" maxValue="2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7">
  <r>
    <n v="39"/>
    <x v="0"/>
    <x v="0"/>
    <x v="0"/>
    <n v="100"/>
  </r>
  <r>
    <n v="39"/>
    <x v="0"/>
    <x v="1"/>
    <x v="1"/>
    <n v="100"/>
  </r>
  <r>
    <n v="39"/>
    <x v="0"/>
    <x v="2"/>
    <x v="2"/>
    <n v="10"/>
  </r>
  <r>
    <n v="40"/>
    <x v="1"/>
    <x v="3"/>
    <x v="3"/>
    <n v="100"/>
  </r>
  <r>
    <n v="40"/>
    <x v="1"/>
    <x v="3"/>
    <x v="3"/>
    <n v="50"/>
  </r>
  <r>
    <n v="41"/>
    <x v="2"/>
    <x v="3"/>
    <x v="3"/>
    <n v="100"/>
  </r>
  <r>
    <n v="42"/>
    <x v="3"/>
    <x v="3"/>
    <x v="3"/>
    <n v="100"/>
  </r>
  <r>
    <n v="43"/>
    <x v="4"/>
    <x v="3"/>
    <x v="3"/>
    <n v="100"/>
  </r>
  <r>
    <n v="43"/>
    <x v="4"/>
    <x v="4"/>
    <x v="4"/>
    <n v="10"/>
  </r>
  <r>
    <n v="44"/>
    <x v="5"/>
    <x v="5"/>
    <x v="5"/>
    <n v="100"/>
  </r>
  <r>
    <n v="45"/>
    <x v="6"/>
    <x v="6"/>
    <x v="6"/>
    <n v="100"/>
  </r>
  <r>
    <n v="45"/>
    <x v="6"/>
    <x v="7"/>
    <x v="7"/>
    <n v="5"/>
  </r>
  <r>
    <n v="46"/>
    <x v="7"/>
    <x v="6"/>
    <x v="6"/>
    <n v="100"/>
  </r>
  <r>
    <n v="47"/>
    <x v="8"/>
    <x v="8"/>
    <x v="8"/>
    <n v="90"/>
  </r>
  <r>
    <n v="48"/>
    <x v="9"/>
    <x v="8"/>
    <x v="8"/>
    <n v="100"/>
  </r>
  <r>
    <n v="48"/>
    <x v="9"/>
    <x v="8"/>
    <x v="8"/>
    <n v="90"/>
  </r>
  <r>
    <n v="48"/>
    <x v="9"/>
    <x v="9"/>
    <x v="9"/>
    <n v="10"/>
  </r>
  <r>
    <n v="48"/>
    <x v="9"/>
    <x v="9"/>
    <x v="9"/>
    <n v="5"/>
  </r>
  <r>
    <n v="49"/>
    <x v="10"/>
    <x v="6"/>
    <x v="6"/>
    <n v="100"/>
  </r>
  <r>
    <n v="50"/>
    <x v="11"/>
    <x v="5"/>
    <x v="5"/>
    <n v="100"/>
  </r>
  <r>
    <n v="50"/>
    <x v="11"/>
    <x v="5"/>
    <x v="5"/>
    <n v="50"/>
  </r>
  <r>
    <n v="51"/>
    <x v="12"/>
    <x v="10"/>
    <x v="10"/>
    <n v="30"/>
  </r>
  <r>
    <n v="51"/>
    <x v="12"/>
    <x v="11"/>
    <x v="11"/>
    <n v="70"/>
  </r>
  <r>
    <n v="51"/>
    <x v="12"/>
    <x v="11"/>
    <x v="11"/>
    <n v="30"/>
  </r>
  <r>
    <n v="52"/>
    <x v="13"/>
    <x v="10"/>
    <x v="10"/>
    <n v="20"/>
  </r>
  <r>
    <n v="52"/>
    <x v="13"/>
    <x v="10"/>
    <x v="10"/>
    <n v="30"/>
  </r>
  <r>
    <n v="52"/>
    <x v="13"/>
    <x v="12"/>
    <x v="12"/>
    <n v="10"/>
  </r>
  <r>
    <n v="52"/>
    <x v="13"/>
    <x v="13"/>
    <x v="13"/>
    <n v="10"/>
  </r>
  <r>
    <n v="52"/>
    <x v="13"/>
    <x v="14"/>
    <x v="14"/>
    <n v="10"/>
  </r>
  <r>
    <n v="53"/>
    <x v="14"/>
    <x v="15"/>
    <x v="15"/>
    <n v="30"/>
  </r>
  <r>
    <n v="53"/>
    <x v="14"/>
    <x v="15"/>
    <x v="15"/>
    <n v="50"/>
  </r>
  <r>
    <n v="53"/>
    <x v="14"/>
    <x v="15"/>
    <x v="15"/>
    <n v="10"/>
  </r>
  <r>
    <n v="53"/>
    <x v="14"/>
    <x v="16"/>
    <x v="16"/>
    <n v="30"/>
  </r>
  <r>
    <n v="53"/>
    <x v="14"/>
    <x v="16"/>
    <x v="16"/>
    <n v="20"/>
  </r>
  <r>
    <n v="53"/>
    <x v="14"/>
    <x v="17"/>
    <x v="17"/>
    <n v="70"/>
  </r>
  <r>
    <n v="53"/>
    <x v="14"/>
    <x v="17"/>
    <x v="17"/>
    <n v="30"/>
  </r>
  <r>
    <n v="53"/>
    <x v="14"/>
    <x v="17"/>
    <x v="17"/>
    <n v="40"/>
  </r>
  <r>
    <n v="54"/>
    <x v="15"/>
    <x v="16"/>
    <x v="16"/>
    <n v="30"/>
  </r>
  <r>
    <n v="54"/>
    <x v="15"/>
    <x v="18"/>
    <x v="18"/>
    <n v="20"/>
  </r>
  <r>
    <n v="55"/>
    <x v="16"/>
    <x v="19"/>
    <x v="19"/>
    <n v="160"/>
  </r>
  <r>
    <n v="56"/>
    <x v="17"/>
    <x v="20"/>
    <x v="20"/>
    <n v="100"/>
  </r>
  <r>
    <n v="57"/>
    <x v="18"/>
    <x v="20"/>
    <x v="20"/>
    <n v="100"/>
  </r>
  <r>
    <n v="58"/>
    <x v="19"/>
    <x v="21"/>
    <x v="21"/>
    <n v="30"/>
  </r>
  <r>
    <n v="58"/>
    <x v="19"/>
    <x v="21"/>
    <x v="21"/>
    <n v="50"/>
  </r>
  <r>
    <n v="58"/>
    <x v="19"/>
    <x v="11"/>
    <x v="11"/>
    <n v="20"/>
  </r>
  <r>
    <n v="59"/>
    <x v="20"/>
    <x v="16"/>
    <x v="16"/>
    <n v="25"/>
  </r>
  <r>
    <n v="59"/>
    <x v="20"/>
    <x v="16"/>
    <x v="16"/>
    <n v="15"/>
  </r>
  <r>
    <n v="59"/>
    <x v="20"/>
    <x v="22"/>
    <x v="22"/>
    <n v="25"/>
  </r>
  <r>
    <n v="59"/>
    <x v="20"/>
    <x v="21"/>
    <x v="21"/>
    <n v="15"/>
  </r>
  <r>
    <n v="59"/>
    <x v="20"/>
    <x v="21"/>
    <x v="21"/>
    <n v="25"/>
  </r>
  <r>
    <n v="60"/>
    <x v="21"/>
    <x v="21"/>
    <x v="21"/>
    <n v="30"/>
  </r>
  <r>
    <n v="60"/>
    <x v="21"/>
    <x v="21"/>
    <x v="21"/>
    <n v="50"/>
  </r>
  <r>
    <n v="60"/>
    <x v="21"/>
    <x v="23"/>
    <x v="23"/>
    <n v="70"/>
  </r>
  <r>
    <n v="60"/>
    <x v="21"/>
    <x v="23"/>
    <x v="23"/>
    <n v="50"/>
  </r>
  <r>
    <n v="61"/>
    <x v="22"/>
    <x v="22"/>
    <x v="22"/>
    <n v="20"/>
  </r>
  <r>
    <n v="61"/>
    <x v="22"/>
    <x v="24"/>
    <x v="24"/>
    <n v="30"/>
  </r>
  <r>
    <n v="62"/>
    <x v="23"/>
    <x v="21"/>
    <x v="21"/>
    <n v="30"/>
  </r>
  <r>
    <n v="62"/>
    <x v="23"/>
    <x v="25"/>
    <x v="25"/>
    <n v="70"/>
  </r>
  <r>
    <n v="62"/>
    <x v="23"/>
    <x v="25"/>
    <x v="25"/>
    <n v="20"/>
  </r>
  <r>
    <n v="63"/>
    <x v="24"/>
    <x v="21"/>
    <x v="21"/>
    <n v="30"/>
  </r>
  <r>
    <n v="63"/>
    <x v="24"/>
    <x v="26"/>
    <x v="26"/>
    <n v="70"/>
  </r>
  <r>
    <n v="63"/>
    <x v="24"/>
    <x v="26"/>
    <x v="26"/>
    <n v="20"/>
  </r>
  <r>
    <n v="64"/>
    <x v="25"/>
    <x v="22"/>
    <x v="22"/>
    <n v="30"/>
  </r>
  <r>
    <n v="64"/>
    <x v="25"/>
    <x v="22"/>
    <x v="22"/>
    <n v="20"/>
  </r>
  <r>
    <n v="64"/>
    <x v="25"/>
    <x v="17"/>
    <x v="17"/>
    <n v="70"/>
  </r>
  <r>
    <n v="64"/>
    <x v="25"/>
    <x v="17"/>
    <x v="17"/>
    <n v="30"/>
  </r>
  <r>
    <n v="65"/>
    <x v="26"/>
    <x v="21"/>
    <x v="21"/>
    <n v="30"/>
  </r>
  <r>
    <n v="65"/>
    <x v="26"/>
    <x v="27"/>
    <x v="27"/>
    <n v="20"/>
  </r>
  <r>
    <n v="66"/>
    <x v="27"/>
    <x v="28"/>
    <x v="28"/>
    <n v="10"/>
  </r>
  <r>
    <n v="67"/>
    <x v="28"/>
    <x v="29"/>
    <x v="29"/>
    <n v="50"/>
  </r>
  <r>
    <n v="67"/>
    <x v="28"/>
    <x v="29"/>
    <x v="29"/>
    <n v="100"/>
  </r>
  <r>
    <n v="67"/>
    <x v="28"/>
    <x v="30"/>
    <x v="30"/>
    <n v="20"/>
  </r>
  <r>
    <n v="68"/>
    <x v="29"/>
    <x v="31"/>
    <x v="31"/>
    <n v="12"/>
  </r>
  <r>
    <n v="68"/>
    <x v="29"/>
    <x v="32"/>
    <x v="32"/>
    <n v="8"/>
  </r>
  <r>
    <n v="68"/>
    <x v="29"/>
    <x v="33"/>
    <x v="33"/>
    <n v="35"/>
  </r>
  <r>
    <n v="68"/>
    <x v="29"/>
    <x v="33"/>
    <x v="33"/>
    <n v="70"/>
  </r>
  <r>
    <n v="69"/>
    <x v="30"/>
    <x v="29"/>
    <x v="29"/>
    <n v="120"/>
  </r>
  <r>
    <n v="69"/>
    <x v="30"/>
    <x v="29"/>
    <x v="29"/>
    <n v="50"/>
  </r>
  <r>
    <n v="69"/>
    <x v="30"/>
    <x v="30"/>
    <x v="30"/>
    <n v="20"/>
  </r>
  <r>
    <n v="70"/>
    <x v="31"/>
    <x v="29"/>
    <x v="29"/>
    <n v="120"/>
  </r>
  <r>
    <n v="70"/>
    <x v="31"/>
    <x v="29"/>
    <x v="29"/>
    <n v="120"/>
  </r>
  <r>
    <n v="71"/>
    <x v="32"/>
    <x v="34"/>
    <x v="34"/>
    <n v="130"/>
  </r>
  <r>
    <n v="71"/>
    <x v="32"/>
    <x v="34"/>
    <x v="34"/>
    <n v="100"/>
  </r>
  <r>
    <n v="71"/>
    <x v="32"/>
    <x v="34"/>
    <x v="34"/>
    <n v="130"/>
  </r>
  <r>
    <n v="71"/>
    <x v="32"/>
    <x v="34"/>
    <x v="34"/>
    <n v="100"/>
  </r>
  <r>
    <n v="72"/>
    <x v="33"/>
    <x v="34"/>
    <x v="34"/>
    <n v="130"/>
  </r>
  <r>
    <n v="72"/>
    <x v="33"/>
    <x v="34"/>
    <x v="34"/>
    <n v="100"/>
  </r>
  <r>
    <n v="73"/>
    <x v="34"/>
    <x v="34"/>
    <x v="34"/>
    <n v="130"/>
  </r>
  <r>
    <n v="73"/>
    <x v="34"/>
    <x v="34"/>
    <x v="34"/>
    <n v="100"/>
  </r>
  <r>
    <n v="74"/>
    <x v="35"/>
    <x v="35"/>
    <x v="35"/>
    <n v="160"/>
  </r>
  <r>
    <n v="75"/>
    <x v="36"/>
    <x v="36"/>
    <x v="36"/>
    <n v="20"/>
  </r>
  <r>
    <n v="75"/>
    <x v="36"/>
    <x v="37"/>
    <x v="37"/>
    <n v="5"/>
  </r>
  <r>
    <n v="75"/>
    <x v="36"/>
    <x v="38"/>
    <x v="38"/>
    <n v="100"/>
  </r>
  <r>
    <n v="75"/>
    <x v="36"/>
    <x v="39"/>
    <x v="39"/>
    <n v="30"/>
  </r>
  <r>
    <n v="76"/>
    <x v="37"/>
    <x v="34"/>
    <x v="34"/>
    <n v="130"/>
  </r>
  <r>
    <n v="76"/>
    <x v="37"/>
    <x v="34"/>
    <x v="34"/>
    <n v="100"/>
  </r>
  <r>
    <n v="77"/>
    <x v="38"/>
    <x v="40"/>
    <x v="40"/>
    <n v="55"/>
  </r>
  <r>
    <n v="78"/>
    <x v="39"/>
    <x v="40"/>
    <x v="40"/>
    <n v="55"/>
  </r>
  <r>
    <n v="78"/>
    <x v="39"/>
    <x v="40"/>
    <x v="40"/>
    <n v="55"/>
  </r>
  <r>
    <n v="79"/>
    <x v="40"/>
    <x v="40"/>
    <x v="40"/>
    <n v="55"/>
  </r>
  <r>
    <n v="80"/>
    <x v="41"/>
    <x v="41"/>
    <x v="41"/>
    <n v="8"/>
  </r>
  <r>
    <n v="80"/>
    <x v="41"/>
    <x v="41"/>
    <x v="41"/>
    <n v="16"/>
  </r>
  <r>
    <n v="81"/>
    <x v="42"/>
    <x v="42"/>
    <x v="42"/>
    <n v="50"/>
  </r>
  <r>
    <n v="82"/>
    <x v="43"/>
    <x v="43"/>
    <x v="43"/>
    <n v="65"/>
  </r>
  <r>
    <n v="83"/>
    <x v="44"/>
    <x v="44"/>
    <x v="44"/>
    <n v="120"/>
  </r>
  <r>
    <n v="84"/>
    <x v="45"/>
    <x v="45"/>
    <x v="45"/>
    <n v="100"/>
  </r>
  <r>
    <n v="84"/>
    <x v="45"/>
    <x v="46"/>
    <x v="46"/>
    <n v="100"/>
  </r>
  <r>
    <n v="85"/>
    <x v="46"/>
    <x v="47"/>
    <x v="47"/>
    <n v="100"/>
  </r>
  <r>
    <n v="86"/>
    <x v="47"/>
    <x v="47"/>
    <x v="47"/>
    <n v="100"/>
  </r>
  <r>
    <n v="87"/>
    <x v="48"/>
    <x v="6"/>
    <x v="6"/>
    <n v="50"/>
  </r>
  <r>
    <n v="87"/>
    <x v="48"/>
    <x v="47"/>
    <x v="47"/>
    <n v="50"/>
  </r>
  <r>
    <n v="88"/>
    <x v="49"/>
    <x v="47"/>
    <x v="47"/>
    <n v="100"/>
  </r>
  <r>
    <n v="89"/>
    <x v="50"/>
    <x v="47"/>
    <x v="47"/>
    <n v="50"/>
  </r>
  <r>
    <n v="90"/>
    <x v="51"/>
    <x v="48"/>
    <x v="48"/>
    <n v="100"/>
  </r>
  <r>
    <n v="91"/>
    <x v="52"/>
    <x v="48"/>
    <x v="48"/>
    <n v="50"/>
  </r>
  <r>
    <n v="91"/>
    <x v="52"/>
    <x v="49"/>
    <x v="49"/>
    <n v="50"/>
  </r>
  <r>
    <n v="92"/>
    <x v="53"/>
    <x v="50"/>
    <x v="50"/>
    <n v="100"/>
  </r>
  <r>
    <n v="92"/>
    <x v="53"/>
    <x v="51"/>
    <x v="51"/>
    <n v="5"/>
  </r>
  <r>
    <n v="93"/>
    <x v="54"/>
    <x v="52"/>
    <x v="52"/>
    <n v="100"/>
  </r>
  <r>
    <n v="94"/>
    <x v="55"/>
    <x v="48"/>
    <x v="48"/>
    <n v="100"/>
  </r>
  <r>
    <n v="94"/>
    <x v="55"/>
    <x v="53"/>
    <x v="53"/>
    <n v="50"/>
  </r>
  <r>
    <n v="94"/>
    <x v="55"/>
    <x v="54"/>
    <x v="54"/>
    <n v="10"/>
  </r>
  <r>
    <n v="95"/>
    <x v="56"/>
    <x v="55"/>
    <x v="55"/>
    <n v="100"/>
  </r>
  <r>
    <n v="96"/>
    <x v="57"/>
    <x v="48"/>
    <x v="48"/>
    <n v="40"/>
  </r>
  <r>
    <n v="96"/>
    <x v="57"/>
    <x v="48"/>
    <x v="48"/>
    <n v="30"/>
  </r>
  <r>
    <n v="96"/>
    <x v="57"/>
    <x v="49"/>
    <x v="49"/>
    <n v="30"/>
  </r>
  <r>
    <n v="96"/>
    <x v="57"/>
    <x v="56"/>
    <x v="56"/>
    <n v="30"/>
  </r>
  <r>
    <n v="96"/>
    <x v="57"/>
    <x v="56"/>
    <x v="56"/>
    <n v="40"/>
  </r>
  <r>
    <n v="97"/>
    <x v="58"/>
    <x v="6"/>
    <x v="6"/>
    <n v="50"/>
  </r>
  <r>
    <n v="97"/>
    <x v="58"/>
    <x v="57"/>
    <x v="57"/>
    <n v="50"/>
  </r>
  <r>
    <n v="98"/>
    <x v="59"/>
    <x v="6"/>
    <x v="6"/>
    <n v="50"/>
  </r>
  <r>
    <n v="98"/>
    <x v="59"/>
    <x v="57"/>
    <x v="57"/>
    <n v="50"/>
  </r>
  <r>
    <n v="99"/>
    <x v="60"/>
    <x v="57"/>
    <x v="57"/>
    <n v="50"/>
  </r>
  <r>
    <n v="99"/>
    <x v="60"/>
    <x v="57"/>
    <x v="57"/>
    <n v="40"/>
  </r>
  <r>
    <n v="99"/>
    <x v="60"/>
    <x v="57"/>
    <x v="57"/>
    <n v="45"/>
  </r>
  <r>
    <n v="99"/>
    <x v="60"/>
    <x v="57"/>
    <x v="57"/>
    <n v="25"/>
  </r>
  <r>
    <n v="99"/>
    <x v="60"/>
    <x v="58"/>
    <x v="58"/>
    <n v="45"/>
  </r>
  <r>
    <n v="99"/>
    <x v="60"/>
    <x v="58"/>
    <x v="58"/>
    <n v="50"/>
  </r>
  <r>
    <n v="99"/>
    <x v="60"/>
    <x v="14"/>
    <x v="14"/>
    <n v="10"/>
  </r>
  <r>
    <n v="99"/>
    <x v="60"/>
    <x v="14"/>
    <x v="14"/>
    <n v="5"/>
  </r>
  <r>
    <n v="100"/>
    <x v="61"/>
    <x v="59"/>
    <x v="59"/>
    <n v="100"/>
  </r>
  <r>
    <n v="101"/>
    <x v="62"/>
    <x v="60"/>
    <x v="60"/>
    <n v="50"/>
  </r>
  <r>
    <n v="101"/>
    <x v="62"/>
    <x v="59"/>
    <x v="59"/>
    <n v="50"/>
  </r>
  <r>
    <n v="102"/>
    <x v="63"/>
    <x v="59"/>
    <x v="59"/>
    <n v="50"/>
  </r>
  <r>
    <n v="102"/>
    <x v="63"/>
    <x v="56"/>
    <x v="56"/>
    <n v="50"/>
  </r>
  <r>
    <n v="103"/>
    <x v="64"/>
    <x v="4"/>
    <x v="4"/>
    <n v="5"/>
  </r>
  <r>
    <n v="103"/>
    <x v="64"/>
    <x v="61"/>
    <x v="61"/>
    <n v="120"/>
  </r>
  <r>
    <n v="104"/>
    <x v="65"/>
    <x v="62"/>
    <x v="62"/>
    <n v="72"/>
  </r>
  <r>
    <n v="104"/>
    <x v="65"/>
    <x v="62"/>
    <x v="62"/>
    <n v="35"/>
  </r>
  <r>
    <n v="104"/>
    <x v="65"/>
    <x v="31"/>
    <x v="31"/>
    <n v="11"/>
  </r>
  <r>
    <n v="104"/>
    <x v="65"/>
    <x v="31"/>
    <x v="31"/>
    <n v="6"/>
  </r>
  <r>
    <n v="104"/>
    <x v="65"/>
    <x v="63"/>
    <x v="63"/>
    <n v="4"/>
  </r>
  <r>
    <n v="104"/>
    <x v="65"/>
    <x v="63"/>
    <x v="63"/>
    <n v="2"/>
  </r>
  <r>
    <n v="104"/>
    <x v="65"/>
    <x v="64"/>
    <x v="64"/>
    <n v="10"/>
  </r>
  <r>
    <n v="104"/>
    <x v="65"/>
    <x v="64"/>
    <x v="64"/>
    <n v="5"/>
  </r>
  <r>
    <n v="104"/>
    <x v="65"/>
    <x v="65"/>
    <x v="65"/>
    <n v="10"/>
  </r>
  <r>
    <n v="104"/>
    <x v="65"/>
    <x v="65"/>
    <x v="65"/>
    <n v="5"/>
  </r>
  <r>
    <n v="104"/>
    <x v="65"/>
    <x v="32"/>
    <x v="32"/>
    <n v="7"/>
  </r>
  <r>
    <n v="104"/>
    <x v="65"/>
    <x v="32"/>
    <x v="32"/>
    <n v="4"/>
  </r>
  <r>
    <n v="104"/>
    <x v="65"/>
    <x v="66"/>
    <x v="66"/>
    <n v="12"/>
  </r>
  <r>
    <n v="104"/>
    <x v="65"/>
    <x v="66"/>
    <x v="66"/>
    <n v="6"/>
  </r>
  <r>
    <n v="105"/>
    <x v="66"/>
    <x v="49"/>
    <x v="49"/>
    <n v="25"/>
  </r>
  <r>
    <n v="105"/>
    <x v="66"/>
    <x v="67"/>
    <x v="67"/>
    <n v="120"/>
  </r>
  <r>
    <n v="105"/>
    <x v="66"/>
    <x v="67"/>
    <x v="67"/>
    <n v="50"/>
  </r>
  <r>
    <n v="105"/>
    <x v="66"/>
    <x v="67"/>
    <x v="67"/>
    <n v="100"/>
  </r>
  <r>
    <n v="106"/>
    <x v="67"/>
    <x v="68"/>
    <x v="68"/>
    <n v="35"/>
  </r>
  <r>
    <n v="107"/>
    <x v="68"/>
    <x v="68"/>
    <x v="68"/>
    <n v="35"/>
  </r>
  <r>
    <n v="108"/>
    <x v="69"/>
    <x v="68"/>
    <x v="68"/>
    <n v="35"/>
  </r>
  <r>
    <n v="109"/>
    <x v="70"/>
    <x v="69"/>
    <x v="69"/>
    <n v="100"/>
  </r>
  <r>
    <n v="109"/>
    <x v="70"/>
    <x v="69"/>
    <x v="69"/>
    <n v="60"/>
  </r>
  <r>
    <n v="110"/>
    <x v="71"/>
    <x v="69"/>
    <x v="69"/>
    <n v="100"/>
  </r>
  <r>
    <n v="111"/>
    <x v="72"/>
    <x v="70"/>
    <x v="70"/>
    <n v="50"/>
  </r>
  <r>
    <n v="111"/>
    <x v="72"/>
    <x v="49"/>
    <x v="49"/>
    <n v="50"/>
  </r>
  <r>
    <n v="111"/>
    <x v="72"/>
    <x v="71"/>
    <x v="71"/>
    <n v="5"/>
  </r>
  <r>
    <n v="112"/>
    <x v="73"/>
    <x v="70"/>
    <x v="70"/>
    <n v="50"/>
  </r>
  <r>
    <n v="112"/>
    <x v="73"/>
    <x v="72"/>
    <x v="72"/>
    <n v="50"/>
  </r>
  <r>
    <n v="113"/>
    <x v="74"/>
    <x v="70"/>
    <x v="70"/>
    <n v="50"/>
  </r>
  <r>
    <n v="113"/>
    <x v="74"/>
    <x v="72"/>
    <x v="72"/>
    <n v="50"/>
  </r>
  <r>
    <n v="114"/>
    <x v="75"/>
    <x v="73"/>
    <x v="73"/>
    <n v="50"/>
  </r>
  <r>
    <n v="114"/>
    <x v="75"/>
    <x v="72"/>
    <x v="72"/>
    <n v="50"/>
  </r>
  <r>
    <n v="115"/>
    <x v="76"/>
    <x v="74"/>
    <x v="74"/>
    <n v="100"/>
  </r>
  <r>
    <n v="116"/>
    <x v="77"/>
    <x v="75"/>
    <x v="75"/>
    <n v="150"/>
  </r>
  <r>
    <n v="116"/>
    <x v="77"/>
    <x v="75"/>
    <x v="75"/>
    <n v="50"/>
  </r>
  <r>
    <n v="116"/>
    <x v="77"/>
    <x v="30"/>
    <x v="30"/>
    <n v="20"/>
  </r>
  <r>
    <n v="117"/>
    <x v="78"/>
    <x v="76"/>
    <x v="76"/>
    <n v="150"/>
  </r>
  <r>
    <n v="117"/>
    <x v="78"/>
    <x v="30"/>
    <x v="30"/>
    <n v="20"/>
  </r>
  <r>
    <n v="118"/>
    <x v="79"/>
    <x v="76"/>
    <x v="76"/>
    <n v="50"/>
  </r>
  <r>
    <n v="118"/>
    <x v="79"/>
    <x v="76"/>
    <x v="76"/>
    <n v="100"/>
  </r>
  <r>
    <n v="119"/>
    <x v="80"/>
    <x v="76"/>
    <x v="76"/>
    <n v="50"/>
  </r>
  <r>
    <n v="119"/>
    <x v="80"/>
    <x v="76"/>
    <x v="76"/>
    <n v="100"/>
  </r>
  <r>
    <n v="119"/>
    <x v="80"/>
    <x v="77"/>
    <x v="77"/>
    <n v="5"/>
  </r>
  <r>
    <n v="120"/>
    <x v="81"/>
    <x v="78"/>
    <x v="78"/>
    <n v="5"/>
  </r>
  <r>
    <n v="120"/>
    <x v="81"/>
    <x v="76"/>
    <x v="76"/>
    <n v="50"/>
  </r>
  <r>
    <n v="120"/>
    <x v="81"/>
    <x v="76"/>
    <x v="76"/>
    <n v="100"/>
  </r>
  <r>
    <n v="120"/>
    <x v="81"/>
    <x v="79"/>
    <x v="79"/>
    <n v="10"/>
  </r>
  <r>
    <n v="121"/>
    <x v="82"/>
    <x v="80"/>
    <x v="80"/>
    <n v="6"/>
  </r>
  <r>
    <n v="121"/>
    <x v="82"/>
    <x v="81"/>
    <x v="81"/>
    <n v="60"/>
  </r>
  <r>
    <n v="121"/>
    <x v="82"/>
    <x v="38"/>
    <x v="38"/>
    <n v="100"/>
  </r>
  <r>
    <n v="122"/>
    <x v="83"/>
    <x v="80"/>
    <x v="80"/>
    <n v="6"/>
  </r>
  <r>
    <n v="122"/>
    <x v="83"/>
    <x v="81"/>
    <x v="81"/>
    <n v="60"/>
  </r>
  <r>
    <n v="122"/>
    <x v="83"/>
    <x v="82"/>
    <x v="82"/>
    <n v="20"/>
  </r>
  <r>
    <n v="123"/>
    <x v="84"/>
    <x v="80"/>
    <x v="80"/>
    <n v="6"/>
  </r>
  <r>
    <n v="123"/>
    <x v="84"/>
    <x v="81"/>
    <x v="81"/>
    <n v="60"/>
  </r>
  <r>
    <n v="123"/>
    <x v="84"/>
    <x v="81"/>
    <x v="81"/>
    <n v="60"/>
  </r>
  <r>
    <n v="123"/>
    <x v="84"/>
    <x v="38"/>
    <x v="38"/>
    <n v="100"/>
  </r>
  <r>
    <n v="124"/>
    <x v="85"/>
    <x v="80"/>
    <x v="80"/>
    <n v="6"/>
  </r>
  <r>
    <n v="124"/>
    <x v="85"/>
    <x v="81"/>
    <x v="81"/>
    <n v="60"/>
  </r>
  <r>
    <n v="124"/>
    <x v="85"/>
    <x v="38"/>
    <x v="38"/>
    <n v="100"/>
  </r>
  <r>
    <n v="125"/>
    <x v="86"/>
    <x v="81"/>
    <x v="81"/>
    <n v="60"/>
  </r>
  <r>
    <n v="126"/>
    <x v="87"/>
    <x v="81"/>
    <x v="81"/>
    <n v="60"/>
  </r>
  <r>
    <n v="126"/>
    <x v="87"/>
    <x v="81"/>
    <x v="81"/>
    <n v="80"/>
  </r>
  <r>
    <n v="126"/>
    <x v="87"/>
    <x v="38"/>
    <x v="38"/>
    <n v="100"/>
  </r>
  <r>
    <n v="126"/>
    <x v="87"/>
    <x v="38"/>
    <x v="38"/>
    <n v="80"/>
  </r>
  <r>
    <n v="127"/>
    <x v="88"/>
    <x v="80"/>
    <x v="80"/>
    <n v="10"/>
  </r>
  <r>
    <n v="127"/>
    <x v="88"/>
    <x v="80"/>
    <x v="80"/>
    <n v="6"/>
  </r>
  <r>
    <n v="127"/>
    <x v="88"/>
    <x v="81"/>
    <x v="81"/>
    <n v="100"/>
  </r>
  <r>
    <n v="127"/>
    <x v="88"/>
    <x v="81"/>
    <x v="81"/>
    <n v="60"/>
  </r>
  <r>
    <n v="127"/>
    <x v="88"/>
    <x v="81"/>
    <x v="81"/>
    <n v="100"/>
  </r>
  <r>
    <n v="127"/>
    <x v="88"/>
    <x v="38"/>
    <x v="38"/>
    <n v="100"/>
  </r>
  <r>
    <n v="128"/>
    <x v="89"/>
    <x v="20"/>
    <x v="20"/>
    <n v="90"/>
  </r>
  <r>
    <n v="129"/>
    <x v="90"/>
    <x v="20"/>
    <x v="20"/>
    <n v="90"/>
  </r>
  <r>
    <n v="129"/>
    <x v="90"/>
    <x v="20"/>
    <x v="20"/>
    <n v="105"/>
  </r>
  <r>
    <n v="129"/>
    <x v="90"/>
    <x v="83"/>
    <x v="83"/>
    <n v="120"/>
  </r>
  <r>
    <n v="130"/>
    <x v="91"/>
    <x v="84"/>
    <x v="84"/>
    <n v="100"/>
  </r>
  <r>
    <n v="130"/>
    <x v="91"/>
    <x v="85"/>
    <x v="85"/>
    <n v="100"/>
  </r>
  <r>
    <n v="131"/>
    <x v="92"/>
    <x v="85"/>
    <x v="85"/>
    <n v="100"/>
  </r>
  <r>
    <n v="132"/>
    <x v="93"/>
    <x v="85"/>
    <x v="85"/>
    <n v="100"/>
  </r>
  <r>
    <n v="133"/>
    <x v="94"/>
    <x v="85"/>
    <x v="85"/>
    <n v="100"/>
  </r>
  <r>
    <n v="134"/>
    <x v="95"/>
    <x v="34"/>
    <x v="34"/>
    <n v="60"/>
  </r>
  <r>
    <n v="134"/>
    <x v="95"/>
    <x v="34"/>
    <x v="34"/>
    <n v="70"/>
  </r>
  <r>
    <n v="134"/>
    <x v="95"/>
    <x v="49"/>
    <x v="49"/>
    <n v="30"/>
  </r>
  <r>
    <n v="134"/>
    <x v="95"/>
    <x v="49"/>
    <x v="49"/>
    <n v="35"/>
  </r>
  <r>
    <n v="134"/>
    <x v="95"/>
    <x v="86"/>
    <x v="86"/>
    <n v="5"/>
  </r>
  <r>
    <n v="134"/>
    <x v="95"/>
    <x v="83"/>
    <x v="83"/>
    <n v="60"/>
  </r>
  <r>
    <n v="134"/>
    <x v="95"/>
    <x v="83"/>
    <x v="83"/>
    <n v="30"/>
  </r>
  <r>
    <n v="135"/>
    <x v="96"/>
    <x v="87"/>
    <x v="87"/>
    <n v="100"/>
  </r>
  <r>
    <n v="135"/>
    <x v="96"/>
    <x v="88"/>
    <x v="88"/>
    <n v="10"/>
  </r>
  <r>
    <n v="135"/>
    <x v="96"/>
    <x v="89"/>
    <x v="89"/>
    <n v="100"/>
  </r>
  <r>
    <n v="136"/>
    <x v="97"/>
    <x v="16"/>
    <x v="16"/>
    <n v="10"/>
  </r>
  <r>
    <n v="136"/>
    <x v="97"/>
    <x v="87"/>
    <x v="87"/>
    <n v="20"/>
  </r>
  <r>
    <n v="137"/>
    <x v="98"/>
    <x v="16"/>
    <x v="16"/>
    <n v="10"/>
  </r>
  <r>
    <n v="137"/>
    <x v="98"/>
    <x v="87"/>
    <x v="87"/>
    <n v="20"/>
  </r>
  <r>
    <n v="137"/>
    <x v="98"/>
    <x v="87"/>
    <x v="87"/>
    <n v="30"/>
  </r>
  <r>
    <n v="138"/>
    <x v="99"/>
    <x v="89"/>
    <x v="89"/>
    <n v="100"/>
  </r>
  <r>
    <n v="139"/>
    <x v="100"/>
    <x v="87"/>
    <x v="87"/>
    <n v="20"/>
  </r>
  <r>
    <n v="139"/>
    <x v="100"/>
    <x v="90"/>
    <x v="90"/>
    <n v="10"/>
  </r>
  <r>
    <n v="140"/>
    <x v="101"/>
    <x v="87"/>
    <x v="87"/>
    <n v="20"/>
  </r>
  <r>
    <n v="140"/>
    <x v="101"/>
    <x v="87"/>
    <x v="87"/>
    <n v="30"/>
  </r>
  <r>
    <n v="140"/>
    <x v="101"/>
    <x v="90"/>
    <x v="90"/>
    <n v="10"/>
  </r>
  <r>
    <n v="140"/>
    <x v="101"/>
    <x v="83"/>
    <x v="83"/>
    <n v="60"/>
  </r>
  <r>
    <n v="141"/>
    <x v="102"/>
    <x v="87"/>
    <x v="87"/>
    <n v="100"/>
  </r>
  <r>
    <n v="142"/>
    <x v="103"/>
    <x v="91"/>
    <x v="91"/>
    <n v="120"/>
  </r>
  <r>
    <n v="143"/>
    <x v="104"/>
    <x v="92"/>
    <x v="92"/>
    <n v="120"/>
  </r>
  <r>
    <n v="143"/>
    <x v="104"/>
    <x v="92"/>
    <x v="92"/>
    <n v="50"/>
  </r>
  <r>
    <n v="144"/>
    <x v="105"/>
    <x v="92"/>
    <x v="92"/>
    <n v="120"/>
  </r>
  <r>
    <n v="144"/>
    <x v="105"/>
    <x v="93"/>
    <x v="93"/>
    <n v="5"/>
  </r>
  <r>
    <n v="145"/>
    <x v="106"/>
    <x v="92"/>
    <x v="92"/>
    <n v="120"/>
  </r>
  <r>
    <n v="146"/>
    <x v="107"/>
    <x v="62"/>
    <x v="62"/>
    <n v="120"/>
  </r>
  <r>
    <n v="146"/>
    <x v="107"/>
    <x v="94"/>
    <x v="94"/>
    <n v="120"/>
  </r>
  <r>
    <n v="146"/>
    <x v="107"/>
    <x v="95"/>
    <x v="95"/>
    <n v="120"/>
  </r>
  <r>
    <n v="147"/>
    <x v="108"/>
    <x v="62"/>
    <x v="62"/>
    <n v="120"/>
  </r>
  <r>
    <n v="147"/>
    <x v="108"/>
    <x v="62"/>
    <x v="62"/>
    <n v="50"/>
  </r>
  <r>
    <n v="148"/>
    <x v="109"/>
    <x v="96"/>
    <x v="96"/>
    <n v="120"/>
  </r>
  <r>
    <n v="148"/>
    <x v="109"/>
    <x v="97"/>
    <x v="97"/>
    <n v="10"/>
  </r>
  <r>
    <n v="149"/>
    <x v="110"/>
    <x v="49"/>
    <x v="49"/>
    <n v="50"/>
  </r>
  <r>
    <n v="149"/>
    <x v="110"/>
    <x v="49"/>
    <x v="49"/>
    <n v="25"/>
  </r>
  <r>
    <n v="149"/>
    <x v="110"/>
    <x v="58"/>
    <x v="58"/>
    <n v="50"/>
  </r>
  <r>
    <n v="149"/>
    <x v="110"/>
    <x v="58"/>
    <x v="58"/>
    <n v="25"/>
  </r>
  <r>
    <n v="150"/>
    <x v="111"/>
    <x v="49"/>
    <x v="49"/>
    <n v="50"/>
  </r>
  <r>
    <n v="150"/>
    <x v="111"/>
    <x v="58"/>
    <x v="58"/>
    <n v="50"/>
  </r>
  <r>
    <n v="151"/>
    <x v="112"/>
    <x v="49"/>
    <x v="49"/>
    <n v="100"/>
  </r>
  <r>
    <n v="151"/>
    <x v="112"/>
    <x v="49"/>
    <x v="49"/>
    <n v="50"/>
  </r>
  <r>
    <n v="152"/>
    <x v="113"/>
    <x v="49"/>
    <x v="49"/>
    <n v="50"/>
  </r>
  <r>
    <n v="152"/>
    <x v="113"/>
    <x v="49"/>
    <x v="49"/>
    <n v="25"/>
  </r>
  <r>
    <n v="152"/>
    <x v="113"/>
    <x v="56"/>
    <x v="56"/>
    <n v="50"/>
  </r>
  <r>
    <n v="153"/>
    <x v="114"/>
    <x v="48"/>
    <x v="48"/>
    <n v="50"/>
  </r>
  <r>
    <n v="153"/>
    <x v="114"/>
    <x v="49"/>
    <x v="49"/>
    <n v="50"/>
  </r>
  <r>
    <n v="154"/>
    <x v="115"/>
    <x v="98"/>
    <x v="98"/>
    <n v="100"/>
  </r>
  <r>
    <n v="154"/>
    <x v="115"/>
    <x v="99"/>
    <x v="99"/>
    <n v="100"/>
  </r>
  <r>
    <n v="155"/>
    <x v="116"/>
    <x v="98"/>
    <x v="98"/>
    <n v="50"/>
  </r>
  <r>
    <n v="155"/>
    <x v="116"/>
    <x v="17"/>
    <x v="17"/>
    <n v="50"/>
  </r>
  <r>
    <n v="156"/>
    <x v="117"/>
    <x v="49"/>
    <x v="49"/>
    <n v="50"/>
  </r>
  <r>
    <n v="157"/>
    <x v="118"/>
    <x v="49"/>
    <x v="49"/>
    <n v="100"/>
  </r>
  <r>
    <n v="157"/>
    <x v="118"/>
    <x v="51"/>
    <x v="51"/>
    <n v="5"/>
  </r>
  <r>
    <n v="158"/>
    <x v="119"/>
    <x v="49"/>
    <x v="49"/>
    <n v="30"/>
  </r>
  <r>
    <n v="158"/>
    <x v="119"/>
    <x v="49"/>
    <x v="49"/>
    <n v="40"/>
  </r>
  <r>
    <n v="158"/>
    <x v="119"/>
    <x v="58"/>
    <x v="58"/>
    <n v="30"/>
  </r>
  <r>
    <n v="158"/>
    <x v="119"/>
    <x v="58"/>
    <x v="58"/>
    <n v="40"/>
  </r>
  <r>
    <n v="158"/>
    <x v="119"/>
    <x v="56"/>
    <x v="56"/>
    <n v="30"/>
  </r>
  <r>
    <n v="159"/>
    <x v="120"/>
    <x v="80"/>
    <x v="80"/>
    <n v="20"/>
  </r>
  <r>
    <n v="159"/>
    <x v="120"/>
    <x v="100"/>
    <x v="100"/>
    <n v="160"/>
  </r>
  <r>
    <n v="159"/>
    <x v="120"/>
    <x v="101"/>
    <x v="101"/>
    <n v="160"/>
  </r>
  <r>
    <n v="160"/>
    <x v="121"/>
    <x v="102"/>
    <x v="102"/>
    <n v="160"/>
  </r>
  <r>
    <n v="161"/>
    <x v="122"/>
    <x v="103"/>
    <x v="103"/>
    <n v="160"/>
  </r>
  <r>
    <n v="162"/>
    <x v="123"/>
    <x v="49"/>
    <x v="49"/>
    <n v="50"/>
  </r>
  <r>
    <n v="162"/>
    <x v="123"/>
    <x v="58"/>
    <x v="58"/>
    <n v="50"/>
  </r>
  <r>
    <n v="163"/>
    <x v="124"/>
    <x v="9"/>
    <x v="9"/>
    <n v="5"/>
  </r>
  <r>
    <n v="163"/>
    <x v="124"/>
    <x v="58"/>
    <x v="58"/>
    <n v="80"/>
  </r>
  <r>
    <n v="163"/>
    <x v="124"/>
    <x v="58"/>
    <x v="58"/>
    <n v="75"/>
  </r>
  <r>
    <n v="163"/>
    <x v="124"/>
    <x v="104"/>
    <x v="104"/>
    <n v="30"/>
  </r>
  <r>
    <n v="163"/>
    <x v="124"/>
    <x v="104"/>
    <x v="104"/>
    <n v="20"/>
  </r>
  <r>
    <n v="164"/>
    <x v="125"/>
    <x v="58"/>
    <x v="58"/>
    <n v="100"/>
  </r>
  <r>
    <n v="164"/>
    <x v="125"/>
    <x v="77"/>
    <x v="77"/>
    <n v="5"/>
  </r>
  <r>
    <n v="165"/>
    <x v="126"/>
    <x v="58"/>
    <x v="58"/>
    <n v="50"/>
  </r>
  <r>
    <n v="165"/>
    <x v="126"/>
    <x v="105"/>
    <x v="105"/>
    <n v="50"/>
  </r>
  <r>
    <n v="166"/>
    <x v="127"/>
    <x v="9"/>
    <x v="9"/>
    <n v="10"/>
  </r>
  <r>
    <n v="166"/>
    <x v="127"/>
    <x v="9"/>
    <x v="9"/>
    <n v="5"/>
  </r>
  <r>
    <n v="166"/>
    <x v="127"/>
    <x v="58"/>
    <x v="58"/>
    <n v="85"/>
  </r>
  <r>
    <n v="166"/>
    <x v="127"/>
    <x v="58"/>
    <x v="58"/>
    <n v="80"/>
  </r>
  <r>
    <n v="166"/>
    <x v="127"/>
    <x v="58"/>
    <x v="58"/>
    <n v="100"/>
  </r>
  <r>
    <n v="166"/>
    <x v="127"/>
    <x v="106"/>
    <x v="106"/>
    <n v="10"/>
  </r>
  <r>
    <n v="166"/>
    <x v="127"/>
    <x v="107"/>
    <x v="107"/>
    <n v="15"/>
  </r>
  <r>
    <n v="166"/>
    <x v="127"/>
    <x v="107"/>
    <x v="107"/>
    <n v="20"/>
  </r>
  <r>
    <n v="167"/>
    <x v="128"/>
    <x v="58"/>
    <x v="58"/>
    <n v="100"/>
  </r>
  <r>
    <n v="168"/>
    <x v="129"/>
    <x v="58"/>
    <x v="58"/>
    <n v="100"/>
  </r>
  <r>
    <n v="169"/>
    <x v="130"/>
    <x v="108"/>
    <x v="108"/>
    <n v="100"/>
  </r>
  <r>
    <n v="170"/>
    <x v="131"/>
    <x v="58"/>
    <x v="58"/>
    <n v="75"/>
  </r>
  <r>
    <n v="170"/>
    <x v="131"/>
    <x v="53"/>
    <x v="53"/>
    <n v="15"/>
  </r>
  <r>
    <n v="171"/>
    <x v="132"/>
    <x v="58"/>
    <x v="58"/>
    <n v="100"/>
  </r>
  <r>
    <n v="172"/>
    <x v="133"/>
    <x v="58"/>
    <x v="58"/>
    <n v="100"/>
  </r>
  <r>
    <n v="172"/>
    <x v="133"/>
    <x v="109"/>
    <x v="109"/>
    <n v="100"/>
  </r>
  <r>
    <n v="173"/>
    <x v="134"/>
    <x v="4"/>
    <x v="4"/>
    <n v="5"/>
  </r>
  <r>
    <n v="173"/>
    <x v="134"/>
    <x v="9"/>
    <x v="9"/>
    <n v="5"/>
  </r>
  <r>
    <n v="173"/>
    <x v="134"/>
    <x v="109"/>
    <x v="109"/>
    <n v="80"/>
  </r>
  <r>
    <n v="173"/>
    <x v="134"/>
    <x v="106"/>
    <x v="106"/>
    <n v="10"/>
  </r>
  <r>
    <n v="174"/>
    <x v="135"/>
    <x v="109"/>
    <x v="109"/>
    <n v="100"/>
  </r>
  <r>
    <n v="174"/>
    <x v="135"/>
    <x v="77"/>
    <x v="77"/>
    <n v="5"/>
  </r>
  <r>
    <n v="175"/>
    <x v="136"/>
    <x v="110"/>
    <x v="110"/>
    <n v="30"/>
  </r>
  <r>
    <n v="175"/>
    <x v="136"/>
    <x v="11"/>
    <x v="11"/>
    <n v="70"/>
  </r>
  <r>
    <n v="175"/>
    <x v="136"/>
    <x v="11"/>
    <x v="11"/>
    <n v="30"/>
  </r>
  <r>
    <n v="176"/>
    <x v="137"/>
    <x v="72"/>
    <x v="72"/>
    <n v="100"/>
  </r>
  <r>
    <n v="177"/>
    <x v="138"/>
    <x v="111"/>
    <x v="111"/>
    <n v="100"/>
  </r>
  <r>
    <n v="178"/>
    <x v="139"/>
    <x v="112"/>
    <x v="112"/>
    <n v="55"/>
  </r>
  <r>
    <n v="178"/>
    <x v="139"/>
    <x v="38"/>
    <x v="38"/>
    <n v="85"/>
  </r>
  <r>
    <n v="179"/>
    <x v="140"/>
    <x v="62"/>
    <x v="62"/>
    <n v="60"/>
  </r>
  <r>
    <n v="179"/>
    <x v="140"/>
    <x v="112"/>
    <x v="112"/>
    <n v="65"/>
  </r>
  <r>
    <n v="179"/>
    <x v="140"/>
    <x v="112"/>
    <x v="112"/>
    <n v="90"/>
  </r>
  <r>
    <n v="179"/>
    <x v="140"/>
    <x v="38"/>
    <x v="38"/>
    <n v="100"/>
  </r>
  <r>
    <n v="179"/>
    <x v="140"/>
    <x v="38"/>
    <x v="38"/>
    <n v="135"/>
  </r>
  <r>
    <n v="179"/>
    <x v="140"/>
    <x v="113"/>
    <x v="113"/>
    <n v="5"/>
  </r>
  <r>
    <n v="179"/>
    <x v="140"/>
    <x v="113"/>
    <x v="113"/>
    <n v="6.6"/>
  </r>
  <r>
    <n v="179"/>
    <x v="140"/>
    <x v="114"/>
    <x v="114"/>
    <n v="8"/>
  </r>
  <r>
    <n v="179"/>
    <x v="140"/>
    <x v="114"/>
    <x v="114"/>
    <n v="11"/>
  </r>
  <r>
    <n v="180"/>
    <x v="141"/>
    <x v="115"/>
    <x v="115"/>
    <n v="100"/>
  </r>
  <r>
    <n v="181"/>
    <x v="142"/>
    <x v="116"/>
    <x v="116"/>
    <n v="120"/>
  </r>
  <r>
    <n v="182"/>
    <x v="143"/>
    <x v="116"/>
    <x v="116"/>
    <n v="120"/>
  </r>
  <r>
    <n v="182"/>
    <x v="143"/>
    <x v="117"/>
    <x v="117"/>
    <n v="20"/>
  </r>
  <r>
    <n v="183"/>
    <x v="144"/>
    <x v="116"/>
    <x v="116"/>
    <n v="120"/>
  </r>
  <r>
    <n v="183"/>
    <x v="144"/>
    <x v="116"/>
    <x v="116"/>
    <n v="50"/>
  </r>
  <r>
    <n v="183"/>
    <x v="144"/>
    <x v="116"/>
    <x v="116"/>
    <n v="100"/>
  </r>
  <r>
    <n v="183"/>
    <x v="144"/>
    <x v="117"/>
    <x v="117"/>
    <n v="20"/>
  </r>
  <r>
    <n v="184"/>
    <x v="145"/>
    <x v="118"/>
    <x v="118"/>
    <n v="80"/>
  </r>
  <r>
    <n v="185"/>
    <x v="146"/>
    <x v="119"/>
    <x v="119"/>
    <n v="180"/>
  </r>
  <r>
    <n v="185"/>
    <x v="146"/>
    <x v="119"/>
    <x v="119"/>
    <n v="50"/>
  </r>
  <r>
    <n v="185"/>
    <x v="146"/>
    <x v="119"/>
    <x v="119"/>
    <n v="100"/>
  </r>
  <r>
    <n v="186"/>
    <x v="147"/>
    <x v="20"/>
    <x v="20"/>
    <n v="70"/>
  </r>
  <r>
    <n v="186"/>
    <x v="147"/>
    <x v="62"/>
    <x v="62"/>
    <n v="70"/>
  </r>
  <r>
    <n v="187"/>
    <x v="148"/>
    <x v="120"/>
    <x v="120"/>
    <n v="100"/>
  </r>
  <r>
    <n v="188"/>
    <x v="149"/>
    <x v="121"/>
    <x v="121"/>
    <n v="100"/>
  </r>
  <r>
    <n v="189"/>
    <x v="150"/>
    <x v="122"/>
    <x v="122"/>
    <n v="100"/>
  </r>
  <r>
    <n v="189"/>
    <x v="150"/>
    <x v="122"/>
    <x v="122"/>
    <n v="100"/>
  </r>
  <r>
    <n v="189"/>
    <x v="150"/>
    <x v="30"/>
    <x v="30"/>
    <n v="20"/>
  </r>
  <r>
    <n v="190"/>
    <x v="151"/>
    <x v="41"/>
    <x v="41"/>
    <n v="5"/>
  </r>
  <r>
    <n v="190"/>
    <x v="151"/>
    <x v="122"/>
    <x v="122"/>
    <n v="100"/>
  </r>
  <r>
    <n v="190"/>
    <x v="151"/>
    <x v="123"/>
    <x v="123"/>
    <n v="5"/>
  </r>
  <r>
    <n v="190"/>
    <x v="151"/>
    <x v="124"/>
    <x v="124"/>
    <n v="5"/>
  </r>
  <r>
    <n v="191"/>
    <x v="152"/>
    <x v="125"/>
    <x v="125"/>
    <n v="100"/>
  </r>
  <r>
    <n v="192"/>
    <x v="153"/>
    <x v="1"/>
    <x v="1"/>
    <n v="15"/>
  </r>
  <r>
    <n v="192"/>
    <x v="153"/>
    <x v="1"/>
    <x v="1"/>
    <n v="10"/>
  </r>
  <r>
    <n v="192"/>
    <x v="153"/>
    <x v="1"/>
    <x v="1"/>
    <n v="5"/>
  </r>
  <r>
    <n v="192"/>
    <x v="153"/>
    <x v="126"/>
    <x v="126"/>
    <n v="15"/>
  </r>
  <r>
    <n v="192"/>
    <x v="153"/>
    <x v="126"/>
    <x v="126"/>
    <n v="10"/>
  </r>
  <r>
    <n v="192"/>
    <x v="153"/>
    <x v="126"/>
    <x v="126"/>
    <n v="5"/>
  </r>
  <r>
    <n v="192"/>
    <x v="153"/>
    <x v="127"/>
    <x v="127"/>
    <n v="50"/>
  </r>
  <r>
    <n v="192"/>
    <x v="153"/>
    <x v="128"/>
    <x v="128"/>
    <n v="10"/>
  </r>
  <r>
    <n v="192"/>
    <x v="153"/>
    <x v="128"/>
    <x v="128"/>
    <n v="5"/>
  </r>
  <r>
    <n v="192"/>
    <x v="153"/>
    <x v="129"/>
    <x v="129"/>
    <n v="5"/>
  </r>
  <r>
    <n v="193"/>
    <x v="154"/>
    <x v="84"/>
    <x v="84"/>
    <n v="100"/>
  </r>
  <r>
    <n v="193"/>
    <x v="154"/>
    <x v="84"/>
    <x v="84"/>
    <n v="40"/>
  </r>
  <r>
    <n v="193"/>
    <x v="154"/>
    <x v="130"/>
    <x v="130"/>
    <n v="40"/>
  </r>
  <r>
    <n v="193"/>
    <x v="154"/>
    <x v="84"/>
    <x v="84"/>
    <n v="40"/>
  </r>
  <r>
    <n v="194"/>
    <x v="155"/>
    <x v="84"/>
    <x v="84"/>
    <n v="100"/>
  </r>
  <r>
    <n v="195"/>
    <x v="156"/>
    <x v="84"/>
    <x v="84"/>
    <n v="100"/>
  </r>
  <r>
    <n v="195"/>
    <x v="156"/>
    <x v="85"/>
    <x v="85"/>
    <n v="100"/>
  </r>
  <r>
    <n v="196"/>
    <x v="157"/>
    <x v="84"/>
    <x v="84"/>
    <n v="40"/>
  </r>
  <r>
    <n v="197"/>
    <x v="158"/>
    <x v="131"/>
    <x v="131"/>
    <n v="100"/>
  </r>
  <r>
    <n v="197"/>
    <x v="158"/>
    <x v="131"/>
    <x v="131"/>
    <n v="40"/>
  </r>
  <r>
    <n v="198"/>
    <x v="159"/>
    <x v="130"/>
    <x v="130"/>
    <n v="40"/>
  </r>
  <r>
    <n v="198"/>
    <x v="159"/>
    <x v="131"/>
    <x v="131"/>
    <n v="40"/>
  </r>
  <r>
    <n v="198"/>
    <x v="159"/>
    <x v="131"/>
    <x v="131"/>
    <n v="100"/>
  </r>
  <r>
    <n v="198"/>
    <x v="159"/>
    <x v="131"/>
    <x v="131"/>
    <n v="40"/>
  </r>
  <r>
    <n v="198"/>
    <x v="159"/>
    <x v="131"/>
    <x v="131"/>
    <n v="100"/>
  </r>
  <r>
    <n v="198"/>
    <x v="159"/>
    <x v="131"/>
    <x v="131"/>
    <n v="40"/>
  </r>
  <r>
    <n v="198"/>
    <x v="159"/>
    <x v="131"/>
    <x v="131"/>
    <n v="100"/>
  </r>
  <r>
    <n v="198"/>
    <x v="159"/>
    <x v="131"/>
    <x v="131"/>
    <n v="40"/>
  </r>
  <r>
    <n v="199"/>
    <x v="160"/>
    <x v="131"/>
    <x v="131"/>
    <n v="100"/>
  </r>
  <r>
    <n v="199"/>
    <x v="160"/>
    <x v="131"/>
    <x v="131"/>
    <n v="100"/>
  </r>
  <r>
    <n v="200"/>
    <x v="161"/>
    <x v="131"/>
    <x v="131"/>
    <n v="100"/>
  </r>
  <r>
    <n v="201"/>
    <x v="162"/>
    <x v="84"/>
    <x v="84"/>
    <n v="100"/>
  </r>
  <r>
    <n v="202"/>
    <x v="163"/>
    <x v="33"/>
    <x v="33"/>
    <n v="120"/>
  </r>
  <r>
    <n v="202"/>
    <x v="163"/>
    <x v="83"/>
    <x v="83"/>
    <n v="120"/>
  </r>
  <r>
    <n v="203"/>
    <x v="164"/>
    <x v="132"/>
    <x v="132"/>
    <n v="1"/>
  </r>
  <r>
    <n v="203"/>
    <x v="164"/>
    <x v="133"/>
    <x v="133"/>
    <n v="120"/>
  </r>
  <r>
    <n v="203"/>
    <x v="164"/>
    <x v="133"/>
    <x v="133"/>
    <n v="50"/>
  </r>
  <r>
    <n v="203"/>
    <x v="164"/>
    <x v="133"/>
    <x v="133"/>
    <n v="100"/>
  </r>
  <r>
    <n v="203"/>
    <x v="164"/>
    <x v="134"/>
    <x v="134"/>
    <n v="1"/>
  </r>
  <r>
    <n v="203"/>
    <x v="164"/>
    <x v="135"/>
    <x v="135"/>
    <n v="1"/>
  </r>
  <r>
    <n v="204"/>
    <x v="165"/>
    <x v="136"/>
    <x v="136"/>
    <n v="120"/>
  </r>
  <r>
    <n v="205"/>
    <x v="166"/>
    <x v="137"/>
    <x v="137"/>
    <n v="10"/>
  </r>
  <r>
    <n v="205"/>
    <x v="166"/>
    <x v="138"/>
    <x v="138"/>
    <n v="120"/>
  </r>
  <r>
    <n v="205"/>
    <x v="166"/>
    <x v="138"/>
    <x v="138"/>
    <n v="50"/>
  </r>
  <r>
    <n v="206"/>
    <x v="167"/>
    <x v="139"/>
    <x v="139"/>
    <n v="150"/>
  </r>
  <r>
    <n v="206"/>
    <x v="167"/>
    <x v="139"/>
    <x v="139"/>
    <n v="50"/>
  </r>
  <r>
    <n v="206"/>
    <x v="167"/>
    <x v="139"/>
    <x v="139"/>
    <n v="100"/>
  </r>
  <r>
    <n v="207"/>
    <x v="168"/>
    <x v="83"/>
    <x v="83"/>
    <n v="120"/>
  </r>
  <r>
    <n v="207"/>
    <x v="168"/>
    <x v="83"/>
    <x v="83"/>
    <n v="120"/>
  </r>
  <r>
    <n v="208"/>
    <x v="169"/>
    <x v="140"/>
    <x v="140"/>
    <n v="120"/>
  </r>
  <r>
    <n v="209"/>
    <x v="170"/>
    <x v="83"/>
    <x v="83"/>
    <n v="120"/>
  </r>
  <r>
    <n v="210"/>
    <x v="171"/>
    <x v="141"/>
    <x v="141"/>
    <n v="50"/>
  </r>
  <r>
    <n v="210"/>
    <x v="171"/>
    <x v="141"/>
    <x v="141"/>
    <n v="100"/>
  </r>
  <r>
    <n v="211"/>
    <x v="172"/>
    <x v="142"/>
    <x v="142"/>
    <n v="120"/>
  </r>
  <r>
    <n v="211"/>
    <x v="172"/>
    <x v="143"/>
    <x v="143"/>
    <n v="50"/>
  </r>
  <r>
    <n v="211"/>
    <x v="172"/>
    <x v="143"/>
    <x v="143"/>
    <n v="100"/>
  </r>
  <r>
    <n v="212"/>
    <x v="173"/>
    <x v="144"/>
    <x v="144"/>
    <n v="4"/>
  </r>
  <r>
    <n v="213"/>
    <x v="174"/>
    <x v="144"/>
    <x v="144"/>
    <n v="4"/>
  </r>
  <r>
    <n v="214"/>
    <x v="175"/>
    <x v="145"/>
    <x v="145"/>
    <n v="4"/>
  </r>
  <r>
    <n v="215"/>
    <x v="176"/>
    <x v="146"/>
    <x v="146"/>
    <n v="4"/>
  </r>
  <r>
    <n v="216"/>
    <x v="177"/>
    <x v="147"/>
    <x v="147"/>
    <n v="4"/>
  </r>
  <r>
    <n v="217"/>
    <x v="178"/>
    <x v="148"/>
    <x v="148"/>
    <n v="4"/>
  </r>
  <r>
    <n v="218"/>
    <x v="179"/>
    <x v="149"/>
    <x v="149"/>
    <n v="80"/>
  </r>
  <r>
    <n v="219"/>
    <x v="180"/>
    <x v="150"/>
    <x v="150"/>
    <n v="8"/>
  </r>
  <r>
    <n v="219"/>
    <x v="180"/>
    <x v="151"/>
    <x v="151"/>
    <n v="80"/>
  </r>
  <r>
    <n v="220"/>
    <x v="181"/>
    <x v="152"/>
    <x v="152"/>
    <n v="80"/>
  </r>
  <r>
    <n v="221"/>
    <x v="182"/>
    <x v="153"/>
    <x v="153"/>
    <n v="80"/>
  </r>
  <r>
    <n v="222"/>
    <x v="183"/>
    <x v="154"/>
    <x v="154"/>
    <n v="80"/>
  </r>
  <r>
    <n v="223"/>
    <x v="184"/>
    <x v="154"/>
    <x v="154"/>
    <n v="80"/>
  </r>
  <r>
    <n v="224"/>
    <x v="185"/>
    <x v="80"/>
    <x v="80"/>
    <n v="6"/>
  </r>
  <r>
    <n v="224"/>
    <x v="185"/>
    <x v="154"/>
    <x v="154"/>
    <n v="80"/>
  </r>
  <r>
    <n v="225"/>
    <x v="186"/>
    <x v="155"/>
    <x v="155"/>
    <n v="180"/>
  </r>
  <r>
    <n v="226"/>
    <x v="187"/>
    <x v="75"/>
    <x v="75"/>
    <n v="150"/>
  </r>
  <r>
    <n v="227"/>
    <x v="188"/>
    <x v="105"/>
    <x v="105"/>
    <n v="50"/>
  </r>
  <r>
    <n v="228"/>
    <x v="189"/>
    <x v="105"/>
    <x v="105"/>
    <n v="100"/>
  </r>
  <r>
    <n v="229"/>
    <x v="190"/>
    <x v="47"/>
    <x v="47"/>
    <n v="50"/>
  </r>
  <r>
    <n v="229"/>
    <x v="190"/>
    <x v="105"/>
    <x v="105"/>
    <n v="50"/>
  </r>
  <r>
    <n v="230"/>
    <x v="191"/>
    <x v="105"/>
    <x v="105"/>
    <n v="100"/>
  </r>
  <r>
    <n v="231"/>
    <x v="192"/>
    <x v="33"/>
    <x v="33"/>
    <n v="120"/>
  </r>
  <r>
    <n v="231"/>
    <x v="192"/>
    <x v="18"/>
    <x v="18"/>
    <n v="10"/>
  </r>
  <r>
    <n v="232"/>
    <x v="193"/>
    <x v="31"/>
    <x v="31"/>
    <n v="10"/>
  </r>
  <r>
    <n v="232"/>
    <x v="193"/>
    <x v="33"/>
    <x v="33"/>
    <n v="120"/>
  </r>
  <r>
    <n v="232"/>
    <x v="193"/>
    <x v="33"/>
    <x v="33"/>
    <n v="50"/>
  </r>
  <r>
    <n v="232"/>
    <x v="193"/>
    <x v="33"/>
    <x v="33"/>
    <n v="100"/>
  </r>
  <r>
    <n v="232"/>
    <x v="193"/>
    <x v="13"/>
    <x v="13"/>
    <n v="10"/>
  </r>
  <r>
    <n v="232"/>
    <x v="193"/>
    <x v="18"/>
    <x v="18"/>
    <n v="10"/>
  </r>
  <r>
    <n v="233"/>
    <x v="194"/>
    <x v="138"/>
    <x v="138"/>
    <n v="120"/>
  </r>
  <r>
    <n v="234"/>
    <x v="195"/>
    <x v="61"/>
    <x v="61"/>
    <n v="120"/>
  </r>
  <r>
    <n v="234"/>
    <x v="195"/>
    <x v="61"/>
    <x v="61"/>
    <n v="50"/>
  </r>
  <r>
    <n v="234"/>
    <x v="195"/>
    <x v="31"/>
    <x v="31"/>
    <n v="10"/>
  </r>
  <r>
    <n v="234"/>
    <x v="195"/>
    <x v="31"/>
    <x v="31"/>
    <n v="5"/>
  </r>
  <r>
    <n v="234"/>
    <x v="195"/>
    <x v="13"/>
    <x v="13"/>
    <n v="10"/>
  </r>
  <r>
    <n v="234"/>
    <x v="195"/>
    <x v="66"/>
    <x v="66"/>
    <n v="10"/>
  </r>
  <r>
    <n v="234"/>
    <x v="195"/>
    <x v="66"/>
    <x v="66"/>
    <n v="5"/>
  </r>
  <r>
    <n v="235"/>
    <x v="196"/>
    <x v="61"/>
    <x v="61"/>
    <n v="120"/>
  </r>
  <r>
    <n v="236"/>
    <x v="197"/>
    <x v="83"/>
    <x v="83"/>
    <n v="120"/>
  </r>
  <r>
    <n v="237"/>
    <x v="198"/>
    <x v="31"/>
    <x v="31"/>
    <n v="5"/>
  </r>
  <r>
    <n v="237"/>
    <x v="198"/>
    <x v="33"/>
    <x v="33"/>
    <n v="50"/>
  </r>
  <r>
    <n v="237"/>
    <x v="198"/>
    <x v="33"/>
    <x v="33"/>
    <n v="100"/>
  </r>
  <r>
    <n v="237"/>
    <x v="198"/>
    <x v="13"/>
    <x v="13"/>
    <n v="5"/>
  </r>
  <r>
    <n v="237"/>
    <x v="198"/>
    <x v="66"/>
    <x v="66"/>
    <n v="5"/>
  </r>
  <r>
    <n v="238"/>
    <x v="199"/>
    <x v="31"/>
    <x v="31"/>
    <n v="10"/>
  </r>
  <r>
    <n v="238"/>
    <x v="199"/>
    <x v="83"/>
    <x v="83"/>
    <n v="120"/>
  </r>
  <r>
    <n v="238"/>
    <x v="199"/>
    <x v="83"/>
    <x v="83"/>
    <n v="50"/>
  </r>
  <r>
    <n v="238"/>
    <x v="199"/>
    <x v="83"/>
    <x v="83"/>
    <n v="100"/>
  </r>
  <r>
    <n v="239"/>
    <x v="200"/>
    <x v="156"/>
    <x v="156"/>
    <n v="100"/>
  </r>
  <r>
    <n v="240"/>
    <x v="201"/>
    <x v="156"/>
    <x v="156"/>
    <n v="100"/>
  </r>
  <r>
    <n v="241"/>
    <x v="202"/>
    <x v="157"/>
    <x v="157"/>
    <n v="120"/>
  </r>
  <r>
    <n v="241"/>
    <x v="202"/>
    <x v="157"/>
    <x v="157"/>
    <n v="50"/>
  </r>
  <r>
    <n v="242"/>
    <x v="203"/>
    <x v="157"/>
    <x v="157"/>
    <n v="120"/>
  </r>
  <r>
    <n v="243"/>
    <x v="204"/>
    <x v="157"/>
    <x v="157"/>
    <n v="120"/>
  </r>
  <r>
    <n v="243"/>
    <x v="204"/>
    <x v="157"/>
    <x v="157"/>
    <n v="50"/>
  </r>
  <r>
    <n v="244"/>
    <x v="205"/>
    <x v="49"/>
    <x v="49"/>
    <n v="10"/>
  </r>
  <r>
    <n v="244"/>
    <x v="205"/>
    <x v="157"/>
    <x v="157"/>
    <n v="120"/>
  </r>
  <r>
    <n v="244"/>
    <x v="205"/>
    <x v="158"/>
    <x v="158"/>
    <n v="10"/>
  </r>
  <r>
    <n v="245"/>
    <x v="206"/>
    <x v="137"/>
    <x v="137"/>
    <n v="200"/>
  </r>
  <r>
    <n v="246"/>
    <x v="207"/>
    <x v="137"/>
    <x v="137"/>
    <n v="200"/>
  </r>
  <r>
    <n v="247"/>
    <x v="208"/>
    <x v="150"/>
    <x v="150"/>
    <n v="8"/>
  </r>
  <r>
    <n v="247"/>
    <x v="208"/>
    <x v="159"/>
    <x v="159"/>
    <n v="150"/>
  </r>
  <r>
    <n v="247"/>
    <x v="208"/>
    <x v="159"/>
    <x v="159"/>
    <n v="200"/>
  </r>
  <r>
    <n v="248"/>
    <x v="209"/>
    <x v="137"/>
    <x v="137"/>
    <n v="200"/>
  </r>
  <r>
    <n v="249"/>
    <x v="210"/>
    <x v="160"/>
    <x v="160"/>
    <n v="50"/>
  </r>
  <r>
    <n v="249"/>
    <x v="210"/>
    <x v="160"/>
    <x v="160"/>
    <n v="180"/>
  </r>
  <r>
    <n v="250"/>
    <x v="211"/>
    <x v="48"/>
    <x v="48"/>
    <n v="40"/>
  </r>
  <r>
    <n v="250"/>
    <x v="211"/>
    <x v="49"/>
    <x v="49"/>
    <n v="50"/>
  </r>
  <r>
    <n v="250"/>
    <x v="211"/>
    <x v="49"/>
    <x v="49"/>
    <n v="30"/>
  </r>
  <r>
    <n v="250"/>
    <x v="211"/>
    <x v="58"/>
    <x v="58"/>
    <n v="50"/>
  </r>
  <r>
    <n v="250"/>
    <x v="211"/>
    <x v="56"/>
    <x v="56"/>
    <n v="30"/>
  </r>
  <r>
    <n v="251"/>
    <x v="212"/>
    <x v="48"/>
    <x v="48"/>
    <n v="40"/>
  </r>
  <r>
    <n v="251"/>
    <x v="212"/>
    <x v="48"/>
    <x v="48"/>
    <n v="20"/>
  </r>
  <r>
    <n v="251"/>
    <x v="212"/>
    <x v="49"/>
    <x v="49"/>
    <n v="30"/>
  </r>
  <r>
    <n v="251"/>
    <x v="212"/>
    <x v="49"/>
    <x v="49"/>
    <n v="20"/>
  </r>
  <r>
    <n v="251"/>
    <x v="212"/>
    <x v="58"/>
    <x v="58"/>
    <n v="30"/>
  </r>
  <r>
    <n v="251"/>
    <x v="212"/>
    <x v="58"/>
    <x v="58"/>
    <n v="10"/>
  </r>
  <r>
    <n v="252"/>
    <x v="213"/>
    <x v="48"/>
    <x v="48"/>
    <n v="40"/>
  </r>
  <r>
    <n v="252"/>
    <x v="213"/>
    <x v="9"/>
    <x v="9"/>
    <n v="5"/>
  </r>
  <r>
    <n v="252"/>
    <x v="213"/>
    <x v="49"/>
    <x v="49"/>
    <n v="30"/>
  </r>
  <r>
    <n v="252"/>
    <x v="213"/>
    <x v="56"/>
    <x v="56"/>
    <n v="30"/>
  </r>
  <r>
    <n v="253"/>
    <x v="214"/>
    <x v="49"/>
    <x v="49"/>
    <n v="25"/>
  </r>
  <r>
    <n v="253"/>
    <x v="214"/>
    <x v="58"/>
    <x v="58"/>
    <n v="25"/>
  </r>
  <r>
    <n v="254"/>
    <x v="215"/>
    <x v="48"/>
    <x v="48"/>
    <n v="40"/>
  </r>
  <r>
    <n v="254"/>
    <x v="215"/>
    <x v="49"/>
    <x v="49"/>
    <n v="40"/>
  </r>
  <r>
    <n v="254"/>
    <x v="215"/>
    <x v="49"/>
    <x v="49"/>
    <n v="30"/>
  </r>
  <r>
    <n v="254"/>
    <x v="215"/>
    <x v="58"/>
    <x v="58"/>
    <n v="20"/>
  </r>
  <r>
    <n v="254"/>
    <x v="215"/>
    <x v="58"/>
    <x v="58"/>
    <n v="30"/>
  </r>
  <r>
    <n v="255"/>
    <x v="216"/>
    <x v="49"/>
    <x v="49"/>
    <n v="30"/>
  </r>
  <r>
    <n v="255"/>
    <x v="216"/>
    <x v="49"/>
    <x v="49"/>
    <n v="40"/>
  </r>
  <r>
    <n v="255"/>
    <x v="216"/>
    <x v="49"/>
    <x v="49"/>
    <n v="15"/>
  </r>
  <r>
    <n v="255"/>
    <x v="216"/>
    <x v="58"/>
    <x v="58"/>
    <n v="40"/>
  </r>
  <r>
    <n v="255"/>
    <x v="216"/>
    <x v="58"/>
    <x v="58"/>
    <n v="30"/>
  </r>
  <r>
    <n v="255"/>
    <x v="216"/>
    <x v="58"/>
    <x v="58"/>
    <n v="20"/>
  </r>
  <r>
    <n v="255"/>
    <x v="216"/>
    <x v="71"/>
    <x v="71"/>
    <n v="5"/>
  </r>
  <r>
    <n v="255"/>
    <x v="216"/>
    <x v="51"/>
    <x v="51"/>
    <n v="5"/>
  </r>
  <r>
    <n v="255"/>
    <x v="216"/>
    <x v="56"/>
    <x v="56"/>
    <n v="30"/>
  </r>
  <r>
    <n v="255"/>
    <x v="216"/>
    <x v="56"/>
    <x v="56"/>
    <n v="15"/>
  </r>
  <r>
    <n v="256"/>
    <x v="217"/>
    <x v="161"/>
    <x v="161"/>
    <n v="20"/>
  </r>
  <r>
    <n v="256"/>
    <x v="217"/>
    <x v="39"/>
    <x v="39"/>
    <n v="20"/>
  </r>
  <r>
    <n v="257"/>
    <x v="218"/>
    <x v="162"/>
    <x v="162"/>
    <n v="120"/>
  </r>
  <r>
    <n v="258"/>
    <x v="219"/>
    <x v="163"/>
    <x v="163"/>
    <n v="120"/>
  </r>
  <r>
    <n v="258"/>
    <x v="219"/>
    <x v="164"/>
    <x v="164"/>
    <n v="120"/>
  </r>
  <r>
    <n v="258"/>
    <x v="219"/>
    <x v="162"/>
    <x v="162"/>
    <n v="120"/>
  </r>
  <r>
    <n v="258"/>
    <x v="219"/>
    <x v="162"/>
    <x v="162"/>
    <n v="150"/>
  </r>
  <r>
    <n v="259"/>
    <x v="220"/>
    <x v="165"/>
    <x v="165"/>
    <n v="100"/>
  </r>
  <r>
    <n v="259"/>
    <x v="220"/>
    <x v="134"/>
    <x v="134"/>
    <n v="1"/>
  </r>
  <r>
    <n v="259"/>
    <x v="220"/>
    <x v="166"/>
    <x v="166"/>
    <n v="20"/>
  </r>
  <r>
    <n v="260"/>
    <x v="221"/>
    <x v="165"/>
    <x v="165"/>
    <n v="100"/>
  </r>
  <r>
    <n v="260"/>
    <x v="221"/>
    <x v="167"/>
    <x v="167"/>
    <n v="20"/>
  </r>
  <r>
    <n v="261"/>
    <x v="222"/>
    <x v="93"/>
    <x v="93"/>
    <n v="5"/>
  </r>
  <r>
    <n v="261"/>
    <x v="222"/>
    <x v="168"/>
    <x v="168"/>
    <n v="100"/>
  </r>
  <r>
    <n v="261"/>
    <x v="222"/>
    <x v="169"/>
    <x v="169"/>
    <n v="5"/>
  </r>
  <r>
    <n v="262"/>
    <x v="223"/>
    <x v="170"/>
    <x v="170"/>
    <n v="150"/>
  </r>
  <r>
    <n v="263"/>
    <x v="224"/>
    <x v="170"/>
    <x v="170"/>
    <n v="150"/>
  </r>
  <r>
    <n v="264"/>
    <x v="225"/>
    <x v="24"/>
    <x v="24"/>
    <n v="70"/>
  </r>
  <r>
    <n v="265"/>
    <x v="226"/>
    <x v="24"/>
    <x v="24"/>
    <n v="70"/>
  </r>
  <r>
    <n v="266"/>
    <x v="227"/>
    <x v="24"/>
    <x v="24"/>
    <n v="70"/>
  </r>
  <r>
    <n v="267"/>
    <x v="228"/>
    <x v="171"/>
    <x v="171"/>
    <n v="10"/>
  </r>
  <r>
    <n v="267"/>
    <x v="228"/>
    <x v="172"/>
    <x v="172"/>
    <n v="70"/>
  </r>
  <r>
    <n v="268"/>
    <x v="229"/>
    <x v="172"/>
    <x v="172"/>
    <n v="80"/>
  </r>
  <r>
    <n v="269"/>
    <x v="230"/>
    <x v="173"/>
    <x v="173"/>
    <n v="120"/>
  </r>
  <r>
    <n v="270"/>
    <x v="231"/>
    <x v="174"/>
    <x v="174"/>
    <n v="120"/>
  </r>
  <r>
    <n v="271"/>
    <x v="232"/>
    <x v="174"/>
    <x v="174"/>
    <n v="120"/>
  </r>
  <r>
    <n v="272"/>
    <x v="233"/>
    <x v="59"/>
    <x v="59"/>
    <n v="50"/>
  </r>
  <r>
    <n v="272"/>
    <x v="233"/>
    <x v="175"/>
    <x v="175"/>
    <n v="50"/>
  </r>
  <r>
    <n v="273"/>
    <x v="234"/>
    <x v="59"/>
    <x v="59"/>
    <n v="50"/>
  </r>
  <r>
    <n v="273"/>
    <x v="234"/>
    <x v="175"/>
    <x v="175"/>
    <n v="50"/>
  </r>
  <r>
    <n v="274"/>
    <x v="235"/>
    <x v="80"/>
    <x v="80"/>
    <n v="15"/>
  </r>
  <r>
    <n v="274"/>
    <x v="235"/>
    <x v="176"/>
    <x v="176"/>
    <n v="8"/>
  </r>
  <r>
    <n v="274"/>
    <x v="235"/>
    <x v="150"/>
    <x v="150"/>
    <n v="8"/>
  </r>
  <r>
    <n v="274"/>
    <x v="235"/>
    <x v="38"/>
    <x v="38"/>
    <n v="160"/>
  </r>
  <r>
    <n v="274"/>
    <x v="235"/>
    <x v="39"/>
    <x v="39"/>
    <n v="20"/>
  </r>
  <r>
    <n v="275"/>
    <x v="236"/>
    <x v="38"/>
    <x v="38"/>
    <n v="160"/>
  </r>
  <r>
    <n v="275"/>
    <x v="236"/>
    <x v="177"/>
    <x v="177"/>
    <n v="14"/>
  </r>
  <r>
    <n v="276"/>
    <x v="237"/>
    <x v="80"/>
    <x v="80"/>
    <n v="15"/>
  </r>
  <r>
    <n v="276"/>
    <x v="237"/>
    <x v="178"/>
    <x v="178"/>
    <n v="8"/>
  </r>
  <r>
    <n v="276"/>
    <x v="237"/>
    <x v="179"/>
    <x v="179"/>
    <n v="8"/>
  </r>
  <r>
    <n v="276"/>
    <x v="237"/>
    <x v="38"/>
    <x v="38"/>
    <n v="160"/>
  </r>
  <r>
    <n v="277"/>
    <x v="238"/>
    <x v="38"/>
    <x v="38"/>
    <n v="160"/>
  </r>
  <r>
    <n v="277"/>
    <x v="238"/>
    <x v="180"/>
    <x v="180"/>
    <n v="21"/>
  </r>
  <r>
    <n v="278"/>
    <x v="239"/>
    <x v="80"/>
    <x v="80"/>
    <n v="15"/>
  </r>
  <r>
    <n v="278"/>
    <x v="239"/>
    <x v="181"/>
    <x v="181"/>
    <n v="8"/>
  </r>
  <r>
    <n v="278"/>
    <x v="239"/>
    <x v="38"/>
    <x v="38"/>
    <n v="160"/>
  </r>
  <r>
    <n v="278"/>
    <x v="239"/>
    <x v="39"/>
    <x v="39"/>
    <n v="20"/>
  </r>
  <r>
    <n v="279"/>
    <x v="240"/>
    <x v="80"/>
    <x v="80"/>
    <n v="14"/>
  </r>
  <r>
    <n v="279"/>
    <x v="240"/>
    <x v="182"/>
    <x v="182"/>
    <n v="8"/>
  </r>
  <r>
    <n v="279"/>
    <x v="240"/>
    <x v="38"/>
    <x v="38"/>
    <n v="160"/>
  </r>
  <r>
    <n v="280"/>
    <x v="241"/>
    <x v="183"/>
    <x v="183"/>
    <n v="5"/>
  </r>
  <r>
    <n v="280"/>
    <x v="241"/>
    <x v="182"/>
    <x v="182"/>
    <n v="8"/>
  </r>
  <r>
    <n v="280"/>
    <x v="241"/>
    <x v="38"/>
    <x v="38"/>
    <n v="160"/>
  </r>
  <r>
    <n v="281"/>
    <x v="242"/>
    <x v="80"/>
    <x v="80"/>
    <n v="15"/>
  </r>
  <r>
    <n v="281"/>
    <x v="242"/>
    <x v="182"/>
    <x v="182"/>
    <n v="8"/>
  </r>
  <r>
    <n v="281"/>
    <x v="242"/>
    <x v="38"/>
    <x v="38"/>
    <n v="160"/>
  </r>
  <r>
    <n v="282"/>
    <x v="243"/>
    <x v="80"/>
    <x v="80"/>
    <n v="10"/>
  </r>
  <r>
    <n v="282"/>
    <x v="243"/>
    <x v="184"/>
    <x v="184"/>
    <n v="14"/>
  </r>
  <r>
    <n v="282"/>
    <x v="243"/>
    <x v="38"/>
    <x v="38"/>
    <n v="160"/>
  </r>
  <r>
    <n v="283"/>
    <x v="244"/>
    <x v="80"/>
    <x v="80"/>
    <n v="10"/>
  </r>
  <r>
    <n v="283"/>
    <x v="244"/>
    <x v="185"/>
    <x v="185"/>
    <n v="14"/>
  </r>
  <r>
    <n v="283"/>
    <x v="244"/>
    <x v="185"/>
    <x v="185"/>
    <n v="14"/>
  </r>
  <r>
    <n v="283"/>
    <x v="244"/>
    <x v="38"/>
    <x v="38"/>
    <n v="160"/>
  </r>
  <r>
    <n v="283"/>
    <x v="244"/>
    <x v="39"/>
    <x v="39"/>
    <n v="20"/>
  </r>
  <r>
    <n v="284"/>
    <x v="245"/>
    <x v="38"/>
    <x v="38"/>
    <n v="160"/>
  </r>
  <r>
    <n v="284"/>
    <x v="245"/>
    <x v="177"/>
    <x v="177"/>
    <n v="14"/>
  </r>
  <r>
    <n v="285"/>
    <x v="246"/>
    <x v="80"/>
    <x v="80"/>
    <n v="10"/>
  </r>
  <r>
    <n v="285"/>
    <x v="246"/>
    <x v="38"/>
    <x v="38"/>
    <n v="160"/>
  </r>
  <r>
    <n v="285"/>
    <x v="246"/>
    <x v="186"/>
    <x v="186"/>
    <n v="14"/>
  </r>
  <r>
    <n v="286"/>
    <x v="247"/>
    <x v="38"/>
    <x v="38"/>
    <n v="160"/>
  </r>
  <r>
    <n v="286"/>
    <x v="247"/>
    <x v="180"/>
    <x v="180"/>
    <n v="21"/>
  </r>
  <r>
    <n v="287"/>
    <x v="248"/>
    <x v="80"/>
    <x v="80"/>
    <n v="10"/>
  </r>
  <r>
    <n v="287"/>
    <x v="248"/>
    <x v="38"/>
    <x v="38"/>
    <n v="160"/>
  </r>
  <r>
    <n v="287"/>
    <x v="248"/>
    <x v="187"/>
    <x v="187"/>
    <n v="14"/>
  </r>
  <r>
    <n v="288"/>
    <x v="249"/>
    <x v="150"/>
    <x v="150"/>
    <n v="8"/>
  </r>
  <r>
    <n v="288"/>
    <x v="249"/>
    <x v="150"/>
    <x v="150"/>
    <n v="7"/>
  </r>
  <r>
    <n v="288"/>
    <x v="249"/>
    <x v="38"/>
    <x v="38"/>
    <n v="160"/>
  </r>
  <r>
    <n v="288"/>
    <x v="249"/>
    <x v="188"/>
    <x v="188"/>
    <n v="20"/>
  </r>
  <r>
    <n v="288"/>
    <x v="249"/>
    <x v="83"/>
    <x v="83"/>
    <n v="60"/>
  </r>
  <r>
    <n v="289"/>
    <x v="250"/>
    <x v="80"/>
    <x v="80"/>
    <n v="14"/>
  </r>
  <r>
    <n v="289"/>
    <x v="250"/>
    <x v="38"/>
    <x v="38"/>
    <n v="160"/>
  </r>
  <r>
    <n v="289"/>
    <x v="250"/>
    <x v="39"/>
    <x v="39"/>
    <n v="20"/>
  </r>
  <r>
    <n v="289"/>
    <x v="250"/>
    <x v="189"/>
    <x v="189"/>
    <n v="8"/>
  </r>
  <r>
    <n v="290"/>
    <x v="251"/>
    <x v="80"/>
    <x v="80"/>
    <n v="15"/>
  </r>
  <r>
    <n v="290"/>
    <x v="251"/>
    <x v="38"/>
    <x v="38"/>
    <n v="160"/>
  </r>
  <r>
    <n v="290"/>
    <x v="251"/>
    <x v="39"/>
    <x v="39"/>
    <n v="20"/>
  </r>
  <r>
    <n v="290"/>
    <x v="251"/>
    <x v="189"/>
    <x v="189"/>
    <n v="8"/>
  </r>
  <r>
    <n v="291"/>
    <x v="252"/>
    <x v="10"/>
    <x v="10"/>
    <n v="10"/>
  </r>
  <r>
    <n v="291"/>
    <x v="252"/>
    <x v="22"/>
    <x v="22"/>
    <n v="10"/>
  </r>
  <r>
    <n v="291"/>
    <x v="252"/>
    <x v="2"/>
    <x v="2"/>
    <n v="10"/>
  </r>
  <r>
    <n v="291"/>
    <x v="252"/>
    <x v="110"/>
    <x v="110"/>
    <n v="10"/>
  </r>
  <r>
    <n v="292"/>
    <x v="253"/>
    <x v="76"/>
    <x v="76"/>
    <n v="150"/>
  </r>
  <r>
    <n v="292"/>
    <x v="253"/>
    <x v="76"/>
    <x v="76"/>
    <n v="50"/>
  </r>
  <r>
    <n v="292"/>
    <x v="253"/>
    <x v="76"/>
    <x v="76"/>
    <n v="100"/>
  </r>
  <r>
    <n v="293"/>
    <x v="254"/>
    <x v="190"/>
    <x v="190"/>
    <n v="80"/>
  </r>
  <r>
    <n v="293"/>
    <x v="254"/>
    <x v="191"/>
    <x v="191"/>
    <n v="80"/>
  </r>
  <r>
    <n v="294"/>
    <x v="255"/>
    <x v="192"/>
    <x v="192"/>
    <n v="200"/>
  </r>
  <r>
    <n v="295"/>
    <x v="256"/>
    <x v="104"/>
    <x v="104"/>
    <n v="100"/>
  </r>
  <r>
    <n v="295"/>
    <x v="256"/>
    <x v="104"/>
    <x v="104"/>
    <n v="30"/>
  </r>
  <r>
    <n v="295"/>
    <x v="256"/>
    <x v="104"/>
    <x v="104"/>
    <n v="20"/>
  </r>
  <r>
    <n v="295"/>
    <x v="256"/>
    <x v="104"/>
    <x v="104"/>
    <n v="40"/>
  </r>
  <r>
    <n v="295"/>
    <x v="256"/>
    <x v="193"/>
    <x v="193"/>
    <n v="50"/>
  </r>
  <r>
    <n v="295"/>
    <x v="256"/>
    <x v="193"/>
    <x v="193"/>
    <n v="30"/>
  </r>
  <r>
    <n v="295"/>
    <x v="256"/>
    <x v="193"/>
    <x v="193"/>
    <n v="60"/>
  </r>
  <r>
    <n v="296"/>
    <x v="257"/>
    <x v="194"/>
    <x v="194"/>
    <n v="15"/>
  </r>
  <r>
    <n v="296"/>
    <x v="257"/>
    <x v="195"/>
    <x v="195"/>
    <n v="25"/>
  </r>
  <r>
    <n v="296"/>
    <x v="257"/>
    <x v="106"/>
    <x v="106"/>
    <n v="90"/>
  </r>
  <r>
    <n v="296"/>
    <x v="257"/>
    <x v="196"/>
    <x v="196"/>
    <n v="20"/>
  </r>
  <r>
    <n v="297"/>
    <x v="258"/>
    <x v="106"/>
    <x v="106"/>
    <n v="100"/>
  </r>
  <r>
    <n v="297"/>
    <x v="258"/>
    <x v="106"/>
    <x v="106"/>
    <n v="50"/>
  </r>
  <r>
    <n v="297"/>
    <x v="258"/>
    <x v="193"/>
    <x v="193"/>
    <n v="50"/>
  </r>
  <r>
    <n v="297"/>
    <x v="258"/>
    <x v="193"/>
    <x v="193"/>
    <n v="25"/>
  </r>
  <r>
    <n v="297"/>
    <x v="258"/>
    <x v="193"/>
    <x v="193"/>
    <n v="60"/>
  </r>
  <r>
    <n v="298"/>
    <x v="259"/>
    <x v="197"/>
    <x v="197"/>
    <n v="18"/>
  </r>
  <r>
    <n v="299"/>
    <x v="260"/>
    <x v="63"/>
    <x v="63"/>
    <n v="30"/>
  </r>
  <r>
    <n v="299"/>
    <x v="260"/>
    <x v="63"/>
    <x v="63"/>
    <n v="15"/>
  </r>
  <r>
    <n v="299"/>
    <x v="260"/>
    <x v="38"/>
    <x v="38"/>
    <n v="60"/>
  </r>
  <r>
    <n v="299"/>
    <x v="260"/>
    <x v="38"/>
    <x v="38"/>
    <n v="30"/>
  </r>
  <r>
    <n v="299"/>
    <x v="260"/>
    <x v="64"/>
    <x v="64"/>
    <n v="6"/>
  </r>
  <r>
    <n v="299"/>
    <x v="260"/>
    <x v="64"/>
    <x v="64"/>
    <n v="3"/>
  </r>
  <r>
    <n v="299"/>
    <x v="260"/>
    <x v="106"/>
    <x v="106"/>
    <n v="18"/>
  </r>
  <r>
    <n v="299"/>
    <x v="260"/>
    <x v="106"/>
    <x v="106"/>
    <n v="9"/>
  </r>
  <r>
    <n v="299"/>
    <x v="260"/>
    <x v="83"/>
    <x v="83"/>
    <n v="60"/>
  </r>
  <r>
    <n v="299"/>
    <x v="260"/>
    <x v="83"/>
    <x v="83"/>
    <n v="30"/>
  </r>
  <r>
    <n v="300"/>
    <x v="261"/>
    <x v="198"/>
    <x v="198"/>
    <n v="50"/>
  </r>
  <r>
    <n v="301"/>
    <x v="262"/>
    <x v="71"/>
    <x v="71"/>
    <n v="5"/>
  </r>
  <r>
    <n v="301"/>
    <x v="262"/>
    <x v="198"/>
    <x v="198"/>
    <n v="50"/>
  </r>
  <r>
    <n v="302"/>
    <x v="263"/>
    <x v="71"/>
    <x v="71"/>
    <n v="5"/>
  </r>
  <r>
    <n v="302"/>
    <x v="263"/>
    <x v="199"/>
    <x v="199"/>
    <n v="50"/>
  </r>
  <r>
    <n v="303"/>
    <x v="264"/>
    <x v="198"/>
    <x v="198"/>
    <n v="50"/>
  </r>
  <r>
    <n v="304"/>
    <x v="265"/>
    <x v="71"/>
    <x v="71"/>
    <n v="5"/>
  </r>
  <r>
    <n v="304"/>
    <x v="265"/>
    <x v="32"/>
    <x v="32"/>
    <n v="50"/>
  </r>
  <r>
    <n v="304"/>
    <x v="265"/>
    <x v="32"/>
    <x v="32"/>
    <n v="50"/>
  </r>
  <r>
    <n v="305"/>
    <x v="266"/>
    <x v="71"/>
    <x v="71"/>
    <n v="5"/>
  </r>
  <r>
    <n v="305"/>
    <x v="266"/>
    <x v="200"/>
    <x v="200"/>
    <n v="50"/>
  </r>
  <r>
    <n v="306"/>
    <x v="267"/>
    <x v="51"/>
    <x v="51"/>
    <n v="5"/>
  </r>
  <r>
    <n v="306"/>
    <x v="267"/>
    <x v="201"/>
    <x v="201"/>
    <n v="50"/>
  </r>
  <r>
    <n v="307"/>
    <x v="268"/>
    <x v="51"/>
    <x v="51"/>
    <n v="5"/>
  </r>
  <r>
    <n v="307"/>
    <x v="268"/>
    <x v="201"/>
    <x v="201"/>
    <n v="50"/>
  </r>
  <r>
    <n v="308"/>
    <x v="269"/>
    <x v="202"/>
    <x v="202"/>
    <n v="100"/>
  </r>
  <r>
    <n v="308"/>
    <x v="269"/>
    <x v="134"/>
    <x v="134"/>
    <n v="1"/>
  </r>
  <r>
    <n v="308"/>
    <x v="269"/>
    <x v="54"/>
    <x v="54"/>
    <n v="10"/>
  </r>
  <r>
    <n v="309"/>
    <x v="270"/>
    <x v="165"/>
    <x v="165"/>
    <n v="100"/>
  </r>
  <r>
    <n v="310"/>
    <x v="271"/>
    <x v="202"/>
    <x v="202"/>
    <n v="100"/>
  </r>
  <r>
    <n v="310"/>
    <x v="271"/>
    <x v="165"/>
    <x v="165"/>
    <n v="100"/>
  </r>
  <r>
    <n v="310"/>
    <x v="271"/>
    <x v="134"/>
    <x v="134"/>
    <n v="1"/>
  </r>
  <r>
    <n v="310"/>
    <x v="271"/>
    <x v="203"/>
    <x v="203"/>
    <n v="20"/>
  </r>
  <r>
    <n v="311"/>
    <x v="272"/>
    <x v="204"/>
    <x v="204"/>
    <n v="120"/>
  </r>
  <r>
    <n v="312"/>
    <x v="273"/>
    <x v="205"/>
    <x v="205"/>
    <n v="80"/>
  </r>
  <r>
    <n v="313"/>
    <x v="274"/>
    <x v="206"/>
    <x v="206"/>
    <n v="30"/>
  </r>
  <r>
    <n v="314"/>
    <x v="275"/>
    <x v="83"/>
    <x v="83"/>
    <n v="120"/>
  </r>
  <r>
    <n v="315"/>
    <x v="276"/>
    <x v="132"/>
    <x v="132"/>
    <n v="1"/>
  </r>
  <r>
    <n v="315"/>
    <x v="276"/>
    <x v="76"/>
    <x v="76"/>
    <n v="150"/>
  </r>
  <r>
    <n v="315"/>
    <x v="276"/>
    <x v="77"/>
    <x v="77"/>
    <n v="5"/>
  </r>
  <r>
    <n v="316"/>
    <x v="277"/>
    <x v="132"/>
    <x v="132"/>
    <n v="1"/>
  </r>
  <r>
    <n v="316"/>
    <x v="277"/>
    <x v="76"/>
    <x v="76"/>
    <n v="150"/>
  </r>
  <r>
    <n v="316"/>
    <x v="277"/>
    <x v="76"/>
    <x v="76"/>
    <n v="50"/>
  </r>
  <r>
    <n v="316"/>
    <x v="277"/>
    <x v="76"/>
    <x v="76"/>
    <n v="100"/>
  </r>
  <r>
    <n v="316"/>
    <x v="277"/>
    <x v="77"/>
    <x v="77"/>
    <n v="5"/>
  </r>
  <r>
    <n v="317"/>
    <x v="278"/>
    <x v="132"/>
    <x v="132"/>
    <n v="1"/>
  </r>
  <r>
    <n v="317"/>
    <x v="278"/>
    <x v="76"/>
    <x v="76"/>
    <n v="150"/>
  </r>
  <r>
    <n v="317"/>
    <x v="278"/>
    <x v="77"/>
    <x v="77"/>
    <n v="5"/>
  </r>
  <r>
    <n v="318"/>
    <x v="279"/>
    <x v="76"/>
    <x v="76"/>
    <n v="150"/>
  </r>
  <r>
    <n v="318"/>
    <x v="279"/>
    <x v="76"/>
    <x v="76"/>
    <n v="50"/>
  </r>
  <r>
    <n v="318"/>
    <x v="279"/>
    <x v="76"/>
    <x v="76"/>
    <n v="100"/>
  </r>
  <r>
    <n v="318"/>
    <x v="279"/>
    <x v="207"/>
    <x v="207"/>
    <n v="5"/>
  </r>
  <r>
    <n v="319"/>
    <x v="280"/>
    <x v="132"/>
    <x v="132"/>
    <n v="1"/>
  </r>
  <r>
    <n v="319"/>
    <x v="280"/>
    <x v="78"/>
    <x v="78"/>
    <n v="5"/>
  </r>
  <r>
    <n v="319"/>
    <x v="280"/>
    <x v="208"/>
    <x v="208"/>
    <n v="5"/>
  </r>
  <r>
    <n v="319"/>
    <x v="280"/>
    <x v="76"/>
    <x v="76"/>
    <n v="50"/>
  </r>
  <r>
    <n v="319"/>
    <x v="280"/>
    <x v="76"/>
    <x v="76"/>
    <n v="100"/>
  </r>
  <r>
    <n v="319"/>
    <x v="280"/>
    <x v="209"/>
    <x v="209"/>
    <n v="10"/>
  </r>
  <r>
    <n v="320"/>
    <x v="281"/>
    <x v="210"/>
    <x v="210"/>
    <n v="120"/>
  </r>
  <r>
    <n v="321"/>
    <x v="282"/>
    <x v="132"/>
    <x v="132"/>
    <n v="1"/>
  </r>
  <r>
    <n v="321"/>
    <x v="282"/>
    <x v="76"/>
    <x v="76"/>
    <n v="150"/>
  </r>
  <r>
    <n v="321"/>
    <x v="282"/>
    <x v="77"/>
    <x v="77"/>
    <n v="5"/>
  </r>
  <r>
    <n v="322"/>
    <x v="283"/>
    <x v="165"/>
    <x v="165"/>
    <n v="100"/>
  </r>
  <r>
    <n v="323"/>
    <x v="284"/>
    <x v="211"/>
    <x v="211"/>
    <n v="5"/>
  </r>
  <r>
    <n v="323"/>
    <x v="284"/>
    <x v="212"/>
    <x v="212"/>
    <n v="50"/>
  </r>
  <r>
    <n v="323"/>
    <x v="284"/>
    <x v="213"/>
    <x v="213"/>
    <n v="50"/>
  </r>
  <r>
    <n v="323"/>
    <x v="284"/>
    <x v="213"/>
    <x v="213"/>
    <n v="25"/>
  </r>
  <r>
    <n v="323"/>
    <x v="284"/>
    <x v="66"/>
    <x v="66"/>
    <n v="50"/>
  </r>
  <r>
    <n v="323"/>
    <x v="284"/>
    <x v="214"/>
    <x v="214"/>
    <n v="50"/>
  </r>
  <r>
    <n v="323"/>
    <x v="284"/>
    <x v="214"/>
    <x v="214"/>
    <n v="25"/>
  </r>
  <r>
    <n v="324"/>
    <x v="285"/>
    <x v="215"/>
    <x v="215"/>
    <n v="200"/>
  </r>
  <r>
    <n v="324"/>
    <x v="285"/>
    <x v="216"/>
    <x v="216"/>
    <n v="235"/>
  </r>
  <r>
    <n v="325"/>
    <x v="286"/>
    <x v="215"/>
    <x v="215"/>
    <n v="200"/>
  </r>
  <r>
    <n v="326"/>
    <x v="287"/>
    <x v="217"/>
    <x v="217"/>
    <n v="100"/>
  </r>
  <r>
    <n v="327"/>
    <x v="288"/>
    <x v="217"/>
    <x v="217"/>
    <n v="100"/>
  </r>
  <r>
    <n v="328"/>
    <x v="289"/>
    <x v="218"/>
    <x v="218"/>
    <n v="100"/>
  </r>
  <r>
    <n v="329"/>
    <x v="290"/>
    <x v="218"/>
    <x v="218"/>
    <n v="100"/>
  </r>
  <r>
    <n v="330"/>
    <x v="291"/>
    <x v="218"/>
    <x v="218"/>
    <n v="100"/>
  </r>
  <r>
    <n v="331"/>
    <x v="292"/>
    <x v="147"/>
    <x v="147"/>
    <n v="2"/>
  </r>
  <r>
    <n v="331"/>
    <x v="292"/>
    <x v="219"/>
    <x v="219"/>
    <n v="40"/>
  </r>
  <r>
    <n v="332"/>
    <x v="293"/>
    <x v="219"/>
    <x v="219"/>
    <n v="80"/>
  </r>
  <r>
    <n v="333"/>
    <x v="294"/>
    <x v="220"/>
    <x v="220"/>
    <n v="80"/>
  </r>
  <r>
    <n v="333"/>
    <x v="294"/>
    <x v="220"/>
    <x v="220"/>
    <n v="60"/>
  </r>
  <r>
    <n v="334"/>
    <x v="295"/>
    <x v="221"/>
    <x v="221"/>
    <n v="80"/>
  </r>
  <r>
    <n v="335"/>
    <x v="296"/>
    <x v="150"/>
    <x v="150"/>
    <n v="8"/>
  </r>
  <r>
    <n v="335"/>
    <x v="296"/>
    <x v="150"/>
    <x v="150"/>
    <n v="8"/>
  </r>
  <r>
    <n v="335"/>
    <x v="296"/>
    <x v="220"/>
    <x v="220"/>
    <n v="80"/>
  </r>
  <r>
    <n v="336"/>
    <x v="297"/>
    <x v="222"/>
    <x v="222"/>
    <n v="80"/>
  </r>
  <r>
    <n v="337"/>
    <x v="298"/>
    <x v="223"/>
    <x v="223"/>
    <n v="80"/>
  </r>
  <r>
    <n v="338"/>
    <x v="299"/>
    <x v="150"/>
    <x v="150"/>
    <n v="8"/>
  </r>
  <r>
    <n v="338"/>
    <x v="299"/>
    <x v="224"/>
    <x v="224"/>
    <n v="80"/>
  </r>
  <r>
    <n v="339"/>
    <x v="300"/>
    <x v="48"/>
    <x v="48"/>
    <n v="100"/>
  </r>
  <r>
    <n v="340"/>
    <x v="301"/>
    <x v="3"/>
    <x v="3"/>
    <n v="65"/>
  </r>
  <r>
    <n v="340"/>
    <x v="301"/>
    <x v="38"/>
    <x v="38"/>
    <n v="20"/>
  </r>
  <r>
    <n v="340"/>
    <x v="301"/>
    <x v="71"/>
    <x v="71"/>
    <n v="5"/>
  </r>
  <r>
    <n v="341"/>
    <x v="302"/>
    <x v="20"/>
    <x v="20"/>
    <n v="65"/>
  </r>
  <r>
    <n v="342"/>
    <x v="303"/>
    <x v="20"/>
    <x v="20"/>
    <n v="65"/>
  </r>
  <r>
    <n v="342"/>
    <x v="303"/>
    <x v="38"/>
    <x v="38"/>
    <n v="20"/>
  </r>
  <r>
    <n v="342"/>
    <x v="303"/>
    <x v="71"/>
    <x v="71"/>
    <n v="5"/>
  </r>
  <r>
    <n v="343"/>
    <x v="304"/>
    <x v="20"/>
    <x v="20"/>
    <n v="65"/>
  </r>
  <r>
    <n v="343"/>
    <x v="304"/>
    <x v="38"/>
    <x v="38"/>
    <n v="20"/>
  </r>
  <r>
    <n v="343"/>
    <x v="304"/>
    <x v="71"/>
    <x v="71"/>
    <n v="5"/>
  </r>
  <r>
    <n v="343"/>
    <x v="304"/>
    <x v="54"/>
    <x v="54"/>
    <n v="10"/>
  </r>
  <r>
    <n v="344"/>
    <x v="305"/>
    <x v="20"/>
    <x v="20"/>
    <n v="65"/>
  </r>
  <r>
    <n v="345"/>
    <x v="306"/>
    <x v="38"/>
    <x v="38"/>
    <n v="20"/>
  </r>
  <r>
    <n v="345"/>
    <x v="306"/>
    <x v="225"/>
    <x v="225"/>
    <n v="100"/>
  </r>
  <r>
    <n v="345"/>
    <x v="306"/>
    <x v="225"/>
    <x v="225"/>
    <n v="65"/>
  </r>
  <r>
    <n v="346"/>
    <x v="307"/>
    <x v="47"/>
    <x v="47"/>
    <n v="65"/>
  </r>
  <r>
    <n v="346"/>
    <x v="307"/>
    <x v="226"/>
    <x v="226"/>
    <n v="65"/>
  </r>
  <r>
    <n v="347"/>
    <x v="308"/>
    <x v="227"/>
    <x v="227"/>
    <n v="65"/>
  </r>
  <r>
    <n v="348"/>
    <x v="309"/>
    <x v="48"/>
    <x v="48"/>
    <n v="65"/>
  </r>
  <r>
    <n v="348"/>
    <x v="309"/>
    <x v="48"/>
    <x v="48"/>
    <n v="100"/>
  </r>
  <r>
    <n v="349"/>
    <x v="310"/>
    <x v="49"/>
    <x v="49"/>
    <n v="65"/>
  </r>
  <r>
    <n v="349"/>
    <x v="310"/>
    <x v="38"/>
    <x v="38"/>
    <n v="20"/>
  </r>
  <r>
    <n v="349"/>
    <x v="310"/>
    <x v="71"/>
    <x v="71"/>
    <n v="5"/>
  </r>
  <r>
    <n v="350"/>
    <x v="311"/>
    <x v="105"/>
    <x v="105"/>
    <n v="65"/>
  </r>
  <r>
    <n v="351"/>
    <x v="312"/>
    <x v="48"/>
    <x v="48"/>
    <n v="35"/>
  </r>
  <r>
    <n v="351"/>
    <x v="312"/>
    <x v="59"/>
    <x v="59"/>
    <n v="35"/>
  </r>
  <r>
    <n v="352"/>
    <x v="313"/>
    <x v="60"/>
    <x v="60"/>
    <n v="50"/>
  </r>
  <r>
    <n v="352"/>
    <x v="313"/>
    <x v="228"/>
    <x v="228"/>
    <n v="50"/>
  </r>
  <r>
    <n v="353"/>
    <x v="314"/>
    <x v="229"/>
    <x v="229"/>
    <n v="100"/>
  </r>
  <r>
    <n v="354"/>
    <x v="315"/>
    <x v="230"/>
    <x v="230"/>
    <n v="100"/>
  </r>
  <r>
    <n v="355"/>
    <x v="316"/>
    <x v="231"/>
    <x v="231"/>
    <n v="100"/>
  </r>
  <r>
    <n v="356"/>
    <x v="317"/>
    <x v="137"/>
    <x v="137"/>
    <n v="40"/>
  </r>
  <r>
    <n v="356"/>
    <x v="317"/>
    <x v="232"/>
    <x v="232"/>
    <n v="60"/>
  </r>
  <r>
    <n v="356"/>
    <x v="317"/>
    <x v="232"/>
    <x v="232"/>
    <n v="50"/>
  </r>
  <r>
    <n v="357"/>
    <x v="318"/>
    <x v="232"/>
    <x v="232"/>
    <n v="25"/>
  </r>
  <r>
    <n v="357"/>
    <x v="318"/>
    <x v="66"/>
    <x v="66"/>
    <n v="25"/>
  </r>
  <r>
    <n v="358"/>
    <x v="319"/>
    <x v="233"/>
    <x v="233"/>
    <n v="100"/>
  </r>
  <r>
    <n v="359"/>
    <x v="320"/>
    <x v="26"/>
    <x v="26"/>
    <n v="70"/>
  </r>
  <r>
    <n v="359"/>
    <x v="320"/>
    <x v="26"/>
    <x v="26"/>
    <n v="50"/>
  </r>
  <r>
    <n v="360"/>
    <x v="321"/>
    <x v="234"/>
    <x v="234"/>
    <n v="50"/>
  </r>
  <r>
    <n v="360"/>
    <x v="321"/>
    <x v="17"/>
    <x v="17"/>
    <n v="50"/>
  </r>
  <r>
    <n v="361"/>
    <x v="322"/>
    <x v="235"/>
    <x v="235"/>
    <n v="30"/>
  </r>
  <r>
    <n v="362"/>
    <x v="323"/>
    <x v="24"/>
    <x v="24"/>
    <n v="70"/>
  </r>
  <r>
    <n v="362"/>
    <x v="323"/>
    <x v="24"/>
    <x v="24"/>
    <n v="30"/>
  </r>
  <r>
    <n v="362"/>
    <x v="323"/>
    <x v="235"/>
    <x v="235"/>
    <n v="30"/>
  </r>
  <r>
    <n v="362"/>
    <x v="323"/>
    <x v="235"/>
    <x v="235"/>
    <n v="20"/>
  </r>
  <r>
    <n v="363"/>
    <x v="324"/>
    <x v="236"/>
    <x v="236"/>
    <n v="2"/>
  </r>
  <r>
    <n v="364"/>
    <x v="325"/>
    <x v="3"/>
    <x v="3"/>
    <n v="100"/>
  </r>
  <r>
    <n v="365"/>
    <x v="326"/>
    <x v="49"/>
    <x v="49"/>
    <n v="50"/>
  </r>
  <r>
    <n v="365"/>
    <x v="326"/>
    <x v="49"/>
    <x v="49"/>
    <n v="25"/>
  </r>
  <r>
    <n v="365"/>
    <x v="326"/>
    <x v="56"/>
    <x v="56"/>
    <n v="50"/>
  </r>
  <r>
    <n v="365"/>
    <x v="326"/>
    <x v="56"/>
    <x v="56"/>
    <n v="25"/>
  </r>
  <r>
    <n v="366"/>
    <x v="327"/>
    <x v="49"/>
    <x v="49"/>
    <n v="50"/>
  </r>
  <r>
    <n v="366"/>
    <x v="327"/>
    <x v="56"/>
    <x v="56"/>
    <n v="50"/>
  </r>
  <r>
    <n v="367"/>
    <x v="328"/>
    <x v="46"/>
    <x v="46"/>
    <n v="40"/>
  </r>
  <r>
    <n v="367"/>
    <x v="328"/>
    <x v="137"/>
    <x v="137"/>
    <n v="30"/>
  </r>
  <r>
    <n v="367"/>
    <x v="328"/>
    <x v="164"/>
    <x v="164"/>
    <n v="40"/>
  </r>
  <r>
    <n v="367"/>
    <x v="328"/>
    <x v="237"/>
    <x v="237"/>
    <n v="40"/>
  </r>
  <r>
    <n v="367"/>
    <x v="328"/>
    <x v="238"/>
    <x v="238"/>
    <n v="40"/>
  </r>
  <r>
    <n v="368"/>
    <x v="329"/>
    <x v="17"/>
    <x v="17"/>
    <n v="50"/>
  </r>
  <r>
    <n v="369"/>
    <x v="330"/>
    <x v="239"/>
    <x v="239"/>
    <n v="100"/>
  </r>
  <r>
    <n v="370"/>
    <x v="331"/>
    <x v="139"/>
    <x v="139"/>
    <n v="150"/>
  </r>
  <r>
    <n v="371"/>
    <x v="332"/>
    <x v="169"/>
    <x v="169"/>
    <n v="5"/>
  </r>
  <r>
    <n v="371"/>
    <x v="332"/>
    <x v="169"/>
    <x v="169"/>
    <n v="10"/>
  </r>
  <r>
    <n v="371"/>
    <x v="332"/>
    <x v="13"/>
    <x v="13"/>
    <n v="10"/>
  </r>
  <r>
    <n v="371"/>
    <x v="332"/>
    <x v="139"/>
    <x v="139"/>
    <n v="150"/>
  </r>
  <r>
    <n v="372"/>
    <x v="333"/>
    <x v="139"/>
    <x v="139"/>
    <n v="50"/>
  </r>
  <r>
    <n v="372"/>
    <x v="333"/>
    <x v="139"/>
    <x v="139"/>
    <n v="100"/>
  </r>
  <r>
    <n v="373"/>
    <x v="334"/>
    <x v="139"/>
    <x v="139"/>
    <n v="150"/>
  </r>
  <r>
    <n v="373"/>
    <x v="334"/>
    <x v="139"/>
    <x v="139"/>
    <n v="50"/>
  </r>
  <r>
    <n v="373"/>
    <x v="334"/>
    <x v="139"/>
    <x v="139"/>
    <n v="100"/>
  </r>
  <r>
    <n v="374"/>
    <x v="335"/>
    <x v="228"/>
    <x v="228"/>
    <n v="30"/>
  </r>
  <r>
    <n v="374"/>
    <x v="335"/>
    <x v="139"/>
    <x v="139"/>
    <n v="150"/>
  </r>
  <r>
    <n v="374"/>
    <x v="335"/>
    <x v="139"/>
    <x v="139"/>
    <n v="50"/>
  </r>
  <r>
    <n v="375"/>
    <x v="336"/>
    <x v="12"/>
    <x v="12"/>
    <n v="10"/>
  </r>
  <r>
    <n v="375"/>
    <x v="336"/>
    <x v="12"/>
    <x v="12"/>
    <n v="5"/>
  </r>
  <r>
    <n v="375"/>
    <x v="336"/>
    <x v="13"/>
    <x v="13"/>
    <n v="10"/>
  </r>
  <r>
    <n v="375"/>
    <x v="336"/>
    <x v="13"/>
    <x v="13"/>
    <n v="5"/>
  </r>
  <r>
    <n v="375"/>
    <x v="336"/>
    <x v="14"/>
    <x v="14"/>
    <n v="10"/>
  </r>
  <r>
    <n v="375"/>
    <x v="336"/>
    <x v="14"/>
    <x v="14"/>
    <n v="5"/>
  </r>
  <r>
    <n v="375"/>
    <x v="336"/>
    <x v="139"/>
    <x v="139"/>
    <n v="150"/>
  </r>
  <r>
    <n v="375"/>
    <x v="336"/>
    <x v="139"/>
    <x v="139"/>
    <n v="50"/>
  </r>
  <r>
    <n v="375"/>
    <x v="336"/>
    <x v="139"/>
    <x v="139"/>
    <n v="100"/>
  </r>
  <r>
    <n v="376"/>
    <x v="337"/>
    <x v="132"/>
    <x v="132"/>
    <n v="1"/>
  </r>
  <r>
    <n v="376"/>
    <x v="337"/>
    <x v="240"/>
    <x v="240"/>
    <n v="5"/>
  </r>
  <r>
    <n v="376"/>
    <x v="337"/>
    <x v="49"/>
    <x v="49"/>
    <n v="5"/>
  </r>
  <r>
    <n v="376"/>
    <x v="337"/>
    <x v="139"/>
    <x v="139"/>
    <n v="150"/>
  </r>
  <r>
    <n v="376"/>
    <x v="337"/>
    <x v="139"/>
    <x v="139"/>
    <n v="50"/>
  </r>
  <r>
    <n v="376"/>
    <x v="337"/>
    <x v="139"/>
    <x v="139"/>
    <n v="100"/>
  </r>
  <r>
    <n v="376"/>
    <x v="337"/>
    <x v="18"/>
    <x v="18"/>
    <n v="5"/>
  </r>
  <r>
    <n v="377"/>
    <x v="338"/>
    <x v="132"/>
    <x v="132"/>
    <n v="1"/>
  </r>
  <r>
    <n v="377"/>
    <x v="338"/>
    <x v="241"/>
    <x v="241"/>
    <n v="5"/>
  </r>
  <r>
    <n v="377"/>
    <x v="338"/>
    <x v="240"/>
    <x v="240"/>
    <n v="5"/>
  </r>
  <r>
    <n v="377"/>
    <x v="338"/>
    <x v="49"/>
    <x v="49"/>
    <n v="5"/>
  </r>
  <r>
    <n v="377"/>
    <x v="338"/>
    <x v="139"/>
    <x v="139"/>
    <n v="150"/>
  </r>
  <r>
    <n v="377"/>
    <x v="338"/>
    <x v="18"/>
    <x v="18"/>
    <n v="5"/>
  </r>
  <r>
    <n v="378"/>
    <x v="339"/>
    <x v="139"/>
    <x v="139"/>
    <n v="150"/>
  </r>
  <r>
    <n v="379"/>
    <x v="340"/>
    <x v="139"/>
    <x v="139"/>
    <n v="150"/>
  </r>
  <r>
    <n v="380"/>
    <x v="341"/>
    <x v="139"/>
    <x v="139"/>
    <n v="150"/>
  </r>
  <r>
    <n v="381"/>
    <x v="342"/>
    <x v="72"/>
    <x v="72"/>
    <n v="55"/>
  </r>
  <r>
    <n v="382"/>
    <x v="343"/>
    <x v="72"/>
    <x v="72"/>
    <n v="55"/>
  </r>
  <r>
    <n v="382"/>
    <x v="343"/>
    <x v="72"/>
    <x v="72"/>
    <n v="90"/>
  </r>
  <r>
    <n v="383"/>
    <x v="344"/>
    <x v="72"/>
    <x v="72"/>
    <n v="65"/>
  </r>
  <r>
    <n v="383"/>
    <x v="344"/>
    <x v="72"/>
    <x v="72"/>
    <n v="90"/>
  </r>
  <r>
    <n v="383"/>
    <x v="344"/>
    <x v="38"/>
    <x v="38"/>
    <n v="100"/>
  </r>
  <r>
    <n v="383"/>
    <x v="344"/>
    <x v="38"/>
    <x v="38"/>
    <n v="135"/>
  </r>
  <r>
    <n v="383"/>
    <x v="344"/>
    <x v="113"/>
    <x v="113"/>
    <n v="5"/>
  </r>
  <r>
    <n v="383"/>
    <x v="344"/>
    <x v="113"/>
    <x v="113"/>
    <n v="6.5"/>
  </r>
  <r>
    <n v="383"/>
    <x v="344"/>
    <x v="83"/>
    <x v="83"/>
    <n v="60"/>
  </r>
  <r>
    <n v="383"/>
    <x v="344"/>
    <x v="114"/>
    <x v="114"/>
    <n v="8"/>
  </r>
  <r>
    <n v="383"/>
    <x v="344"/>
    <x v="114"/>
    <x v="114"/>
    <n v="11"/>
  </r>
  <r>
    <n v="384"/>
    <x v="345"/>
    <x v="72"/>
    <x v="72"/>
    <n v="65"/>
  </r>
  <r>
    <n v="384"/>
    <x v="345"/>
    <x v="72"/>
    <x v="72"/>
    <n v="90"/>
  </r>
  <r>
    <n v="384"/>
    <x v="345"/>
    <x v="38"/>
    <x v="38"/>
    <n v="100"/>
  </r>
  <r>
    <n v="384"/>
    <x v="345"/>
    <x v="38"/>
    <x v="38"/>
    <n v="135"/>
  </r>
  <r>
    <n v="384"/>
    <x v="345"/>
    <x v="113"/>
    <x v="113"/>
    <n v="5"/>
  </r>
  <r>
    <n v="384"/>
    <x v="345"/>
    <x v="113"/>
    <x v="113"/>
    <n v="6.5"/>
  </r>
  <r>
    <n v="384"/>
    <x v="345"/>
    <x v="83"/>
    <x v="83"/>
    <n v="60"/>
  </r>
  <r>
    <n v="384"/>
    <x v="345"/>
    <x v="114"/>
    <x v="114"/>
    <n v="8"/>
  </r>
  <r>
    <n v="384"/>
    <x v="345"/>
    <x v="114"/>
    <x v="114"/>
    <n v="11"/>
  </r>
  <r>
    <n v="385"/>
    <x v="346"/>
    <x v="242"/>
    <x v="242"/>
    <n v="25"/>
  </r>
  <r>
    <n v="385"/>
    <x v="346"/>
    <x v="243"/>
    <x v="243"/>
    <n v="25"/>
  </r>
  <r>
    <n v="385"/>
    <x v="346"/>
    <x v="72"/>
    <x v="72"/>
    <n v="25"/>
  </r>
  <r>
    <n v="385"/>
    <x v="346"/>
    <x v="244"/>
    <x v="244"/>
    <n v="12"/>
  </r>
  <r>
    <n v="385"/>
    <x v="346"/>
    <x v="236"/>
    <x v="236"/>
    <n v="0.5"/>
  </r>
  <r>
    <n v="386"/>
    <x v="347"/>
    <x v="60"/>
    <x v="60"/>
    <n v="45"/>
  </r>
  <r>
    <n v="386"/>
    <x v="347"/>
    <x v="48"/>
    <x v="48"/>
    <n v="45"/>
  </r>
  <r>
    <n v="387"/>
    <x v="348"/>
    <x v="60"/>
    <x v="60"/>
    <n v="45"/>
  </r>
  <r>
    <n v="387"/>
    <x v="348"/>
    <x v="60"/>
    <x v="60"/>
    <n v="55"/>
  </r>
  <r>
    <n v="387"/>
    <x v="348"/>
    <x v="48"/>
    <x v="48"/>
    <n v="45"/>
  </r>
  <r>
    <n v="387"/>
    <x v="348"/>
    <x v="48"/>
    <x v="48"/>
    <n v="50"/>
  </r>
  <r>
    <n v="388"/>
    <x v="349"/>
    <x v="20"/>
    <x v="20"/>
    <n v="90"/>
  </r>
  <r>
    <n v="389"/>
    <x v="350"/>
    <x v="15"/>
    <x v="15"/>
    <n v="10"/>
  </r>
  <r>
    <n v="389"/>
    <x v="350"/>
    <x v="245"/>
    <x v="245"/>
    <n v="80"/>
  </r>
  <r>
    <n v="390"/>
    <x v="351"/>
    <x v="15"/>
    <x v="15"/>
    <n v="10"/>
  </r>
  <r>
    <n v="390"/>
    <x v="351"/>
    <x v="245"/>
    <x v="245"/>
    <n v="80"/>
  </r>
  <r>
    <n v="390"/>
    <x v="351"/>
    <x v="245"/>
    <x v="245"/>
    <n v="95"/>
  </r>
  <r>
    <n v="391"/>
    <x v="352"/>
    <x v="20"/>
    <x v="20"/>
    <n v="90"/>
  </r>
  <r>
    <n v="391"/>
    <x v="352"/>
    <x v="20"/>
    <x v="20"/>
    <n v="105"/>
  </r>
  <r>
    <n v="392"/>
    <x v="353"/>
    <x v="48"/>
    <x v="48"/>
    <n v="30"/>
  </r>
  <r>
    <n v="393"/>
    <x v="354"/>
    <x v="48"/>
    <x v="48"/>
    <n v="50"/>
  </r>
  <r>
    <n v="393"/>
    <x v="354"/>
    <x v="83"/>
    <x v="83"/>
    <n v="20"/>
  </r>
  <r>
    <n v="394"/>
    <x v="355"/>
    <x v="48"/>
    <x v="48"/>
    <n v="30"/>
  </r>
  <r>
    <n v="394"/>
    <x v="355"/>
    <x v="48"/>
    <x v="48"/>
    <n v="35"/>
  </r>
  <r>
    <n v="395"/>
    <x v="356"/>
    <x v="48"/>
    <x v="48"/>
    <n v="30"/>
  </r>
  <r>
    <n v="395"/>
    <x v="356"/>
    <x v="59"/>
    <x v="59"/>
    <n v="30"/>
  </r>
  <r>
    <n v="395"/>
    <x v="356"/>
    <x v="58"/>
    <x v="58"/>
    <n v="30"/>
  </r>
  <r>
    <n v="396"/>
    <x v="357"/>
    <x v="48"/>
    <x v="48"/>
    <n v="30"/>
  </r>
  <r>
    <n v="396"/>
    <x v="357"/>
    <x v="48"/>
    <x v="48"/>
    <n v="35"/>
  </r>
  <r>
    <n v="396"/>
    <x v="357"/>
    <x v="59"/>
    <x v="59"/>
    <n v="30"/>
  </r>
  <r>
    <n v="396"/>
    <x v="357"/>
    <x v="59"/>
    <x v="59"/>
    <n v="35"/>
  </r>
  <r>
    <n v="396"/>
    <x v="357"/>
    <x v="58"/>
    <x v="58"/>
    <n v="30"/>
  </r>
  <r>
    <n v="396"/>
    <x v="357"/>
    <x v="58"/>
    <x v="58"/>
    <n v="35"/>
  </r>
  <r>
    <n v="396"/>
    <x v="357"/>
    <x v="83"/>
    <x v="83"/>
    <n v="60"/>
  </r>
  <r>
    <n v="397"/>
    <x v="358"/>
    <x v="60"/>
    <x v="60"/>
    <n v="30"/>
  </r>
  <r>
    <n v="397"/>
    <x v="358"/>
    <x v="60"/>
    <x v="60"/>
    <n v="35"/>
  </r>
  <r>
    <n v="397"/>
    <x v="358"/>
    <x v="49"/>
    <x v="49"/>
    <n v="30"/>
  </r>
  <r>
    <n v="397"/>
    <x v="358"/>
    <x v="49"/>
    <x v="49"/>
    <n v="35"/>
  </r>
  <r>
    <n v="398"/>
    <x v="359"/>
    <x v="49"/>
    <x v="49"/>
    <n v="45"/>
  </r>
  <r>
    <n v="398"/>
    <x v="359"/>
    <x v="58"/>
    <x v="58"/>
    <n v="45"/>
  </r>
  <r>
    <n v="399"/>
    <x v="360"/>
    <x v="49"/>
    <x v="49"/>
    <n v="45"/>
  </r>
  <r>
    <n v="399"/>
    <x v="360"/>
    <x v="58"/>
    <x v="58"/>
    <n v="45"/>
  </r>
  <r>
    <n v="399"/>
    <x v="360"/>
    <x v="33"/>
    <x v="33"/>
    <n v="60"/>
  </r>
  <r>
    <n v="400"/>
    <x v="361"/>
    <x v="49"/>
    <x v="49"/>
    <n v="50"/>
  </r>
  <r>
    <n v="400"/>
    <x v="361"/>
    <x v="58"/>
    <x v="58"/>
    <n v="50"/>
  </r>
  <r>
    <n v="401"/>
    <x v="362"/>
    <x v="49"/>
    <x v="49"/>
    <n v="55"/>
  </r>
  <r>
    <n v="401"/>
    <x v="362"/>
    <x v="58"/>
    <x v="58"/>
    <n v="50"/>
  </r>
  <r>
    <n v="402"/>
    <x v="363"/>
    <x v="48"/>
    <x v="48"/>
    <n v="80"/>
  </r>
  <r>
    <n v="402"/>
    <x v="363"/>
    <x v="246"/>
    <x v="246"/>
    <n v="10"/>
  </r>
  <r>
    <n v="403"/>
    <x v="364"/>
    <x v="48"/>
    <x v="48"/>
    <n v="90"/>
  </r>
  <r>
    <n v="403"/>
    <x v="364"/>
    <x v="246"/>
    <x v="246"/>
    <n v="10"/>
  </r>
  <r>
    <n v="404"/>
    <x v="365"/>
    <x v="48"/>
    <x v="48"/>
    <n v="80"/>
  </r>
  <r>
    <n v="404"/>
    <x v="365"/>
    <x v="246"/>
    <x v="246"/>
    <n v="10"/>
  </r>
  <r>
    <n v="405"/>
    <x v="366"/>
    <x v="48"/>
    <x v="48"/>
    <n v="90"/>
  </r>
  <r>
    <n v="405"/>
    <x v="366"/>
    <x v="48"/>
    <x v="48"/>
    <n v="95"/>
  </r>
  <r>
    <n v="405"/>
    <x v="366"/>
    <x v="246"/>
    <x v="246"/>
    <n v="10"/>
  </r>
  <r>
    <n v="406"/>
    <x v="367"/>
    <x v="48"/>
    <x v="48"/>
    <n v="95"/>
  </r>
  <r>
    <n v="406"/>
    <x v="367"/>
    <x v="62"/>
    <x v="62"/>
    <n v="60"/>
  </r>
  <r>
    <n v="406"/>
    <x v="367"/>
    <x v="246"/>
    <x v="246"/>
    <n v="10"/>
  </r>
  <r>
    <n v="407"/>
    <x v="368"/>
    <x v="247"/>
    <x v="247"/>
    <n v="20"/>
  </r>
  <r>
    <n v="408"/>
    <x v="369"/>
    <x v="62"/>
    <x v="62"/>
    <n v="60"/>
  </r>
  <r>
    <n v="408"/>
    <x v="369"/>
    <x v="247"/>
    <x v="247"/>
    <n v="20"/>
  </r>
  <r>
    <n v="408"/>
    <x v="369"/>
    <x v="247"/>
    <x v="247"/>
    <n v="30"/>
  </r>
  <r>
    <n v="409"/>
    <x v="370"/>
    <x v="48"/>
    <x v="48"/>
    <n v="30"/>
  </r>
  <r>
    <n v="409"/>
    <x v="370"/>
    <x v="48"/>
    <x v="48"/>
    <n v="35"/>
  </r>
  <r>
    <n v="409"/>
    <x v="370"/>
    <x v="49"/>
    <x v="49"/>
    <n v="30"/>
  </r>
  <r>
    <n v="409"/>
    <x v="370"/>
    <x v="49"/>
    <x v="49"/>
    <n v="35"/>
  </r>
  <r>
    <n v="409"/>
    <x v="370"/>
    <x v="56"/>
    <x v="56"/>
    <n v="30"/>
  </r>
  <r>
    <n v="409"/>
    <x v="370"/>
    <x v="56"/>
    <x v="56"/>
    <n v="35"/>
  </r>
  <r>
    <n v="410"/>
    <x v="371"/>
    <x v="49"/>
    <x v="49"/>
    <n v="30"/>
  </r>
  <r>
    <n v="410"/>
    <x v="371"/>
    <x v="58"/>
    <x v="58"/>
    <n v="30"/>
  </r>
  <r>
    <n v="410"/>
    <x v="371"/>
    <x v="56"/>
    <x v="56"/>
    <n v="30"/>
  </r>
  <r>
    <n v="411"/>
    <x v="372"/>
    <x v="62"/>
    <x v="62"/>
    <n v="60"/>
  </r>
  <r>
    <n v="411"/>
    <x v="372"/>
    <x v="49"/>
    <x v="49"/>
    <n v="30"/>
  </r>
  <r>
    <n v="411"/>
    <x v="372"/>
    <x v="49"/>
    <x v="49"/>
    <n v="35"/>
  </r>
  <r>
    <n v="411"/>
    <x v="372"/>
    <x v="58"/>
    <x v="58"/>
    <n v="30"/>
  </r>
  <r>
    <n v="411"/>
    <x v="372"/>
    <x v="58"/>
    <x v="58"/>
    <n v="35"/>
  </r>
  <r>
    <n v="411"/>
    <x v="372"/>
    <x v="56"/>
    <x v="56"/>
    <n v="30"/>
  </r>
  <r>
    <n v="411"/>
    <x v="372"/>
    <x v="56"/>
    <x v="56"/>
    <n v="35"/>
  </r>
  <r>
    <n v="412"/>
    <x v="373"/>
    <x v="48"/>
    <x v="48"/>
    <n v="30"/>
  </r>
  <r>
    <n v="412"/>
    <x v="373"/>
    <x v="49"/>
    <x v="49"/>
    <n v="30"/>
  </r>
  <r>
    <n v="412"/>
    <x v="373"/>
    <x v="56"/>
    <x v="56"/>
    <n v="30"/>
  </r>
  <r>
    <n v="413"/>
    <x v="374"/>
    <x v="248"/>
    <x v="248"/>
    <n v="20"/>
  </r>
  <r>
    <n v="413"/>
    <x v="374"/>
    <x v="248"/>
    <x v="248"/>
    <n v="5"/>
  </r>
  <r>
    <n v="413"/>
    <x v="374"/>
    <x v="49"/>
    <x v="49"/>
    <n v="20"/>
  </r>
  <r>
    <n v="413"/>
    <x v="374"/>
    <x v="49"/>
    <x v="49"/>
    <n v="5"/>
  </r>
  <r>
    <n v="413"/>
    <x v="374"/>
    <x v="58"/>
    <x v="58"/>
    <n v="20"/>
  </r>
  <r>
    <n v="413"/>
    <x v="374"/>
    <x v="58"/>
    <x v="58"/>
    <n v="5"/>
  </r>
  <r>
    <n v="414"/>
    <x v="375"/>
    <x v="49"/>
    <x v="49"/>
    <n v="25"/>
  </r>
  <r>
    <n v="414"/>
    <x v="375"/>
    <x v="58"/>
    <x v="58"/>
    <n v="25"/>
  </r>
  <r>
    <n v="414"/>
    <x v="375"/>
    <x v="249"/>
    <x v="249"/>
    <n v="70"/>
  </r>
  <r>
    <n v="415"/>
    <x v="376"/>
    <x v="58"/>
    <x v="58"/>
    <n v="30"/>
  </r>
  <r>
    <n v="415"/>
    <x v="376"/>
    <x v="58"/>
    <x v="58"/>
    <n v="35"/>
  </r>
  <r>
    <n v="415"/>
    <x v="376"/>
    <x v="249"/>
    <x v="249"/>
    <n v="80"/>
  </r>
  <r>
    <n v="415"/>
    <x v="376"/>
    <x v="249"/>
    <x v="249"/>
    <n v="120"/>
  </r>
  <r>
    <n v="415"/>
    <x v="376"/>
    <x v="83"/>
    <x v="83"/>
    <n v="60"/>
  </r>
  <r>
    <n v="416"/>
    <x v="377"/>
    <x v="47"/>
    <x v="47"/>
    <n v="90"/>
  </r>
  <r>
    <n v="417"/>
    <x v="378"/>
    <x v="47"/>
    <x v="47"/>
    <n v="90"/>
  </r>
  <r>
    <n v="417"/>
    <x v="378"/>
    <x v="47"/>
    <x v="47"/>
    <n v="105"/>
  </r>
  <r>
    <n v="417"/>
    <x v="378"/>
    <x v="83"/>
    <x v="83"/>
    <n v="60"/>
  </r>
  <r>
    <n v="418"/>
    <x v="379"/>
    <x v="47"/>
    <x v="47"/>
    <n v="90"/>
  </r>
  <r>
    <n v="419"/>
    <x v="380"/>
    <x v="250"/>
    <x v="250"/>
    <n v="100"/>
  </r>
  <r>
    <n v="420"/>
    <x v="381"/>
    <x v="80"/>
    <x v="80"/>
    <n v="20"/>
  </r>
  <r>
    <n v="420"/>
    <x v="381"/>
    <x v="251"/>
    <x v="251"/>
    <n v="40"/>
  </r>
  <r>
    <n v="421"/>
    <x v="382"/>
    <x v="252"/>
    <x v="252"/>
    <n v="50"/>
  </r>
  <r>
    <n v="421"/>
    <x v="382"/>
    <x v="253"/>
    <x v="253"/>
    <n v="25"/>
  </r>
  <r>
    <n v="421"/>
    <x v="382"/>
    <x v="254"/>
    <x v="254"/>
    <n v="50"/>
  </r>
  <r>
    <n v="421"/>
    <x v="382"/>
    <x v="254"/>
    <x v="254"/>
    <n v="25"/>
  </r>
  <r>
    <n v="421"/>
    <x v="382"/>
    <x v="255"/>
    <x v="255"/>
    <n v="35"/>
  </r>
  <r>
    <n v="421"/>
    <x v="382"/>
    <x v="238"/>
    <x v="238"/>
    <n v="50"/>
  </r>
  <r>
    <n v="421"/>
    <x v="382"/>
    <x v="238"/>
    <x v="238"/>
    <n v="25"/>
  </r>
  <r>
    <n v="421"/>
    <x v="382"/>
    <x v="256"/>
    <x v="256"/>
    <n v="40"/>
  </r>
  <r>
    <n v="421"/>
    <x v="382"/>
    <x v="256"/>
    <x v="256"/>
    <n v="20"/>
  </r>
  <r>
    <n v="421"/>
    <x v="382"/>
    <x v="251"/>
    <x v="251"/>
    <n v="25"/>
  </r>
  <r>
    <n v="422"/>
    <x v="383"/>
    <x v="80"/>
    <x v="80"/>
    <n v="20"/>
  </r>
  <r>
    <n v="422"/>
    <x v="383"/>
    <x v="252"/>
    <x v="252"/>
    <n v="50"/>
  </r>
  <r>
    <n v="423"/>
    <x v="384"/>
    <x v="253"/>
    <x v="253"/>
    <n v="50"/>
  </r>
  <r>
    <n v="424"/>
    <x v="385"/>
    <x v="80"/>
    <x v="80"/>
    <n v="10"/>
  </r>
  <r>
    <n v="424"/>
    <x v="385"/>
    <x v="253"/>
    <x v="253"/>
    <n v="50"/>
  </r>
  <r>
    <n v="425"/>
    <x v="386"/>
    <x v="253"/>
    <x v="253"/>
    <n v="50"/>
  </r>
  <r>
    <n v="426"/>
    <x v="387"/>
    <x v="80"/>
    <x v="80"/>
    <n v="10"/>
  </r>
  <r>
    <n v="426"/>
    <x v="387"/>
    <x v="254"/>
    <x v="254"/>
    <n v="50"/>
  </r>
  <r>
    <n v="427"/>
    <x v="388"/>
    <x v="80"/>
    <x v="80"/>
    <n v="23"/>
  </r>
  <r>
    <n v="427"/>
    <x v="388"/>
    <x v="137"/>
    <x v="137"/>
    <n v="76"/>
  </r>
  <r>
    <n v="427"/>
    <x v="388"/>
    <x v="252"/>
    <x v="252"/>
    <n v="19"/>
  </r>
  <r>
    <n v="428"/>
    <x v="389"/>
    <x v="209"/>
    <x v="209"/>
    <n v="20"/>
  </r>
  <r>
    <n v="429"/>
    <x v="390"/>
    <x v="2"/>
    <x v="2"/>
    <n v="10"/>
  </r>
  <r>
    <n v="429"/>
    <x v="390"/>
    <x v="238"/>
    <x v="238"/>
    <n v="50"/>
  </r>
  <r>
    <n v="429"/>
    <x v="390"/>
    <x v="238"/>
    <x v="238"/>
    <n v="40"/>
  </r>
  <r>
    <n v="430"/>
    <x v="391"/>
    <x v="80"/>
    <x v="80"/>
    <n v="16.600000000000001"/>
  </r>
  <r>
    <n v="430"/>
    <x v="391"/>
    <x v="80"/>
    <x v="80"/>
    <n v="20"/>
  </r>
  <r>
    <n v="430"/>
    <x v="391"/>
    <x v="256"/>
    <x v="256"/>
    <n v="40"/>
  </r>
  <r>
    <n v="431"/>
    <x v="392"/>
    <x v="256"/>
    <x v="256"/>
    <n v="40"/>
  </r>
  <r>
    <n v="432"/>
    <x v="393"/>
    <x v="256"/>
    <x v="256"/>
    <n v="40"/>
  </r>
  <r>
    <n v="433"/>
    <x v="394"/>
    <x v="80"/>
    <x v="80"/>
    <n v="10"/>
  </r>
  <r>
    <n v="433"/>
    <x v="394"/>
    <x v="255"/>
    <x v="255"/>
    <n v="35"/>
  </r>
  <r>
    <n v="433"/>
    <x v="394"/>
    <x v="256"/>
    <x v="256"/>
    <n v="20"/>
  </r>
  <r>
    <n v="434"/>
    <x v="395"/>
    <x v="257"/>
    <x v="257"/>
    <n v="100"/>
  </r>
  <r>
    <n v="435"/>
    <x v="396"/>
    <x v="258"/>
    <x v="258"/>
    <n v="25"/>
  </r>
  <r>
    <n v="435"/>
    <x v="396"/>
    <x v="17"/>
    <x v="17"/>
    <n v="25"/>
  </r>
  <r>
    <n v="436"/>
    <x v="397"/>
    <x v="17"/>
    <x v="17"/>
    <n v="50"/>
  </r>
  <r>
    <n v="437"/>
    <x v="398"/>
    <x v="259"/>
    <x v="259"/>
    <n v="100"/>
  </r>
  <r>
    <n v="437"/>
    <x v="398"/>
    <x v="260"/>
    <x v="260"/>
    <n v="100"/>
  </r>
  <r>
    <n v="438"/>
    <x v="399"/>
    <x v="260"/>
    <x v="260"/>
    <n v="100"/>
  </r>
  <r>
    <n v="439"/>
    <x v="400"/>
    <x v="261"/>
    <x v="261"/>
    <n v="8"/>
  </r>
  <r>
    <n v="440"/>
    <x v="401"/>
    <x v="6"/>
    <x v="6"/>
    <n v="30"/>
  </r>
  <r>
    <n v="440"/>
    <x v="401"/>
    <x v="6"/>
    <x v="6"/>
    <n v="20"/>
  </r>
  <r>
    <n v="440"/>
    <x v="401"/>
    <x v="262"/>
    <x v="262"/>
    <n v="50"/>
  </r>
  <r>
    <n v="440"/>
    <x v="401"/>
    <x v="262"/>
    <x v="262"/>
    <n v="30"/>
  </r>
  <r>
    <n v="440"/>
    <x v="401"/>
    <x v="51"/>
    <x v="51"/>
    <n v="5"/>
  </r>
  <r>
    <n v="440"/>
    <x v="401"/>
    <x v="106"/>
    <x v="106"/>
    <n v="15"/>
  </r>
  <r>
    <n v="440"/>
    <x v="401"/>
    <x v="106"/>
    <x v="106"/>
    <n v="10"/>
  </r>
  <r>
    <n v="441"/>
    <x v="402"/>
    <x v="263"/>
    <x v="263"/>
    <n v="15"/>
  </r>
  <r>
    <n v="441"/>
    <x v="402"/>
    <x v="262"/>
    <x v="262"/>
    <n v="55"/>
  </r>
  <r>
    <n v="441"/>
    <x v="402"/>
    <x v="56"/>
    <x v="56"/>
    <n v="25"/>
  </r>
  <r>
    <n v="442"/>
    <x v="403"/>
    <x v="262"/>
    <x v="262"/>
    <n v="50"/>
  </r>
  <r>
    <n v="442"/>
    <x v="403"/>
    <x v="88"/>
    <x v="88"/>
    <n v="10"/>
  </r>
  <r>
    <n v="442"/>
    <x v="403"/>
    <x v="106"/>
    <x v="106"/>
    <n v="15"/>
  </r>
  <r>
    <n v="442"/>
    <x v="403"/>
    <x v="56"/>
    <x v="56"/>
    <n v="20"/>
  </r>
  <r>
    <n v="443"/>
    <x v="404"/>
    <x v="262"/>
    <x v="262"/>
    <n v="55"/>
  </r>
  <r>
    <n v="443"/>
    <x v="404"/>
    <x v="262"/>
    <x v="262"/>
    <n v="50"/>
  </r>
  <r>
    <n v="443"/>
    <x v="404"/>
    <x v="51"/>
    <x v="51"/>
    <n v="5"/>
  </r>
  <r>
    <n v="443"/>
    <x v="404"/>
    <x v="106"/>
    <x v="106"/>
    <n v="15"/>
  </r>
  <r>
    <n v="443"/>
    <x v="404"/>
    <x v="106"/>
    <x v="106"/>
    <n v="10"/>
  </r>
  <r>
    <n v="443"/>
    <x v="404"/>
    <x v="56"/>
    <x v="56"/>
    <n v="25"/>
  </r>
  <r>
    <n v="443"/>
    <x v="404"/>
    <x v="56"/>
    <x v="56"/>
    <n v="15"/>
  </r>
  <r>
    <n v="444"/>
    <x v="405"/>
    <x v="178"/>
    <x v="178"/>
    <n v="20"/>
  </r>
  <r>
    <n v="444"/>
    <x v="405"/>
    <x v="38"/>
    <x v="38"/>
    <n v="100"/>
  </r>
  <r>
    <n v="444"/>
    <x v="405"/>
    <x v="264"/>
    <x v="264"/>
    <n v="50"/>
  </r>
  <r>
    <n v="444"/>
    <x v="405"/>
    <x v="265"/>
    <x v="265"/>
    <n v="5"/>
  </r>
  <r>
    <n v="445"/>
    <x v="406"/>
    <x v="80"/>
    <x v="80"/>
    <n v="5"/>
  </r>
  <r>
    <n v="445"/>
    <x v="406"/>
    <x v="39"/>
    <x v="39"/>
    <n v="20"/>
  </r>
  <r>
    <n v="445"/>
    <x v="406"/>
    <x v="238"/>
    <x v="238"/>
    <n v="50"/>
  </r>
  <r>
    <n v="446"/>
    <x v="407"/>
    <x v="80"/>
    <x v="80"/>
    <n v="10"/>
  </r>
  <r>
    <n v="446"/>
    <x v="407"/>
    <x v="184"/>
    <x v="184"/>
    <n v="10"/>
  </r>
  <r>
    <n v="446"/>
    <x v="407"/>
    <x v="39"/>
    <x v="39"/>
    <n v="20"/>
  </r>
  <r>
    <n v="446"/>
    <x v="407"/>
    <x v="266"/>
    <x v="266"/>
    <n v="50"/>
  </r>
  <r>
    <n v="447"/>
    <x v="408"/>
    <x v="267"/>
    <x v="267"/>
    <n v="160"/>
  </r>
  <r>
    <n v="447"/>
    <x v="408"/>
    <x v="267"/>
    <x v="267"/>
    <n v="1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A2C1C1-7DF2-4D4B-9DAB-0A9BD40D844F}" name="Tabela dinâmica1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12" firstHeaderRow="1" firstDataRow="1" firstDataCol="1"/>
  <pivotFields count="5">
    <pivotField showAll="0"/>
    <pivotField axis="axisRow" showAll="0">
      <items count="4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t="default"/>
      </items>
    </pivotField>
    <pivotField axis="axisRow" showAll="0">
      <items count="269">
        <item x="0"/>
        <item x="1"/>
        <item x="60"/>
        <item x="3"/>
        <item x="8"/>
        <item x="6"/>
        <item x="5"/>
        <item x="10"/>
        <item x="161"/>
        <item x="183"/>
        <item x="80"/>
        <item x="15"/>
        <item x="16"/>
        <item x="19"/>
        <item x="245"/>
        <item x="20"/>
        <item x="132"/>
        <item x="22"/>
        <item x="21"/>
        <item x="28"/>
        <item x="78"/>
        <item x="29"/>
        <item x="171"/>
        <item x="176"/>
        <item x="150"/>
        <item x="194"/>
        <item x="34"/>
        <item x="36"/>
        <item x="35"/>
        <item x="40"/>
        <item x="178"/>
        <item x="179"/>
        <item x="41"/>
        <item x="208"/>
        <item x="241"/>
        <item x="4"/>
        <item x="42"/>
        <item x="43"/>
        <item x="44"/>
        <item x="45"/>
        <item x="46"/>
        <item x="126"/>
        <item x="47"/>
        <item x="248"/>
        <item x="227"/>
        <item x="50"/>
        <item x="52"/>
        <item x="48"/>
        <item x="55"/>
        <item x="57"/>
        <item x="59"/>
        <item x="23"/>
        <item x="68"/>
        <item x="69"/>
        <item x="73"/>
        <item x="70"/>
        <item x="74"/>
        <item x="75"/>
        <item x="76"/>
        <item x="210"/>
        <item x="81"/>
        <item x="87"/>
        <item x="92"/>
        <item x="91"/>
        <item x="94"/>
        <item x="62"/>
        <item x="96"/>
        <item x="61"/>
        <item x="116"/>
        <item x="31"/>
        <item x="240"/>
        <item x="211"/>
        <item x="9"/>
        <item x="242"/>
        <item x="49"/>
        <item x="98"/>
        <item x="99"/>
        <item x="195"/>
        <item x="102"/>
        <item x="100"/>
        <item x="101"/>
        <item x="103"/>
        <item x="243"/>
        <item x="58"/>
        <item x="108"/>
        <item x="109"/>
        <item x="263"/>
        <item x="104"/>
        <item x="77"/>
        <item x="2"/>
        <item x="90"/>
        <item x="110"/>
        <item x="72"/>
        <item x="111"/>
        <item x="181"/>
        <item x="182"/>
        <item x="118"/>
        <item x="119"/>
        <item x="112"/>
        <item x="93"/>
        <item x="122"/>
        <item x="120"/>
        <item x="121"/>
        <item x="246"/>
        <item x="125"/>
        <item x="127"/>
        <item x="262"/>
        <item x="63"/>
        <item x="184"/>
        <item x="84"/>
        <item x="85"/>
        <item x="130"/>
        <item x="131"/>
        <item x="133"/>
        <item x="136"/>
        <item x="7"/>
        <item x="140"/>
        <item x="142"/>
        <item x="185"/>
        <item x="247"/>
        <item x="144"/>
        <item x="145"/>
        <item x="146"/>
        <item x="147"/>
        <item x="148"/>
        <item x="151"/>
        <item x="152"/>
        <item x="153"/>
        <item x="149"/>
        <item x="154"/>
        <item x="155"/>
        <item x="86"/>
        <item x="105"/>
        <item x="156"/>
        <item x="157"/>
        <item x="159"/>
        <item x="137"/>
        <item x="160"/>
        <item x="37"/>
        <item x="38"/>
        <item x="82"/>
        <item x="39"/>
        <item x="209"/>
        <item x="158"/>
        <item x="88"/>
        <item x="163"/>
        <item x="164"/>
        <item x="162"/>
        <item x="249"/>
        <item x="202"/>
        <item x="165"/>
        <item x="168"/>
        <item x="237"/>
        <item x="170"/>
        <item x="24"/>
        <item x="123"/>
        <item x="134"/>
        <item x="135"/>
        <item x="113"/>
        <item x="71"/>
        <item x="51"/>
        <item x="173"/>
        <item x="174"/>
        <item x="175"/>
        <item x="169"/>
        <item x="166"/>
        <item x="53"/>
        <item x="97"/>
        <item x="207"/>
        <item x="30"/>
        <item x="117"/>
        <item x="203"/>
        <item x="167"/>
        <item x="190"/>
        <item x="177"/>
        <item x="186"/>
        <item x="180"/>
        <item x="191"/>
        <item x="187"/>
        <item x="188"/>
        <item x="192"/>
        <item x="64"/>
        <item x="65"/>
        <item x="106"/>
        <item x="128"/>
        <item x="107"/>
        <item x="197"/>
        <item x="198"/>
        <item x="199"/>
        <item x="32"/>
        <item x="200"/>
        <item x="201"/>
        <item x="67"/>
        <item x="95"/>
        <item x="204"/>
        <item x="205"/>
        <item x="206"/>
        <item x="33"/>
        <item x="141"/>
        <item x="143"/>
        <item x="83"/>
        <item x="138"/>
        <item x="212"/>
        <item x="258"/>
        <item x="213"/>
        <item x="27"/>
        <item x="215"/>
        <item x="216"/>
        <item x="12"/>
        <item x="13"/>
        <item x="14"/>
        <item x="217"/>
        <item x="218"/>
        <item x="252"/>
        <item x="253"/>
        <item x="264"/>
        <item x="254"/>
        <item x="255"/>
        <item x="238"/>
        <item x="266"/>
        <item x="256"/>
        <item x="244"/>
        <item x="219"/>
        <item x="220"/>
        <item x="221"/>
        <item x="172"/>
        <item x="222"/>
        <item x="223"/>
        <item x="224"/>
        <item x="225"/>
        <item x="226"/>
        <item x="54"/>
        <item x="196"/>
        <item x="124"/>
        <item x="228"/>
        <item x="229"/>
        <item x="230"/>
        <item x="231"/>
        <item x="25"/>
        <item x="232"/>
        <item x="233"/>
        <item x="234"/>
        <item x="26"/>
        <item x="193"/>
        <item x="235"/>
        <item x="236"/>
        <item x="239"/>
        <item x="139"/>
        <item x="115"/>
        <item x="89"/>
        <item x="250"/>
        <item x="251"/>
        <item x="257"/>
        <item x="189"/>
        <item x="265"/>
        <item x="66"/>
        <item x="18"/>
        <item x="79"/>
        <item x="17"/>
        <item x="214"/>
        <item x="114"/>
        <item x="129"/>
        <item x="259"/>
        <item x="260"/>
        <item x="56"/>
        <item x="261"/>
        <item x="11"/>
        <item x="267"/>
        <item t="default"/>
      </items>
    </pivotField>
    <pivotField showAll="0">
      <items count="269">
        <item x="0"/>
        <item x="1"/>
        <item x="60"/>
        <item x="3"/>
        <item x="8"/>
        <item x="6"/>
        <item x="5"/>
        <item x="10"/>
        <item x="161"/>
        <item x="183"/>
        <item x="80"/>
        <item x="15"/>
        <item x="16"/>
        <item x="19"/>
        <item x="245"/>
        <item x="20"/>
        <item x="132"/>
        <item x="22"/>
        <item x="21"/>
        <item x="28"/>
        <item x="78"/>
        <item x="29"/>
        <item x="171"/>
        <item x="176"/>
        <item x="150"/>
        <item x="194"/>
        <item x="36"/>
        <item x="35"/>
        <item x="40"/>
        <item x="34"/>
        <item x="178"/>
        <item x="179"/>
        <item x="41"/>
        <item x="208"/>
        <item x="241"/>
        <item x="4"/>
        <item x="42"/>
        <item x="43"/>
        <item x="44"/>
        <item x="45"/>
        <item x="46"/>
        <item x="126"/>
        <item x="47"/>
        <item x="248"/>
        <item x="227"/>
        <item x="50"/>
        <item x="52"/>
        <item x="48"/>
        <item x="55"/>
        <item x="57"/>
        <item x="59"/>
        <item x="23"/>
        <item x="68"/>
        <item x="69"/>
        <item x="73"/>
        <item x="70"/>
        <item x="74"/>
        <item x="75"/>
        <item x="76"/>
        <item x="210"/>
        <item x="81"/>
        <item x="87"/>
        <item x="92"/>
        <item x="91"/>
        <item x="94"/>
        <item x="62"/>
        <item x="96"/>
        <item x="61"/>
        <item x="116"/>
        <item x="31"/>
        <item x="240"/>
        <item x="211"/>
        <item x="9"/>
        <item x="242"/>
        <item x="49"/>
        <item x="98"/>
        <item x="99"/>
        <item x="195"/>
        <item x="102"/>
        <item x="100"/>
        <item x="101"/>
        <item x="103"/>
        <item x="243"/>
        <item x="58"/>
        <item x="108"/>
        <item x="109"/>
        <item x="263"/>
        <item x="104"/>
        <item x="77"/>
        <item x="2"/>
        <item x="90"/>
        <item x="110"/>
        <item x="72"/>
        <item x="111"/>
        <item x="181"/>
        <item x="182"/>
        <item x="118"/>
        <item x="119"/>
        <item x="112"/>
        <item x="93"/>
        <item x="120"/>
        <item x="121"/>
        <item x="122"/>
        <item x="246"/>
        <item x="125"/>
        <item x="127"/>
        <item x="262"/>
        <item x="63"/>
        <item x="184"/>
        <item x="84"/>
        <item x="85"/>
        <item x="130"/>
        <item x="131"/>
        <item x="133"/>
        <item x="136"/>
        <item x="7"/>
        <item x="140"/>
        <item x="142"/>
        <item x="185"/>
        <item x="247"/>
        <item x="144"/>
        <item x="145"/>
        <item x="146"/>
        <item x="147"/>
        <item x="148"/>
        <item x="151"/>
        <item x="152"/>
        <item x="153"/>
        <item x="149"/>
        <item x="154"/>
        <item x="155"/>
        <item x="86"/>
        <item x="105"/>
        <item x="156"/>
        <item x="157"/>
        <item x="159"/>
        <item x="137"/>
        <item x="160"/>
        <item x="37"/>
        <item x="38"/>
        <item x="82"/>
        <item x="39"/>
        <item x="209"/>
        <item x="158"/>
        <item x="88"/>
        <item x="163"/>
        <item x="164"/>
        <item x="162"/>
        <item x="249"/>
        <item x="202"/>
        <item x="165"/>
        <item x="168"/>
        <item x="237"/>
        <item x="170"/>
        <item x="24"/>
        <item x="123"/>
        <item x="134"/>
        <item x="135"/>
        <item x="113"/>
        <item x="71"/>
        <item x="51"/>
        <item x="173"/>
        <item x="174"/>
        <item x="175"/>
        <item x="169"/>
        <item x="166"/>
        <item x="53"/>
        <item x="97"/>
        <item x="207"/>
        <item x="30"/>
        <item x="117"/>
        <item x="203"/>
        <item x="167"/>
        <item x="190"/>
        <item x="177"/>
        <item x="186"/>
        <item x="180"/>
        <item x="191"/>
        <item x="187"/>
        <item x="188"/>
        <item x="192"/>
        <item x="64"/>
        <item x="65"/>
        <item x="106"/>
        <item x="128"/>
        <item x="107"/>
        <item x="197"/>
        <item x="198"/>
        <item x="199"/>
        <item x="32"/>
        <item x="200"/>
        <item x="201"/>
        <item x="67"/>
        <item x="95"/>
        <item x="204"/>
        <item x="205"/>
        <item x="206"/>
        <item x="33"/>
        <item x="141"/>
        <item x="143"/>
        <item x="83"/>
        <item x="138"/>
        <item x="212"/>
        <item x="258"/>
        <item x="213"/>
        <item x="27"/>
        <item x="215"/>
        <item x="216"/>
        <item x="12"/>
        <item x="13"/>
        <item x="14"/>
        <item x="217"/>
        <item x="218"/>
        <item x="252"/>
        <item x="253"/>
        <item x="264"/>
        <item x="254"/>
        <item x="255"/>
        <item x="238"/>
        <item x="266"/>
        <item x="256"/>
        <item x="244"/>
        <item x="219"/>
        <item x="220"/>
        <item x="221"/>
        <item x="172"/>
        <item x="222"/>
        <item x="223"/>
        <item x="224"/>
        <item x="226"/>
        <item x="225"/>
        <item x="54"/>
        <item x="196"/>
        <item x="124"/>
        <item x="228"/>
        <item x="229"/>
        <item x="230"/>
        <item x="231"/>
        <item x="25"/>
        <item x="232"/>
        <item x="233"/>
        <item x="234"/>
        <item x="26"/>
        <item x="193"/>
        <item x="235"/>
        <item x="236"/>
        <item x="239"/>
        <item x="139"/>
        <item x="115"/>
        <item x="89"/>
        <item x="250"/>
        <item x="251"/>
        <item x="257"/>
        <item x="189"/>
        <item x="265"/>
        <item x="66"/>
        <item x="18"/>
        <item x="79"/>
        <item x="17"/>
        <item x="214"/>
        <item x="114"/>
        <item x="129"/>
        <item x="259"/>
        <item x="260"/>
        <item x="56"/>
        <item x="261"/>
        <item x="11"/>
        <item x="267"/>
        <item t="default"/>
      </items>
    </pivotField>
    <pivotField dataField="1" showAll="0"/>
  </pivotFields>
  <rowFields count="2">
    <field x="1"/>
    <field x="2"/>
  </rowFields>
  <rowItems count="1209">
    <i>
      <x/>
    </i>
    <i r="1">
      <x/>
    </i>
    <i r="1">
      <x v="1"/>
    </i>
    <i r="1">
      <x v="89"/>
    </i>
    <i>
      <x v="1"/>
    </i>
    <i r="1">
      <x v="3"/>
    </i>
    <i>
      <x v="2"/>
    </i>
    <i r="1">
      <x v="3"/>
    </i>
    <i>
      <x v="3"/>
    </i>
    <i r="1">
      <x v="3"/>
    </i>
    <i>
      <x v="4"/>
    </i>
    <i r="1">
      <x v="3"/>
    </i>
    <i r="1">
      <x v="35"/>
    </i>
    <i>
      <x v="5"/>
    </i>
    <i r="1">
      <x v="6"/>
    </i>
    <i>
      <x v="6"/>
    </i>
    <i r="1">
      <x v="5"/>
    </i>
    <i r="1">
      <x v="115"/>
    </i>
    <i>
      <x v="7"/>
    </i>
    <i r="1">
      <x v="5"/>
    </i>
    <i>
      <x v="8"/>
    </i>
    <i r="1">
      <x v="4"/>
    </i>
    <i>
      <x v="9"/>
    </i>
    <i r="1">
      <x v="4"/>
    </i>
    <i r="1">
      <x v="72"/>
    </i>
    <i>
      <x v="10"/>
    </i>
    <i r="1">
      <x v="5"/>
    </i>
    <i>
      <x v="11"/>
    </i>
    <i r="1">
      <x v="6"/>
    </i>
    <i>
      <x v="12"/>
    </i>
    <i r="1">
      <x v="7"/>
    </i>
    <i r="1">
      <x v="266"/>
    </i>
    <i>
      <x v="13"/>
    </i>
    <i r="1">
      <x v="7"/>
    </i>
    <i r="1">
      <x v="208"/>
    </i>
    <i r="1">
      <x v="209"/>
    </i>
    <i r="1">
      <x v="210"/>
    </i>
    <i>
      <x v="14"/>
    </i>
    <i r="1">
      <x v="11"/>
    </i>
    <i r="1">
      <x v="12"/>
    </i>
    <i r="1">
      <x v="258"/>
    </i>
    <i>
      <x v="15"/>
    </i>
    <i r="1">
      <x v="12"/>
    </i>
    <i r="1">
      <x v="256"/>
    </i>
    <i>
      <x v="16"/>
    </i>
    <i r="1">
      <x v="13"/>
    </i>
    <i>
      <x v="17"/>
    </i>
    <i r="1">
      <x v="15"/>
    </i>
    <i>
      <x v="18"/>
    </i>
    <i r="1">
      <x v="15"/>
    </i>
    <i>
      <x v="19"/>
    </i>
    <i r="1">
      <x v="18"/>
    </i>
    <i r="1">
      <x v="266"/>
    </i>
    <i>
      <x v="20"/>
    </i>
    <i r="1">
      <x v="12"/>
    </i>
    <i r="1">
      <x v="17"/>
    </i>
    <i r="1">
      <x v="18"/>
    </i>
    <i>
      <x v="21"/>
    </i>
    <i r="1">
      <x v="18"/>
    </i>
    <i r="1">
      <x v="51"/>
    </i>
    <i>
      <x v="22"/>
    </i>
    <i r="1">
      <x v="17"/>
    </i>
    <i r="1">
      <x v="154"/>
    </i>
    <i>
      <x v="23"/>
    </i>
    <i r="1">
      <x v="18"/>
    </i>
    <i r="1">
      <x v="238"/>
    </i>
    <i>
      <x v="24"/>
    </i>
    <i r="1">
      <x v="18"/>
    </i>
    <i r="1">
      <x v="242"/>
    </i>
    <i>
      <x v="25"/>
    </i>
    <i r="1">
      <x v="17"/>
    </i>
    <i r="1">
      <x v="258"/>
    </i>
    <i>
      <x v="26"/>
    </i>
    <i r="1">
      <x v="18"/>
    </i>
    <i r="1">
      <x v="205"/>
    </i>
    <i>
      <x v="27"/>
    </i>
    <i r="1">
      <x v="19"/>
    </i>
    <i>
      <x v="28"/>
    </i>
    <i r="1">
      <x v="21"/>
    </i>
    <i r="1">
      <x v="169"/>
    </i>
    <i>
      <x v="29"/>
    </i>
    <i r="1">
      <x v="69"/>
    </i>
    <i r="1">
      <x v="189"/>
    </i>
    <i r="1">
      <x v="197"/>
    </i>
    <i>
      <x v="30"/>
    </i>
    <i r="1">
      <x v="21"/>
    </i>
    <i r="1">
      <x v="169"/>
    </i>
    <i>
      <x v="31"/>
    </i>
    <i r="1">
      <x v="21"/>
    </i>
    <i>
      <x v="32"/>
    </i>
    <i r="1">
      <x v="26"/>
    </i>
    <i>
      <x v="33"/>
    </i>
    <i r="1">
      <x v="26"/>
    </i>
    <i>
      <x v="34"/>
    </i>
    <i r="1">
      <x v="26"/>
    </i>
    <i>
      <x v="35"/>
    </i>
    <i r="1">
      <x v="28"/>
    </i>
    <i>
      <x v="36"/>
    </i>
    <i r="1">
      <x v="27"/>
    </i>
    <i r="1">
      <x v="138"/>
    </i>
    <i r="1">
      <x v="139"/>
    </i>
    <i r="1">
      <x v="141"/>
    </i>
    <i>
      <x v="37"/>
    </i>
    <i r="1">
      <x v="26"/>
    </i>
    <i>
      <x v="38"/>
    </i>
    <i r="1">
      <x v="29"/>
    </i>
    <i>
      <x v="39"/>
    </i>
    <i r="1">
      <x v="29"/>
    </i>
    <i>
      <x v="40"/>
    </i>
    <i r="1">
      <x v="29"/>
    </i>
    <i>
      <x v="41"/>
    </i>
    <i r="1">
      <x v="32"/>
    </i>
    <i>
      <x v="42"/>
    </i>
    <i r="1">
      <x v="36"/>
    </i>
    <i>
      <x v="43"/>
    </i>
    <i r="1">
      <x v="37"/>
    </i>
    <i>
      <x v="44"/>
    </i>
    <i r="1">
      <x v="38"/>
    </i>
    <i>
      <x v="45"/>
    </i>
    <i r="1">
      <x v="39"/>
    </i>
    <i r="1">
      <x v="40"/>
    </i>
    <i>
      <x v="46"/>
    </i>
    <i r="1">
      <x v="42"/>
    </i>
    <i>
      <x v="47"/>
    </i>
    <i r="1">
      <x v="42"/>
    </i>
    <i>
      <x v="48"/>
    </i>
    <i r="1">
      <x v="5"/>
    </i>
    <i r="1">
      <x v="42"/>
    </i>
    <i>
      <x v="49"/>
    </i>
    <i r="1">
      <x v="42"/>
    </i>
    <i>
      <x v="50"/>
    </i>
    <i r="1">
      <x v="42"/>
    </i>
    <i>
      <x v="51"/>
    </i>
    <i r="1">
      <x v="47"/>
    </i>
    <i>
      <x v="52"/>
    </i>
    <i r="1">
      <x v="47"/>
    </i>
    <i r="1">
      <x v="74"/>
    </i>
    <i>
      <x v="53"/>
    </i>
    <i r="1">
      <x v="45"/>
    </i>
    <i r="1">
      <x v="160"/>
    </i>
    <i>
      <x v="54"/>
    </i>
    <i r="1">
      <x v="46"/>
    </i>
    <i>
      <x v="55"/>
    </i>
    <i r="1">
      <x v="47"/>
    </i>
    <i r="1">
      <x v="166"/>
    </i>
    <i r="1">
      <x v="231"/>
    </i>
    <i>
      <x v="56"/>
    </i>
    <i r="1">
      <x v="48"/>
    </i>
    <i>
      <x v="57"/>
    </i>
    <i r="1">
      <x v="47"/>
    </i>
    <i r="1">
      <x v="74"/>
    </i>
    <i r="1">
      <x v="264"/>
    </i>
    <i>
      <x v="58"/>
    </i>
    <i r="1">
      <x v="5"/>
    </i>
    <i r="1">
      <x v="49"/>
    </i>
    <i>
      <x v="59"/>
    </i>
    <i r="1">
      <x v="5"/>
    </i>
    <i r="1">
      <x v="49"/>
    </i>
    <i>
      <x v="60"/>
    </i>
    <i r="1">
      <x v="49"/>
    </i>
    <i r="1">
      <x v="83"/>
    </i>
    <i r="1">
      <x v="210"/>
    </i>
    <i>
      <x v="61"/>
    </i>
    <i r="1">
      <x v="50"/>
    </i>
    <i>
      <x v="62"/>
    </i>
    <i r="1">
      <x v="2"/>
    </i>
    <i r="1">
      <x v="50"/>
    </i>
    <i>
      <x v="63"/>
    </i>
    <i r="1">
      <x v="50"/>
    </i>
    <i r="1">
      <x v="264"/>
    </i>
    <i>
      <x v="64"/>
    </i>
    <i r="1">
      <x v="35"/>
    </i>
    <i r="1">
      <x v="67"/>
    </i>
    <i>
      <x v="65"/>
    </i>
    <i r="1">
      <x v="65"/>
    </i>
    <i r="1">
      <x v="69"/>
    </i>
    <i r="1">
      <x v="107"/>
    </i>
    <i r="1">
      <x v="181"/>
    </i>
    <i r="1">
      <x v="182"/>
    </i>
    <i r="1">
      <x v="189"/>
    </i>
    <i r="1">
      <x v="255"/>
    </i>
    <i>
      <x v="66"/>
    </i>
    <i r="1">
      <x v="74"/>
    </i>
    <i r="1">
      <x v="192"/>
    </i>
    <i>
      <x v="67"/>
    </i>
    <i r="1">
      <x v="52"/>
    </i>
    <i>
      <x v="68"/>
    </i>
    <i r="1">
      <x v="52"/>
    </i>
    <i>
      <x v="69"/>
    </i>
    <i r="1">
      <x v="52"/>
    </i>
    <i>
      <x v="70"/>
    </i>
    <i r="1">
      <x v="53"/>
    </i>
    <i>
      <x v="71"/>
    </i>
    <i r="1">
      <x v="53"/>
    </i>
    <i>
      <x v="72"/>
    </i>
    <i r="1">
      <x v="55"/>
    </i>
    <i r="1">
      <x v="74"/>
    </i>
    <i r="1">
      <x v="159"/>
    </i>
    <i>
      <x v="73"/>
    </i>
    <i r="1">
      <x v="55"/>
    </i>
    <i r="1">
      <x v="92"/>
    </i>
    <i>
      <x v="74"/>
    </i>
    <i r="1">
      <x v="55"/>
    </i>
    <i r="1">
      <x v="92"/>
    </i>
    <i>
      <x v="75"/>
    </i>
    <i r="1">
      <x v="54"/>
    </i>
    <i r="1">
      <x v="92"/>
    </i>
    <i>
      <x v="76"/>
    </i>
    <i r="1">
      <x v="56"/>
    </i>
    <i>
      <x v="77"/>
    </i>
    <i r="1">
      <x v="57"/>
    </i>
    <i r="1">
      <x v="169"/>
    </i>
    <i>
      <x v="78"/>
    </i>
    <i r="1">
      <x v="58"/>
    </i>
    <i r="1">
      <x v="169"/>
    </i>
    <i>
      <x v="79"/>
    </i>
    <i r="1">
      <x v="58"/>
    </i>
    <i>
      <x v="80"/>
    </i>
    <i r="1">
      <x v="58"/>
    </i>
    <i r="1">
      <x v="88"/>
    </i>
    <i>
      <x v="81"/>
    </i>
    <i r="1">
      <x v="20"/>
    </i>
    <i r="1">
      <x v="58"/>
    </i>
    <i r="1">
      <x v="257"/>
    </i>
    <i>
      <x v="82"/>
    </i>
    <i r="1">
      <x v="10"/>
    </i>
    <i r="1">
      <x v="60"/>
    </i>
    <i r="1">
      <x v="139"/>
    </i>
    <i>
      <x v="83"/>
    </i>
    <i r="1">
      <x v="10"/>
    </i>
    <i r="1">
      <x v="60"/>
    </i>
    <i r="1">
      <x v="140"/>
    </i>
    <i>
      <x v="84"/>
    </i>
    <i r="1">
      <x v="10"/>
    </i>
    <i r="1">
      <x v="60"/>
    </i>
    <i r="1">
      <x v="139"/>
    </i>
    <i>
      <x v="85"/>
    </i>
    <i r="1">
      <x v="10"/>
    </i>
    <i r="1">
      <x v="60"/>
    </i>
    <i r="1">
      <x v="139"/>
    </i>
    <i>
      <x v="86"/>
    </i>
    <i r="1">
      <x v="60"/>
    </i>
    <i>
      <x v="87"/>
    </i>
    <i r="1">
      <x v="60"/>
    </i>
    <i r="1">
      <x v="139"/>
    </i>
    <i>
      <x v="88"/>
    </i>
    <i r="1">
      <x v="10"/>
    </i>
    <i r="1">
      <x v="60"/>
    </i>
    <i r="1">
      <x v="139"/>
    </i>
    <i>
      <x v="89"/>
    </i>
    <i r="1">
      <x v="15"/>
    </i>
    <i>
      <x v="90"/>
    </i>
    <i r="1">
      <x v="15"/>
    </i>
    <i r="1">
      <x v="200"/>
    </i>
    <i>
      <x v="91"/>
    </i>
    <i r="1">
      <x v="109"/>
    </i>
    <i r="1">
      <x v="110"/>
    </i>
    <i>
      <x v="92"/>
    </i>
    <i r="1">
      <x v="110"/>
    </i>
    <i>
      <x v="93"/>
    </i>
    <i r="1">
      <x v="110"/>
    </i>
    <i>
      <x v="94"/>
    </i>
    <i r="1">
      <x v="110"/>
    </i>
    <i>
      <x v="95"/>
    </i>
    <i r="1">
      <x v="26"/>
    </i>
    <i r="1">
      <x v="74"/>
    </i>
    <i r="1">
      <x v="131"/>
    </i>
    <i r="1">
      <x v="200"/>
    </i>
    <i>
      <x v="96"/>
    </i>
    <i r="1">
      <x v="61"/>
    </i>
    <i r="1">
      <x v="144"/>
    </i>
    <i r="1">
      <x v="249"/>
    </i>
    <i>
      <x v="97"/>
    </i>
    <i r="1">
      <x v="12"/>
    </i>
    <i r="1">
      <x v="61"/>
    </i>
    <i>
      <x v="98"/>
    </i>
    <i r="1">
      <x v="12"/>
    </i>
    <i r="1">
      <x v="61"/>
    </i>
    <i>
      <x v="99"/>
    </i>
    <i r="1">
      <x v="249"/>
    </i>
    <i>
      <x v="100"/>
    </i>
    <i r="1">
      <x v="61"/>
    </i>
    <i r="1">
      <x v="90"/>
    </i>
    <i>
      <x v="101"/>
    </i>
    <i r="1">
      <x v="61"/>
    </i>
    <i r="1">
      <x v="90"/>
    </i>
    <i r="1">
      <x v="200"/>
    </i>
    <i>
      <x v="102"/>
    </i>
    <i r="1">
      <x v="61"/>
    </i>
    <i>
      <x v="103"/>
    </i>
    <i r="1">
      <x v="63"/>
    </i>
    <i>
      <x v="104"/>
    </i>
    <i r="1">
      <x v="62"/>
    </i>
    <i>
      <x v="105"/>
    </i>
    <i r="1">
      <x v="62"/>
    </i>
    <i r="1">
      <x v="99"/>
    </i>
    <i>
      <x v="106"/>
    </i>
    <i r="1">
      <x v="62"/>
    </i>
    <i>
      <x v="107"/>
    </i>
    <i r="1">
      <x v="64"/>
    </i>
    <i r="1">
      <x v="65"/>
    </i>
    <i r="1">
      <x v="193"/>
    </i>
    <i>
      <x v="108"/>
    </i>
    <i r="1">
      <x v="65"/>
    </i>
    <i>
      <x v="109"/>
    </i>
    <i r="1">
      <x v="66"/>
    </i>
    <i r="1">
      <x v="167"/>
    </i>
    <i>
      <x v="110"/>
    </i>
    <i r="1">
      <x v="74"/>
    </i>
    <i r="1">
      <x v="83"/>
    </i>
    <i>
      <x v="111"/>
    </i>
    <i r="1">
      <x v="74"/>
    </i>
    <i r="1">
      <x v="83"/>
    </i>
    <i>
      <x v="112"/>
    </i>
    <i r="1">
      <x v="74"/>
    </i>
    <i>
      <x v="113"/>
    </i>
    <i r="1">
      <x v="74"/>
    </i>
    <i r="1">
      <x v="264"/>
    </i>
    <i>
      <x v="114"/>
    </i>
    <i r="1">
      <x v="47"/>
    </i>
    <i r="1">
      <x v="74"/>
    </i>
    <i>
      <x v="115"/>
    </i>
    <i r="1">
      <x v="75"/>
    </i>
    <i r="1">
      <x v="76"/>
    </i>
    <i>
      <x v="116"/>
    </i>
    <i r="1">
      <x v="75"/>
    </i>
    <i r="1">
      <x v="258"/>
    </i>
    <i>
      <x v="117"/>
    </i>
    <i r="1">
      <x v="74"/>
    </i>
    <i>
      <x v="118"/>
    </i>
    <i r="1">
      <x v="74"/>
    </i>
    <i r="1">
      <x v="160"/>
    </i>
    <i>
      <x v="119"/>
    </i>
    <i r="1">
      <x v="74"/>
    </i>
    <i r="1">
      <x v="83"/>
    </i>
    <i r="1">
      <x v="264"/>
    </i>
    <i>
      <x v="120"/>
    </i>
    <i r="1">
      <x v="10"/>
    </i>
    <i r="1">
      <x v="79"/>
    </i>
    <i r="1">
      <x v="80"/>
    </i>
    <i>
      <x v="121"/>
    </i>
    <i r="1">
      <x v="78"/>
    </i>
    <i>
      <x v="122"/>
    </i>
    <i r="1">
      <x v="81"/>
    </i>
    <i>
      <x v="123"/>
    </i>
    <i r="1">
      <x v="74"/>
    </i>
    <i r="1">
      <x v="83"/>
    </i>
    <i>
      <x v="124"/>
    </i>
    <i r="1">
      <x v="72"/>
    </i>
    <i r="1">
      <x v="83"/>
    </i>
    <i r="1">
      <x v="87"/>
    </i>
    <i>
      <x v="125"/>
    </i>
    <i r="1">
      <x v="83"/>
    </i>
    <i r="1">
      <x v="88"/>
    </i>
    <i>
      <x v="126"/>
    </i>
    <i r="1">
      <x v="83"/>
    </i>
    <i r="1">
      <x v="132"/>
    </i>
    <i>
      <x v="127"/>
    </i>
    <i r="1">
      <x v="72"/>
    </i>
    <i r="1">
      <x v="83"/>
    </i>
    <i r="1">
      <x v="183"/>
    </i>
    <i r="1">
      <x v="185"/>
    </i>
    <i>
      <x v="128"/>
    </i>
    <i r="1">
      <x v="83"/>
    </i>
    <i>
      <x v="129"/>
    </i>
    <i r="1">
      <x v="83"/>
    </i>
    <i>
      <x v="130"/>
    </i>
    <i r="1">
      <x v="84"/>
    </i>
    <i>
      <x v="131"/>
    </i>
    <i r="1">
      <x v="83"/>
    </i>
    <i r="1">
      <x v="166"/>
    </i>
    <i>
      <x v="132"/>
    </i>
    <i r="1">
      <x v="83"/>
    </i>
    <i>
      <x v="133"/>
    </i>
    <i r="1">
      <x v="83"/>
    </i>
    <i r="1">
      <x v="85"/>
    </i>
    <i>
      <x v="134"/>
    </i>
    <i r="1">
      <x v="35"/>
    </i>
    <i r="1">
      <x v="72"/>
    </i>
    <i r="1">
      <x v="85"/>
    </i>
    <i r="1">
      <x v="183"/>
    </i>
    <i>
      <x v="135"/>
    </i>
    <i r="1">
      <x v="85"/>
    </i>
    <i r="1">
      <x v="88"/>
    </i>
    <i>
      <x v="136"/>
    </i>
    <i r="1">
      <x v="91"/>
    </i>
    <i r="1">
      <x v="266"/>
    </i>
    <i>
      <x v="137"/>
    </i>
    <i r="1">
      <x v="92"/>
    </i>
    <i>
      <x v="138"/>
    </i>
    <i r="1">
      <x v="93"/>
    </i>
    <i>
      <x v="139"/>
    </i>
    <i r="1">
      <x v="98"/>
    </i>
    <i r="1">
      <x v="139"/>
    </i>
    <i>
      <x v="140"/>
    </i>
    <i r="1">
      <x v="65"/>
    </i>
    <i r="1">
      <x v="98"/>
    </i>
    <i r="1">
      <x v="139"/>
    </i>
    <i r="1">
      <x v="158"/>
    </i>
    <i r="1">
      <x v="260"/>
    </i>
    <i>
      <x v="141"/>
    </i>
    <i r="1">
      <x v="248"/>
    </i>
    <i>
      <x v="142"/>
    </i>
    <i r="1">
      <x v="68"/>
    </i>
    <i>
      <x v="143"/>
    </i>
    <i r="1">
      <x v="68"/>
    </i>
    <i r="1">
      <x v="170"/>
    </i>
    <i>
      <x v="144"/>
    </i>
    <i r="1">
      <x v="68"/>
    </i>
    <i r="1">
      <x v="170"/>
    </i>
    <i>
      <x v="145"/>
    </i>
    <i r="1">
      <x v="96"/>
    </i>
    <i>
      <x v="146"/>
    </i>
    <i r="1">
      <x v="97"/>
    </i>
    <i>
      <x v="147"/>
    </i>
    <i r="1">
      <x v="15"/>
    </i>
    <i r="1">
      <x v="65"/>
    </i>
    <i>
      <x v="148"/>
    </i>
    <i r="1">
      <x v="101"/>
    </i>
    <i>
      <x v="149"/>
    </i>
    <i r="1">
      <x v="102"/>
    </i>
    <i>
      <x v="150"/>
    </i>
    <i r="1">
      <x v="100"/>
    </i>
    <i r="1">
      <x v="169"/>
    </i>
    <i>
      <x v="151"/>
    </i>
    <i r="1">
      <x v="32"/>
    </i>
    <i r="1">
      <x v="100"/>
    </i>
    <i r="1">
      <x v="155"/>
    </i>
    <i r="1">
      <x v="233"/>
    </i>
    <i>
      <x v="152"/>
    </i>
    <i r="1">
      <x v="104"/>
    </i>
    <i>
      <x v="153"/>
    </i>
    <i r="1">
      <x v="1"/>
    </i>
    <i r="1">
      <x v="41"/>
    </i>
    <i r="1">
      <x v="105"/>
    </i>
    <i r="1">
      <x v="184"/>
    </i>
    <i r="1">
      <x v="261"/>
    </i>
    <i>
      <x v="154"/>
    </i>
    <i r="1">
      <x v="109"/>
    </i>
    <i r="1">
      <x v="111"/>
    </i>
    <i>
      <x v="155"/>
    </i>
    <i r="1">
      <x v="109"/>
    </i>
    <i>
      <x v="156"/>
    </i>
    <i r="1">
      <x v="109"/>
    </i>
    <i r="1">
      <x v="110"/>
    </i>
    <i>
      <x v="157"/>
    </i>
    <i r="1">
      <x v="109"/>
    </i>
    <i>
      <x v="158"/>
    </i>
    <i r="1">
      <x v="112"/>
    </i>
    <i>
      <x v="159"/>
    </i>
    <i r="1">
      <x v="111"/>
    </i>
    <i r="1">
      <x v="112"/>
    </i>
    <i>
      <x v="160"/>
    </i>
    <i r="1">
      <x v="112"/>
    </i>
    <i>
      <x v="161"/>
    </i>
    <i r="1">
      <x v="112"/>
    </i>
    <i>
      <x v="162"/>
    </i>
    <i r="1">
      <x v="109"/>
    </i>
    <i>
      <x v="163"/>
    </i>
    <i r="1">
      <x v="197"/>
    </i>
    <i r="1">
      <x v="200"/>
    </i>
    <i>
      <x v="164"/>
    </i>
    <i r="1">
      <x v="16"/>
    </i>
    <i r="1">
      <x v="113"/>
    </i>
    <i r="1">
      <x v="156"/>
    </i>
    <i r="1">
      <x v="157"/>
    </i>
    <i>
      <x v="165"/>
    </i>
    <i r="1">
      <x v="114"/>
    </i>
    <i>
      <x v="166"/>
    </i>
    <i r="1">
      <x v="136"/>
    </i>
    <i r="1">
      <x v="201"/>
    </i>
    <i>
      <x v="167"/>
    </i>
    <i r="1">
      <x v="247"/>
    </i>
    <i>
      <x v="168"/>
    </i>
    <i r="1">
      <x v="200"/>
    </i>
    <i>
      <x v="169"/>
    </i>
    <i r="1">
      <x v="116"/>
    </i>
    <i>
      <x v="170"/>
    </i>
    <i r="1">
      <x v="200"/>
    </i>
    <i>
      <x v="171"/>
    </i>
    <i r="1">
      <x v="198"/>
    </i>
    <i>
      <x v="172"/>
    </i>
    <i r="1">
      <x v="117"/>
    </i>
    <i r="1">
      <x v="199"/>
    </i>
    <i>
      <x v="173"/>
    </i>
    <i r="1">
      <x v="120"/>
    </i>
    <i>
      <x v="174"/>
    </i>
    <i r="1">
      <x v="120"/>
    </i>
    <i>
      <x v="175"/>
    </i>
    <i r="1">
      <x v="121"/>
    </i>
    <i>
      <x v="176"/>
    </i>
    <i r="1">
      <x v="122"/>
    </i>
    <i>
      <x v="177"/>
    </i>
    <i r="1">
      <x v="123"/>
    </i>
    <i>
      <x v="178"/>
    </i>
    <i r="1">
      <x v="124"/>
    </i>
    <i>
      <x v="179"/>
    </i>
    <i r="1">
      <x v="128"/>
    </i>
    <i>
      <x v="180"/>
    </i>
    <i r="1">
      <x v="24"/>
    </i>
    <i r="1">
      <x v="125"/>
    </i>
    <i>
      <x v="181"/>
    </i>
    <i r="1">
      <x v="126"/>
    </i>
    <i>
      <x v="182"/>
    </i>
    <i r="1">
      <x v="127"/>
    </i>
    <i>
      <x v="183"/>
    </i>
    <i r="1">
      <x v="129"/>
    </i>
    <i>
      <x v="184"/>
    </i>
    <i r="1">
      <x v="129"/>
    </i>
    <i>
      <x v="185"/>
    </i>
    <i r="1">
      <x v="10"/>
    </i>
    <i r="1">
      <x v="129"/>
    </i>
    <i>
      <x v="186"/>
    </i>
    <i r="1">
      <x v="130"/>
    </i>
    <i>
      <x v="187"/>
    </i>
    <i r="1">
      <x v="57"/>
    </i>
    <i>
      <x v="188"/>
    </i>
    <i r="1">
      <x v="132"/>
    </i>
    <i>
      <x v="189"/>
    </i>
    <i r="1">
      <x v="132"/>
    </i>
    <i>
      <x v="190"/>
    </i>
    <i r="1">
      <x v="42"/>
    </i>
    <i r="1">
      <x v="132"/>
    </i>
    <i>
      <x v="191"/>
    </i>
    <i r="1">
      <x v="132"/>
    </i>
    <i>
      <x v="192"/>
    </i>
    <i r="1">
      <x v="197"/>
    </i>
    <i r="1">
      <x v="256"/>
    </i>
    <i>
      <x v="193"/>
    </i>
    <i r="1">
      <x v="69"/>
    </i>
    <i r="1">
      <x v="197"/>
    </i>
    <i r="1">
      <x v="209"/>
    </i>
    <i r="1">
      <x v="256"/>
    </i>
    <i>
      <x v="194"/>
    </i>
    <i r="1">
      <x v="201"/>
    </i>
    <i>
      <x v="195"/>
    </i>
    <i r="1">
      <x v="67"/>
    </i>
    <i r="1">
      <x v="69"/>
    </i>
    <i r="1">
      <x v="209"/>
    </i>
    <i r="1">
      <x v="255"/>
    </i>
    <i>
      <x v="196"/>
    </i>
    <i r="1">
      <x v="67"/>
    </i>
    <i>
      <x v="197"/>
    </i>
    <i r="1">
      <x v="200"/>
    </i>
    <i>
      <x v="198"/>
    </i>
    <i r="1">
      <x v="69"/>
    </i>
    <i r="1">
      <x v="197"/>
    </i>
    <i r="1">
      <x v="209"/>
    </i>
    <i r="1">
      <x v="255"/>
    </i>
    <i>
      <x v="199"/>
    </i>
    <i r="1">
      <x v="69"/>
    </i>
    <i r="1">
      <x v="200"/>
    </i>
    <i>
      <x v="200"/>
    </i>
    <i r="1">
      <x v="133"/>
    </i>
    <i>
      <x v="201"/>
    </i>
    <i r="1">
      <x v="133"/>
    </i>
    <i>
      <x v="202"/>
    </i>
    <i r="1">
      <x v="134"/>
    </i>
    <i>
      <x v="203"/>
    </i>
    <i r="1">
      <x v="134"/>
    </i>
    <i>
      <x v="204"/>
    </i>
    <i r="1">
      <x v="134"/>
    </i>
    <i>
      <x v="205"/>
    </i>
    <i r="1">
      <x v="74"/>
    </i>
    <i r="1">
      <x v="134"/>
    </i>
    <i r="1">
      <x v="143"/>
    </i>
    <i>
      <x v="206"/>
    </i>
    <i r="1">
      <x v="136"/>
    </i>
    <i>
      <x v="207"/>
    </i>
    <i r="1">
      <x v="136"/>
    </i>
    <i>
      <x v="208"/>
    </i>
    <i r="1">
      <x v="24"/>
    </i>
    <i r="1">
      <x v="135"/>
    </i>
    <i>
      <x v="209"/>
    </i>
    <i r="1">
      <x v="136"/>
    </i>
    <i>
      <x v="210"/>
    </i>
    <i r="1">
      <x v="137"/>
    </i>
    <i>
      <x v="211"/>
    </i>
    <i r="1">
      <x v="47"/>
    </i>
    <i r="1">
      <x v="74"/>
    </i>
    <i r="1">
      <x v="83"/>
    </i>
    <i r="1">
      <x v="264"/>
    </i>
    <i>
      <x v="212"/>
    </i>
    <i r="1">
      <x v="47"/>
    </i>
    <i r="1">
      <x v="74"/>
    </i>
    <i r="1">
      <x v="83"/>
    </i>
    <i>
      <x v="213"/>
    </i>
    <i r="1">
      <x v="47"/>
    </i>
    <i r="1">
      <x v="72"/>
    </i>
    <i r="1">
      <x v="74"/>
    </i>
    <i r="1">
      <x v="264"/>
    </i>
    <i>
      <x v="214"/>
    </i>
    <i r="1">
      <x v="74"/>
    </i>
    <i r="1">
      <x v="83"/>
    </i>
    <i>
      <x v="215"/>
    </i>
    <i r="1">
      <x v="47"/>
    </i>
    <i r="1">
      <x v="74"/>
    </i>
    <i r="1">
      <x v="83"/>
    </i>
    <i>
      <x v="216"/>
    </i>
    <i r="1">
      <x v="74"/>
    </i>
    <i r="1">
      <x v="83"/>
    </i>
    <i r="1">
      <x v="159"/>
    </i>
    <i r="1">
      <x v="160"/>
    </i>
    <i r="1">
      <x v="264"/>
    </i>
    <i>
      <x v="217"/>
    </i>
    <i r="1">
      <x v="8"/>
    </i>
    <i r="1">
      <x v="141"/>
    </i>
    <i>
      <x v="218"/>
    </i>
    <i r="1">
      <x v="147"/>
    </i>
    <i>
      <x v="219"/>
    </i>
    <i r="1">
      <x v="145"/>
    </i>
    <i r="1">
      <x v="146"/>
    </i>
    <i r="1">
      <x v="147"/>
    </i>
    <i>
      <x v="220"/>
    </i>
    <i r="1">
      <x v="150"/>
    </i>
    <i r="1">
      <x v="156"/>
    </i>
    <i r="1">
      <x v="165"/>
    </i>
    <i>
      <x v="221"/>
    </i>
    <i r="1">
      <x v="150"/>
    </i>
    <i r="1">
      <x v="172"/>
    </i>
    <i>
      <x v="222"/>
    </i>
    <i r="1">
      <x v="99"/>
    </i>
    <i r="1">
      <x v="151"/>
    </i>
    <i r="1">
      <x v="164"/>
    </i>
    <i>
      <x v="223"/>
    </i>
    <i r="1">
      <x v="153"/>
    </i>
    <i>
      <x v="224"/>
    </i>
    <i r="1">
      <x v="153"/>
    </i>
    <i>
      <x v="225"/>
    </i>
    <i r="1">
      <x v="154"/>
    </i>
    <i>
      <x v="226"/>
    </i>
    <i r="1">
      <x v="154"/>
    </i>
    <i>
      <x v="227"/>
    </i>
    <i r="1">
      <x v="154"/>
    </i>
    <i>
      <x v="228"/>
    </i>
    <i r="1">
      <x v="22"/>
    </i>
    <i r="1">
      <x v="225"/>
    </i>
    <i>
      <x v="229"/>
    </i>
    <i r="1">
      <x v="225"/>
    </i>
    <i>
      <x v="230"/>
    </i>
    <i r="1">
      <x v="161"/>
    </i>
    <i>
      <x v="231"/>
    </i>
    <i r="1">
      <x v="162"/>
    </i>
    <i>
      <x v="232"/>
    </i>
    <i r="1">
      <x v="162"/>
    </i>
    <i>
      <x v="233"/>
    </i>
    <i r="1">
      <x v="50"/>
    </i>
    <i r="1">
      <x v="163"/>
    </i>
    <i>
      <x v="234"/>
    </i>
    <i r="1">
      <x v="50"/>
    </i>
    <i r="1">
      <x v="163"/>
    </i>
    <i>
      <x v="235"/>
    </i>
    <i r="1">
      <x v="10"/>
    </i>
    <i r="1">
      <x v="23"/>
    </i>
    <i r="1">
      <x v="24"/>
    </i>
    <i r="1">
      <x v="139"/>
    </i>
    <i r="1">
      <x v="141"/>
    </i>
    <i>
      <x v="236"/>
    </i>
    <i r="1">
      <x v="139"/>
    </i>
    <i r="1">
      <x v="174"/>
    </i>
    <i>
      <x v="237"/>
    </i>
    <i r="1">
      <x v="10"/>
    </i>
    <i r="1">
      <x v="30"/>
    </i>
    <i r="1">
      <x v="31"/>
    </i>
    <i r="1">
      <x v="139"/>
    </i>
    <i>
      <x v="238"/>
    </i>
    <i r="1">
      <x v="139"/>
    </i>
    <i r="1">
      <x v="176"/>
    </i>
    <i>
      <x v="239"/>
    </i>
    <i r="1">
      <x v="10"/>
    </i>
    <i r="1">
      <x v="94"/>
    </i>
    <i r="1">
      <x v="139"/>
    </i>
    <i r="1">
      <x v="141"/>
    </i>
    <i>
      <x v="240"/>
    </i>
    <i r="1">
      <x v="10"/>
    </i>
    <i r="1">
      <x v="95"/>
    </i>
    <i r="1">
      <x v="139"/>
    </i>
    <i>
      <x v="241"/>
    </i>
    <i r="1">
      <x v="9"/>
    </i>
    <i r="1">
      <x v="95"/>
    </i>
    <i r="1">
      <x v="139"/>
    </i>
    <i>
      <x v="242"/>
    </i>
    <i r="1">
      <x v="10"/>
    </i>
    <i r="1">
      <x v="95"/>
    </i>
    <i r="1">
      <x v="139"/>
    </i>
    <i>
      <x v="243"/>
    </i>
    <i r="1">
      <x v="10"/>
    </i>
    <i r="1">
      <x v="108"/>
    </i>
    <i r="1">
      <x v="139"/>
    </i>
    <i>
      <x v="244"/>
    </i>
    <i r="1">
      <x v="10"/>
    </i>
    <i r="1">
      <x v="118"/>
    </i>
    <i r="1">
      <x v="139"/>
    </i>
    <i r="1">
      <x v="141"/>
    </i>
    <i>
      <x v="245"/>
    </i>
    <i r="1">
      <x v="139"/>
    </i>
    <i r="1">
      <x v="174"/>
    </i>
    <i>
      <x v="246"/>
    </i>
    <i r="1">
      <x v="10"/>
    </i>
    <i r="1">
      <x v="139"/>
    </i>
    <i r="1">
      <x v="175"/>
    </i>
    <i>
      <x v="247"/>
    </i>
    <i r="1">
      <x v="139"/>
    </i>
    <i r="1">
      <x v="176"/>
    </i>
    <i>
      <x v="248"/>
    </i>
    <i r="1">
      <x v="10"/>
    </i>
    <i r="1">
      <x v="139"/>
    </i>
    <i r="1">
      <x v="178"/>
    </i>
    <i>
      <x v="249"/>
    </i>
    <i r="1">
      <x v="24"/>
    </i>
    <i r="1">
      <x v="139"/>
    </i>
    <i r="1">
      <x v="179"/>
    </i>
    <i r="1">
      <x v="200"/>
    </i>
    <i>
      <x v="250"/>
    </i>
    <i r="1">
      <x v="10"/>
    </i>
    <i r="1">
      <x v="139"/>
    </i>
    <i r="1">
      <x v="141"/>
    </i>
    <i r="1">
      <x v="253"/>
    </i>
    <i>
      <x v="251"/>
    </i>
    <i r="1">
      <x v="10"/>
    </i>
    <i r="1">
      <x v="139"/>
    </i>
    <i r="1">
      <x v="141"/>
    </i>
    <i r="1">
      <x v="253"/>
    </i>
    <i>
      <x v="252"/>
    </i>
    <i r="1">
      <x v="7"/>
    </i>
    <i r="1">
      <x v="17"/>
    </i>
    <i r="1">
      <x v="89"/>
    </i>
    <i r="1">
      <x v="91"/>
    </i>
    <i>
      <x v="253"/>
    </i>
    <i r="1">
      <x v="58"/>
    </i>
    <i>
      <x v="254"/>
    </i>
    <i r="1">
      <x v="173"/>
    </i>
    <i r="1">
      <x v="177"/>
    </i>
    <i>
      <x v="255"/>
    </i>
    <i r="1">
      <x v="180"/>
    </i>
    <i>
      <x v="256"/>
    </i>
    <i r="1">
      <x v="87"/>
    </i>
    <i r="1">
      <x v="243"/>
    </i>
    <i>
      <x v="257"/>
    </i>
    <i r="1">
      <x v="25"/>
    </i>
    <i r="1">
      <x v="77"/>
    </i>
    <i r="1">
      <x v="183"/>
    </i>
    <i r="1">
      <x v="232"/>
    </i>
    <i>
      <x v="258"/>
    </i>
    <i r="1">
      <x v="183"/>
    </i>
    <i r="1">
      <x v="243"/>
    </i>
    <i>
      <x v="259"/>
    </i>
    <i r="1">
      <x v="186"/>
    </i>
    <i>
      <x v="260"/>
    </i>
    <i r="1">
      <x v="107"/>
    </i>
    <i r="1">
      <x v="139"/>
    </i>
    <i r="1">
      <x v="181"/>
    </i>
    <i r="1">
      <x v="183"/>
    </i>
    <i r="1">
      <x v="200"/>
    </i>
    <i>
      <x v="261"/>
    </i>
    <i r="1">
      <x v="187"/>
    </i>
    <i>
      <x v="262"/>
    </i>
    <i r="1">
      <x v="159"/>
    </i>
    <i r="1">
      <x v="187"/>
    </i>
    <i>
      <x v="263"/>
    </i>
    <i r="1">
      <x v="159"/>
    </i>
    <i r="1">
      <x v="188"/>
    </i>
    <i>
      <x v="264"/>
    </i>
    <i r="1">
      <x v="187"/>
    </i>
    <i>
      <x v="265"/>
    </i>
    <i r="1">
      <x v="159"/>
    </i>
    <i r="1">
      <x v="189"/>
    </i>
    <i>
      <x v="266"/>
    </i>
    <i r="1">
      <x v="159"/>
    </i>
    <i r="1">
      <x v="190"/>
    </i>
    <i>
      <x v="267"/>
    </i>
    <i r="1">
      <x v="160"/>
    </i>
    <i r="1">
      <x v="191"/>
    </i>
    <i>
      <x v="268"/>
    </i>
    <i r="1">
      <x v="160"/>
    </i>
    <i r="1">
      <x v="191"/>
    </i>
    <i>
      <x v="269"/>
    </i>
    <i r="1">
      <x v="149"/>
    </i>
    <i r="1">
      <x v="156"/>
    </i>
    <i r="1">
      <x v="231"/>
    </i>
    <i>
      <x v="270"/>
    </i>
    <i r="1">
      <x v="150"/>
    </i>
    <i>
      <x v="271"/>
    </i>
    <i r="1">
      <x v="149"/>
    </i>
    <i r="1">
      <x v="150"/>
    </i>
    <i r="1">
      <x v="156"/>
    </i>
    <i r="1">
      <x v="171"/>
    </i>
    <i>
      <x v="272"/>
    </i>
    <i r="1">
      <x v="194"/>
    </i>
    <i>
      <x v="273"/>
    </i>
    <i r="1">
      <x v="195"/>
    </i>
    <i>
      <x v="274"/>
    </i>
    <i r="1">
      <x v="196"/>
    </i>
    <i>
      <x v="275"/>
    </i>
    <i r="1">
      <x v="200"/>
    </i>
    <i>
      <x v="276"/>
    </i>
    <i r="1">
      <x v="16"/>
    </i>
    <i r="1">
      <x v="58"/>
    </i>
    <i r="1">
      <x v="88"/>
    </i>
    <i>
      <x v="277"/>
    </i>
    <i r="1">
      <x v="16"/>
    </i>
    <i r="1">
      <x v="58"/>
    </i>
    <i r="1">
      <x v="88"/>
    </i>
    <i>
      <x v="278"/>
    </i>
    <i r="1">
      <x v="16"/>
    </i>
    <i r="1">
      <x v="58"/>
    </i>
    <i r="1">
      <x v="88"/>
    </i>
    <i>
      <x v="279"/>
    </i>
    <i r="1">
      <x v="58"/>
    </i>
    <i r="1">
      <x v="168"/>
    </i>
    <i>
      <x v="280"/>
    </i>
    <i r="1">
      <x v="16"/>
    </i>
    <i r="1">
      <x v="20"/>
    </i>
    <i r="1">
      <x v="33"/>
    </i>
    <i r="1">
      <x v="58"/>
    </i>
    <i r="1">
      <x v="142"/>
    </i>
    <i>
      <x v="281"/>
    </i>
    <i r="1">
      <x v="59"/>
    </i>
    <i>
      <x v="282"/>
    </i>
    <i r="1">
      <x v="16"/>
    </i>
    <i r="1">
      <x v="58"/>
    </i>
    <i r="1">
      <x v="88"/>
    </i>
    <i>
      <x v="283"/>
    </i>
    <i r="1">
      <x v="150"/>
    </i>
    <i>
      <x v="284"/>
    </i>
    <i r="1">
      <x v="71"/>
    </i>
    <i r="1">
      <x v="202"/>
    </i>
    <i r="1">
      <x v="204"/>
    </i>
    <i r="1">
      <x v="255"/>
    </i>
    <i r="1">
      <x v="259"/>
    </i>
    <i>
      <x v="285"/>
    </i>
    <i r="1">
      <x v="206"/>
    </i>
    <i r="1">
      <x v="207"/>
    </i>
    <i>
      <x v="286"/>
    </i>
    <i r="1">
      <x v="206"/>
    </i>
    <i>
      <x v="287"/>
    </i>
    <i r="1">
      <x v="211"/>
    </i>
    <i>
      <x v="288"/>
    </i>
    <i r="1">
      <x v="211"/>
    </i>
    <i>
      <x v="289"/>
    </i>
    <i r="1">
      <x v="212"/>
    </i>
    <i>
      <x v="290"/>
    </i>
    <i r="1">
      <x v="212"/>
    </i>
    <i>
      <x v="291"/>
    </i>
    <i r="1">
      <x v="212"/>
    </i>
    <i>
      <x v="292"/>
    </i>
    <i r="1">
      <x v="123"/>
    </i>
    <i r="1">
      <x v="222"/>
    </i>
    <i>
      <x v="293"/>
    </i>
    <i r="1">
      <x v="222"/>
    </i>
    <i>
      <x v="294"/>
    </i>
    <i r="1">
      <x v="223"/>
    </i>
    <i>
      <x v="295"/>
    </i>
    <i r="1">
      <x v="224"/>
    </i>
    <i>
      <x v="296"/>
    </i>
    <i r="1">
      <x v="24"/>
    </i>
    <i r="1">
      <x v="223"/>
    </i>
    <i>
      <x v="297"/>
    </i>
    <i r="1">
      <x v="226"/>
    </i>
    <i>
      <x v="298"/>
    </i>
    <i r="1">
      <x v="227"/>
    </i>
    <i>
      <x v="299"/>
    </i>
    <i r="1">
      <x v="24"/>
    </i>
    <i r="1">
      <x v="228"/>
    </i>
    <i>
      <x v="300"/>
    </i>
    <i r="1">
      <x v="47"/>
    </i>
    <i>
      <x v="301"/>
    </i>
    <i r="1">
      <x v="3"/>
    </i>
    <i r="1">
      <x v="139"/>
    </i>
    <i r="1">
      <x v="159"/>
    </i>
    <i>
      <x v="302"/>
    </i>
    <i r="1">
      <x v="15"/>
    </i>
    <i>
      <x v="303"/>
    </i>
    <i r="1">
      <x v="15"/>
    </i>
    <i r="1">
      <x v="139"/>
    </i>
    <i r="1">
      <x v="159"/>
    </i>
    <i>
      <x v="304"/>
    </i>
    <i r="1">
      <x v="15"/>
    </i>
    <i r="1">
      <x v="139"/>
    </i>
    <i r="1">
      <x v="159"/>
    </i>
    <i r="1">
      <x v="231"/>
    </i>
    <i>
      <x v="305"/>
    </i>
    <i r="1">
      <x v="15"/>
    </i>
    <i>
      <x v="306"/>
    </i>
    <i r="1">
      <x v="139"/>
    </i>
    <i r="1">
      <x v="229"/>
    </i>
    <i>
      <x v="307"/>
    </i>
    <i r="1">
      <x v="42"/>
    </i>
    <i r="1">
      <x v="230"/>
    </i>
    <i>
      <x v="308"/>
    </i>
    <i r="1">
      <x v="44"/>
    </i>
    <i>
      <x v="309"/>
    </i>
    <i r="1">
      <x v="47"/>
    </i>
    <i>
      <x v="310"/>
    </i>
    <i r="1">
      <x v="74"/>
    </i>
    <i r="1">
      <x v="139"/>
    </i>
    <i r="1">
      <x v="159"/>
    </i>
    <i>
      <x v="311"/>
    </i>
    <i r="1">
      <x v="132"/>
    </i>
    <i>
      <x v="312"/>
    </i>
    <i r="1">
      <x v="47"/>
    </i>
    <i r="1">
      <x v="50"/>
    </i>
    <i>
      <x v="313"/>
    </i>
    <i r="1">
      <x v="2"/>
    </i>
    <i r="1">
      <x v="234"/>
    </i>
    <i>
      <x v="314"/>
    </i>
    <i r="1">
      <x v="235"/>
    </i>
    <i>
      <x v="315"/>
    </i>
    <i r="1">
      <x v="236"/>
    </i>
    <i>
      <x v="316"/>
    </i>
    <i r="1">
      <x v="237"/>
    </i>
    <i>
      <x v="317"/>
    </i>
    <i r="1">
      <x v="136"/>
    </i>
    <i r="1">
      <x v="239"/>
    </i>
    <i>
      <x v="318"/>
    </i>
    <i r="1">
      <x v="239"/>
    </i>
    <i r="1">
      <x v="255"/>
    </i>
    <i>
      <x v="319"/>
    </i>
    <i r="1">
      <x v="240"/>
    </i>
    <i>
      <x v="320"/>
    </i>
    <i r="1">
      <x v="242"/>
    </i>
    <i>
      <x v="321"/>
    </i>
    <i r="1">
      <x v="241"/>
    </i>
    <i r="1">
      <x v="258"/>
    </i>
    <i>
      <x v="322"/>
    </i>
    <i r="1">
      <x v="244"/>
    </i>
    <i>
      <x v="323"/>
    </i>
    <i r="1">
      <x v="154"/>
    </i>
    <i r="1">
      <x v="244"/>
    </i>
    <i>
      <x v="324"/>
    </i>
    <i r="1">
      <x v="245"/>
    </i>
    <i>
      <x v="325"/>
    </i>
    <i r="1">
      <x v="3"/>
    </i>
    <i>
      <x v="326"/>
    </i>
    <i r="1">
      <x v="74"/>
    </i>
    <i r="1">
      <x v="264"/>
    </i>
    <i>
      <x v="327"/>
    </i>
    <i r="1">
      <x v="74"/>
    </i>
    <i r="1">
      <x v="264"/>
    </i>
    <i>
      <x v="328"/>
    </i>
    <i r="1">
      <x v="40"/>
    </i>
    <i r="1">
      <x v="136"/>
    </i>
    <i r="1">
      <x v="146"/>
    </i>
    <i r="1">
      <x v="152"/>
    </i>
    <i r="1">
      <x v="218"/>
    </i>
    <i>
      <x v="329"/>
    </i>
    <i r="1">
      <x v="258"/>
    </i>
    <i>
      <x v="330"/>
    </i>
    <i r="1">
      <x v="246"/>
    </i>
    <i>
      <x v="331"/>
    </i>
    <i r="1">
      <x v="247"/>
    </i>
    <i>
      <x v="332"/>
    </i>
    <i r="1">
      <x v="164"/>
    </i>
    <i r="1">
      <x v="209"/>
    </i>
    <i r="1">
      <x v="247"/>
    </i>
    <i>
      <x v="333"/>
    </i>
    <i r="1">
      <x v="247"/>
    </i>
    <i>
      <x v="334"/>
    </i>
    <i r="1">
      <x v="247"/>
    </i>
    <i>
      <x v="335"/>
    </i>
    <i r="1">
      <x v="234"/>
    </i>
    <i r="1">
      <x v="247"/>
    </i>
    <i>
      <x v="336"/>
    </i>
    <i r="1">
      <x v="208"/>
    </i>
    <i r="1">
      <x v="209"/>
    </i>
    <i r="1">
      <x v="210"/>
    </i>
    <i r="1">
      <x v="247"/>
    </i>
    <i>
      <x v="337"/>
    </i>
    <i r="1">
      <x v="16"/>
    </i>
    <i r="1">
      <x v="70"/>
    </i>
    <i r="1">
      <x v="74"/>
    </i>
    <i r="1">
      <x v="247"/>
    </i>
    <i r="1">
      <x v="256"/>
    </i>
    <i>
      <x v="338"/>
    </i>
    <i r="1">
      <x v="16"/>
    </i>
    <i r="1">
      <x v="34"/>
    </i>
    <i r="1">
      <x v="70"/>
    </i>
    <i r="1">
      <x v="74"/>
    </i>
    <i r="1">
      <x v="247"/>
    </i>
    <i r="1">
      <x v="256"/>
    </i>
    <i>
      <x v="339"/>
    </i>
    <i r="1">
      <x v="247"/>
    </i>
    <i>
      <x v="340"/>
    </i>
    <i r="1">
      <x v="247"/>
    </i>
    <i>
      <x v="341"/>
    </i>
    <i r="1">
      <x v="247"/>
    </i>
    <i>
      <x v="342"/>
    </i>
    <i r="1">
      <x v="92"/>
    </i>
    <i>
      <x v="343"/>
    </i>
    <i r="1">
      <x v="92"/>
    </i>
    <i>
      <x v="344"/>
    </i>
    <i r="1">
      <x v="92"/>
    </i>
    <i r="1">
      <x v="139"/>
    </i>
    <i r="1">
      <x v="158"/>
    </i>
    <i r="1">
      <x v="200"/>
    </i>
    <i r="1">
      <x v="260"/>
    </i>
    <i>
      <x v="345"/>
    </i>
    <i r="1">
      <x v="92"/>
    </i>
    <i r="1">
      <x v="139"/>
    </i>
    <i r="1">
      <x v="158"/>
    </i>
    <i r="1">
      <x v="200"/>
    </i>
    <i r="1">
      <x v="260"/>
    </i>
    <i>
      <x v="346"/>
    </i>
    <i r="1">
      <x v="73"/>
    </i>
    <i r="1">
      <x v="82"/>
    </i>
    <i r="1">
      <x v="92"/>
    </i>
    <i r="1">
      <x v="221"/>
    </i>
    <i r="1">
      <x v="245"/>
    </i>
    <i>
      <x v="347"/>
    </i>
    <i r="1">
      <x v="2"/>
    </i>
    <i r="1">
      <x v="47"/>
    </i>
    <i>
      <x v="348"/>
    </i>
    <i r="1">
      <x v="2"/>
    </i>
    <i r="1">
      <x v="47"/>
    </i>
    <i>
      <x v="349"/>
    </i>
    <i r="1">
      <x v="15"/>
    </i>
    <i>
      <x v="350"/>
    </i>
    <i r="1">
      <x v="11"/>
    </i>
    <i r="1">
      <x v="14"/>
    </i>
    <i>
      <x v="351"/>
    </i>
    <i r="1">
      <x v="11"/>
    </i>
    <i r="1">
      <x v="14"/>
    </i>
    <i>
      <x v="352"/>
    </i>
    <i r="1">
      <x v="15"/>
    </i>
    <i>
      <x v="353"/>
    </i>
    <i r="1">
      <x v="47"/>
    </i>
    <i>
      <x v="354"/>
    </i>
    <i r="1">
      <x v="47"/>
    </i>
    <i r="1">
      <x v="200"/>
    </i>
    <i>
      <x v="355"/>
    </i>
    <i r="1">
      <x v="47"/>
    </i>
    <i>
      <x v="356"/>
    </i>
    <i r="1">
      <x v="47"/>
    </i>
    <i r="1">
      <x v="50"/>
    </i>
    <i r="1">
      <x v="83"/>
    </i>
    <i>
      <x v="357"/>
    </i>
    <i r="1">
      <x v="47"/>
    </i>
    <i r="1">
      <x v="50"/>
    </i>
    <i r="1">
      <x v="83"/>
    </i>
    <i r="1">
      <x v="200"/>
    </i>
    <i>
      <x v="358"/>
    </i>
    <i r="1">
      <x v="2"/>
    </i>
    <i r="1">
      <x v="74"/>
    </i>
    <i>
      <x v="359"/>
    </i>
    <i r="1">
      <x v="74"/>
    </i>
    <i r="1">
      <x v="83"/>
    </i>
    <i>
      <x v="360"/>
    </i>
    <i r="1">
      <x v="74"/>
    </i>
    <i r="1">
      <x v="83"/>
    </i>
    <i r="1">
      <x v="197"/>
    </i>
    <i>
      <x v="361"/>
    </i>
    <i r="1">
      <x v="74"/>
    </i>
    <i r="1">
      <x v="83"/>
    </i>
    <i>
      <x v="362"/>
    </i>
    <i r="1">
      <x v="74"/>
    </i>
    <i r="1">
      <x v="83"/>
    </i>
    <i>
      <x v="363"/>
    </i>
    <i r="1">
      <x v="47"/>
    </i>
    <i r="1">
      <x v="103"/>
    </i>
    <i>
      <x v="364"/>
    </i>
    <i r="1">
      <x v="47"/>
    </i>
    <i r="1">
      <x v="103"/>
    </i>
    <i>
      <x v="365"/>
    </i>
    <i r="1">
      <x v="47"/>
    </i>
    <i r="1">
      <x v="103"/>
    </i>
    <i>
      <x v="366"/>
    </i>
    <i r="1">
      <x v="47"/>
    </i>
    <i r="1">
      <x v="103"/>
    </i>
    <i>
      <x v="367"/>
    </i>
    <i r="1">
      <x v="47"/>
    </i>
    <i r="1">
      <x v="65"/>
    </i>
    <i r="1">
      <x v="103"/>
    </i>
    <i>
      <x v="368"/>
    </i>
    <i r="1">
      <x v="119"/>
    </i>
    <i>
      <x v="369"/>
    </i>
    <i r="1">
      <x v="65"/>
    </i>
    <i r="1">
      <x v="119"/>
    </i>
    <i>
      <x v="370"/>
    </i>
    <i r="1">
      <x v="47"/>
    </i>
    <i r="1">
      <x v="74"/>
    </i>
    <i r="1">
      <x v="264"/>
    </i>
    <i>
      <x v="371"/>
    </i>
    <i r="1">
      <x v="74"/>
    </i>
    <i r="1">
      <x v="83"/>
    </i>
    <i r="1">
      <x v="264"/>
    </i>
    <i>
      <x v="372"/>
    </i>
    <i r="1">
      <x v="65"/>
    </i>
    <i r="1">
      <x v="74"/>
    </i>
    <i r="1">
      <x v="83"/>
    </i>
    <i r="1">
      <x v="264"/>
    </i>
    <i>
      <x v="373"/>
    </i>
    <i r="1">
      <x v="47"/>
    </i>
    <i r="1">
      <x v="74"/>
    </i>
    <i r="1">
      <x v="264"/>
    </i>
    <i>
      <x v="374"/>
    </i>
    <i r="1">
      <x v="43"/>
    </i>
    <i r="1">
      <x v="74"/>
    </i>
    <i r="1">
      <x v="83"/>
    </i>
    <i>
      <x v="375"/>
    </i>
    <i r="1">
      <x v="74"/>
    </i>
    <i r="1">
      <x v="83"/>
    </i>
    <i r="1">
      <x v="148"/>
    </i>
    <i>
      <x v="376"/>
    </i>
    <i r="1">
      <x v="83"/>
    </i>
    <i r="1">
      <x v="148"/>
    </i>
    <i r="1">
      <x v="200"/>
    </i>
    <i>
      <x v="377"/>
    </i>
    <i r="1">
      <x v="42"/>
    </i>
    <i>
      <x v="378"/>
    </i>
    <i r="1">
      <x v="42"/>
    </i>
    <i r="1">
      <x v="200"/>
    </i>
    <i>
      <x v="379"/>
    </i>
    <i r="1">
      <x v="42"/>
    </i>
    <i>
      <x v="380"/>
    </i>
    <i r="1">
      <x v="250"/>
    </i>
    <i>
      <x v="381"/>
    </i>
    <i r="1">
      <x v="10"/>
    </i>
    <i r="1">
      <x v="251"/>
    </i>
    <i>
      <x v="382"/>
    </i>
    <i r="1">
      <x v="213"/>
    </i>
    <i r="1">
      <x v="214"/>
    </i>
    <i r="1">
      <x v="216"/>
    </i>
    <i r="1">
      <x v="217"/>
    </i>
    <i r="1">
      <x v="218"/>
    </i>
    <i r="1">
      <x v="220"/>
    </i>
    <i r="1">
      <x v="251"/>
    </i>
    <i>
      <x v="383"/>
    </i>
    <i r="1">
      <x v="10"/>
    </i>
    <i r="1">
      <x v="213"/>
    </i>
    <i>
      <x v="384"/>
    </i>
    <i r="1">
      <x v="214"/>
    </i>
    <i>
      <x v="385"/>
    </i>
    <i r="1">
      <x v="10"/>
    </i>
    <i r="1">
      <x v="214"/>
    </i>
    <i>
      <x v="386"/>
    </i>
    <i r="1">
      <x v="214"/>
    </i>
    <i>
      <x v="387"/>
    </i>
    <i r="1">
      <x v="10"/>
    </i>
    <i r="1">
      <x v="216"/>
    </i>
    <i>
      <x v="388"/>
    </i>
    <i r="1">
      <x v="10"/>
    </i>
    <i r="1">
      <x v="136"/>
    </i>
    <i r="1">
      <x v="213"/>
    </i>
    <i>
      <x v="389"/>
    </i>
    <i r="1">
      <x v="142"/>
    </i>
    <i>
      <x v="390"/>
    </i>
    <i r="1">
      <x v="89"/>
    </i>
    <i r="1">
      <x v="218"/>
    </i>
    <i>
      <x v="391"/>
    </i>
    <i r="1">
      <x v="10"/>
    </i>
    <i r="1">
      <x v="220"/>
    </i>
    <i>
      <x v="392"/>
    </i>
    <i r="1">
      <x v="220"/>
    </i>
    <i>
      <x v="393"/>
    </i>
    <i r="1">
      <x v="220"/>
    </i>
    <i>
      <x v="394"/>
    </i>
    <i r="1">
      <x v="10"/>
    </i>
    <i r="1">
      <x v="217"/>
    </i>
    <i r="1">
      <x v="220"/>
    </i>
    <i>
      <x v="395"/>
    </i>
    <i r="1">
      <x v="252"/>
    </i>
    <i>
      <x v="396"/>
    </i>
    <i r="1">
      <x v="203"/>
    </i>
    <i r="1">
      <x v="258"/>
    </i>
    <i>
      <x v="397"/>
    </i>
    <i r="1">
      <x v="258"/>
    </i>
    <i>
      <x v="398"/>
    </i>
    <i r="1">
      <x v="262"/>
    </i>
    <i r="1">
      <x v="263"/>
    </i>
    <i>
      <x v="399"/>
    </i>
    <i r="1">
      <x v="263"/>
    </i>
    <i>
      <x v="400"/>
    </i>
    <i r="1">
      <x v="265"/>
    </i>
    <i>
      <x v="401"/>
    </i>
    <i r="1">
      <x v="5"/>
    </i>
    <i r="1">
      <x v="106"/>
    </i>
    <i r="1">
      <x v="160"/>
    </i>
    <i r="1">
      <x v="183"/>
    </i>
    <i>
      <x v="402"/>
    </i>
    <i r="1">
      <x v="86"/>
    </i>
    <i r="1">
      <x v="106"/>
    </i>
    <i r="1">
      <x v="264"/>
    </i>
    <i>
      <x v="403"/>
    </i>
    <i r="1">
      <x v="106"/>
    </i>
    <i r="1">
      <x v="144"/>
    </i>
    <i r="1">
      <x v="183"/>
    </i>
    <i r="1">
      <x v="264"/>
    </i>
    <i>
      <x v="404"/>
    </i>
    <i r="1">
      <x v="106"/>
    </i>
    <i r="1">
      <x v="160"/>
    </i>
    <i r="1">
      <x v="183"/>
    </i>
    <i r="1">
      <x v="264"/>
    </i>
    <i>
      <x v="405"/>
    </i>
    <i r="1">
      <x v="30"/>
    </i>
    <i r="1">
      <x v="139"/>
    </i>
    <i r="1">
      <x v="215"/>
    </i>
    <i r="1">
      <x v="254"/>
    </i>
    <i>
      <x v="406"/>
    </i>
    <i r="1">
      <x v="10"/>
    </i>
    <i r="1">
      <x v="141"/>
    </i>
    <i r="1">
      <x v="218"/>
    </i>
    <i>
      <x v="407"/>
    </i>
    <i r="1">
      <x v="10"/>
    </i>
    <i r="1">
      <x v="108"/>
    </i>
    <i r="1">
      <x v="141"/>
    </i>
    <i r="1">
      <x v="219"/>
    </i>
    <i>
      <x v="408"/>
    </i>
    <i r="1">
      <x v="267"/>
    </i>
    <i t="grand">
      <x/>
    </i>
  </rowItems>
  <colItems count="1">
    <i/>
  </colItems>
  <dataFields count="1">
    <dataField name="Soma de PER_CAPIT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DE4B2-ED16-49ED-A74A-E7C4F571D382}">
  <dimension ref="A1:K1024"/>
  <sheetViews>
    <sheetView zoomScale="85" zoomScaleNormal="85" workbookViewId="0">
      <selection activeCell="D29" sqref="D29"/>
    </sheetView>
  </sheetViews>
  <sheetFormatPr defaultRowHeight="12.75" x14ac:dyDescent="0.2"/>
  <cols>
    <col min="1" max="1" width="9.7109375" style="106" customWidth="1"/>
    <col min="2" max="2" width="63.85546875" customWidth="1"/>
    <col min="3" max="3" width="9.7109375" style="106" customWidth="1"/>
    <col min="4" max="4" width="64.42578125" customWidth="1"/>
    <col min="5" max="5" width="23.85546875" customWidth="1"/>
  </cols>
  <sheetData>
    <row r="1" spans="1:11" ht="15" x14ac:dyDescent="0.2">
      <c r="A1" s="106" t="s">
        <v>706</v>
      </c>
      <c r="B1" s="107" t="s">
        <v>0</v>
      </c>
      <c r="C1" s="1" t="s">
        <v>707</v>
      </c>
      <c r="D1" s="1" t="s">
        <v>1</v>
      </c>
      <c r="E1" s="2" t="s">
        <v>2</v>
      </c>
      <c r="H1" t="s">
        <v>751</v>
      </c>
      <c r="I1" t="s">
        <v>752</v>
      </c>
      <c r="J1" t="s">
        <v>738</v>
      </c>
    </row>
    <row r="2" spans="1:11" x14ac:dyDescent="0.2">
      <c r="A2" s="106">
        <f>_xlfn.XLOOKUP(B2,pratos!B:B,pratos!A:A,"não")</f>
        <v>39</v>
      </c>
      <c r="B2" s="111" t="s">
        <v>184</v>
      </c>
      <c r="C2" s="105">
        <f>_xlfn.XLOOKUP(D2,ingredientes!B:B,ingredientes!A:A,"não")</f>
        <v>2</v>
      </c>
      <c r="D2" s="35" t="s">
        <v>306</v>
      </c>
      <c r="E2" s="53">
        <v>100</v>
      </c>
      <c r="H2">
        <f t="shared" ref="H2:H63" si="0">A2</f>
        <v>39</v>
      </c>
      <c r="I2">
        <f>C2</f>
        <v>2</v>
      </c>
      <c r="J2">
        <f>E2</f>
        <v>100</v>
      </c>
      <c r="K2">
        <f>H2+I2</f>
        <v>41</v>
      </c>
    </row>
    <row r="3" spans="1:11" x14ac:dyDescent="0.2">
      <c r="A3" s="106">
        <f>_xlfn.XLOOKUP(B3,pratos!B:B,pratos!A:A,"não")</f>
        <v>40</v>
      </c>
      <c r="B3" s="124" t="s">
        <v>382</v>
      </c>
      <c r="C3" s="105">
        <f>_xlfn.XLOOKUP(D3,ingredientes!B:B,ingredientes!A:A,"não")</f>
        <v>6</v>
      </c>
      <c r="D3" s="30" t="s">
        <v>606</v>
      </c>
      <c r="E3" s="10">
        <v>100</v>
      </c>
      <c r="H3">
        <f t="shared" si="0"/>
        <v>40</v>
      </c>
      <c r="I3">
        <f>C3</f>
        <v>6</v>
      </c>
      <c r="J3">
        <f>E3</f>
        <v>100</v>
      </c>
      <c r="K3">
        <f t="shared" ref="K3:K66" si="1">H3+I3</f>
        <v>46</v>
      </c>
    </row>
    <row r="4" spans="1:11" x14ac:dyDescent="0.2">
      <c r="A4" s="106">
        <f>_xlfn.XLOOKUP(B4,pratos!B:B,pratos!A:A,"não")</f>
        <v>40</v>
      </c>
      <c r="B4" s="124" t="s">
        <v>382</v>
      </c>
      <c r="C4" s="105">
        <f>_xlfn.XLOOKUP(D4,ingredientes!B:B,ingredientes!A:A,"não")</f>
        <v>6</v>
      </c>
      <c r="D4" s="30" t="s">
        <v>606</v>
      </c>
      <c r="E4" s="10">
        <v>50</v>
      </c>
      <c r="H4">
        <f t="shared" si="0"/>
        <v>40</v>
      </c>
      <c r="I4">
        <f>C4</f>
        <v>6</v>
      </c>
      <c r="J4">
        <f>E4</f>
        <v>50</v>
      </c>
      <c r="K4">
        <f t="shared" si="1"/>
        <v>46</v>
      </c>
    </row>
    <row r="5" spans="1:11" x14ac:dyDescent="0.2">
      <c r="A5" s="106">
        <f>_xlfn.XLOOKUP(B5,pratos!B:B,pratos!A:A,"não")</f>
        <v>41</v>
      </c>
      <c r="B5" s="52" t="s">
        <v>284</v>
      </c>
      <c r="C5" s="105">
        <f>_xlfn.XLOOKUP(D5,ingredientes!B:B,ingredientes!A:A,"não")</f>
        <v>6</v>
      </c>
      <c r="D5" t="s">
        <v>606</v>
      </c>
      <c r="E5" s="56">
        <v>100</v>
      </c>
      <c r="H5">
        <f t="shared" si="0"/>
        <v>41</v>
      </c>
      <c r="I5">
        <f>C5</f>
        <v>6</v>
      </c>
      <c r="J5">
        <f>E5</f>
        <v>100</v>
      </c>
      <c r="K5">
        <f t="shared" si="1"/>
        <v>47</v>
      </c>
    </row>
    <row r="6" spans="1:11" x14ac:dyDescent="0.2">
      <c r="A6" s="106">
        <f>_xlfn.XLOOKUP(B6,pratos!B:B,pratos!A:A,"não")</f>
        <v>43</v>
      </c>
      <c r="B6" s="52" t="s">
        <v>260</v>
      </c>
      <c r="C6" s="105">
        <f>_xlfn.XLOOKUP(D6,ingredientes!B:B,ingredientes!A:A,"não")</f>
        <v>6</v>
      </c>
      <c r="D6" t="s">
        <v>606</v>
      </c>
      <c r="E6" s="10">
        <v>100</v>
      </c>
      <c r="H6">
        <f t="shared" si="0"/>
        <v>43</v>
      </c>
      <c r="I6">
        <f>C6</f>
        <v>6</v>
      </c>
      <c r="J6">
        <f>E6</f>
        <v>100</v>
      </c>
      <c r="K6">
        <f t="shared" si="1"/>
        <v>49</v>
      </c>
    </row>
    <row r="7" spans="1:11" x14ac:dyDescent="0.2">
      <c r="A7" s="106">
        <f>_xlfn.XLOOKUP(B7,pratos!B:B,pratos!A:A,"não")</f>
        <v>43</v>
      </c>
      <c r="B7" s="52" t="s">
        <v>260</v>
      </c>
      <c r="C7" s="105">
        <f>_xlfn.XLOOKUP(D7,ingredientes!B:B,ingredientes!A:A,"não")</f>
        <v>44</v>
      </c>
      <c r="D7" s="151" t="s">
        <v>261</v>
      </c>
      <c r="E7" s="10">
        <v>10</v>
      </c>
      <c r="H7">
        <f t="shared" si="0"/>
        <v>43</v>
      </c>
      <c r="I7">
        <f>C7</f>
        <v>44</v>
      </c>
      <c r="J7">
        <f>E7</f>
        <v>10</v>
      </c>
      <c r="K7">
        <f t="shared" si="1"/>
        <v>87</v>
      </c>
    </row>
    <row r="8" spans="1:11" x14ac:dyDescent="0.2">
      <c r="A8" s="106">
        <f>_xlfn.XLOOKUP(B8,pratos!B:B,pratos!A:A,"não")</f>
        <v>44</v>
      </c>
      <c r="B8" s="109" t="s">
        <v>279</v>
      </c>
      <c r="C8" s="105">
        <f>_xlfn.XLOOKUP(D8,ingredientes!B:B,ingredientes!A:A,"não")</f>
        <v>12</v>
      </c>
      <c r="D8" t="s">
        <v>602</v>
      </c>
      <c r="E8" s="19">
        <v>100</v>
      </c>
      <c r="H8">
        <f t="shared" si="0"/>
        <v>44</v>
      </c>
      <c r="I8">
        <f>C8</f>
        <v>12</v>
      </c>
      <c r="J8">
        <f>E8</f>
        <v>100</v>
      </c>
      <c r="K8">
        <f t="shared" si="1"/>
        <v>56</v>
      </c>
    </row>
    <row r="9" spans="1:11" x14ac:dyDescent="0.2">
      <c r="A9" s="106">
        <f>_xlfn.XLOOKUP(B9,pratos!B:B,pratos!A:A,"não")</f>
        <v>45</v>
      </c>
      <c r="B9" s="109" t="s">
        <v>161</v>
      </c>
      <c r="C9" s="105">
        <f>_xlfn.XLOOKUP(D9,ingredientes!B:B,ingredientes!A:A,"não")</f>
        <v>10</v>
      </c>
      <c r="D9" t="s">
        <v>600</v>
      </c>
      <c r="E9" s="10">
        <v>100</v>
      </c>
      <c r="H9">
        <f t="shared" si="0"/>
        <v>45</v>
      </c>
      <c r="I9">
        <f>C9</f>
        <v>10</v>
      </c>
      <c r="J9">
        <f>E9</f>
        <v>100</v>
      </c>
      <c r="K9">
        <f t="shared" si="1"/>
        <v>55</v>
      </c>
    </row>
    <row r="10" spans="1:11" x14ac:dyDescent="0.2">
      <c r="A10" s="106">
        <f>_xlfn.XLOOKUP(B10,pratos!B:B,pratos!A:A,"não")</f>
        <v>45</v>
      </c>
      <c r="B10" s="109" t="s">
        <v>161</v>
      </c>
      <c r="C10" s="105">
        <f>_xlfn.XLOOKUP(D10,ingredientes!B:B,ingredientes!A:A,"não")</f>
        <v>150</v>
      </c>
      <c r="D10" s="154" t="s">
        <v>162</v>
      </c>
      <c r="E10" s="10">
        <v>5</v>
      </c>
      <c r="H10">
        <f t="shared" si="0"/>
        <v>45</v>
      </c>
      <c r="I10">
        <f>C10</f>
        <v>150</v>
      </c>
      <c r="J10">
        <f>E10</f>
        <v>5</v>
      </c>
      <c r="K10">
        <f t="shared" si="1"/>
        <v>195</v>
      </c>
    </row>
    <row r="11" spans="1:11" x14ac:dyDescent="0.2">
      <c r="A11" s="106">
        <f>_xlfn.XLOOKUP(B11,pratos!B:B,pratos!A:A,"não")</f>
        <v>46</v>
      </c>
      <c r="B11" s="125" t="s">
        <v>383</v>
      </c>
      <c r="C11" s="105">
        <f>_xlfn.XLOOKUP(D11,ingredientes!B:B,ingredientes!A:A,"não")</f>
        <v>10</v>
      </c>
      <c r="D11" t="s">
        <v>600</v>
      </c>
      <c r="E11" s="10">
        <v>100</v>
      </c>
      <c r="H11">
        <f t="shared" si="0"/>
        <v>46</v>
      </c>
      <c r="I11">
        <f>C11</f>
        <v>10</v>
      </c>
      <c r="J11">
        <f>E11</f>
        <v>100</v>
      </c>
      <c r="K11">
        <f t="shared" si="1"/>
        <v>56</v>
      </c>
    </row>
    <row r="12" spans="1:11" x14ac:dyDescent="0.2">
      <c r="A12" s="106">
        <f>_xlfn.XLOOKUP(B12,pratos!B:B,pratos!A:A,"não")</f>
        <v>47</v>
      </c>
      <c r="B12" s="52" t="s">
        <v>552</v>
      </c>
      <c r="C12" s="105">
        <f>_xlfn.XLOOKUP(D12,ingredientes!B:B,ingredientes!A:A,"não")</f>
        <v>8</v>
      </c>
      <c r="D12" t="s">
        <v>597</v>
      </c>
      <c r="E12" s="10">
        <v>90</v>
      </c>
      <c r="H12">
        <f t="shared" si="0"/>
        <v>47</v>
      </c>
      <c r="I12">
        <f>C12</f>
        <v>8</v>
      </c>
      <c r="J12">
        <f>E12</f>
        <v>90</v>
      </c>
      <c r="K12">
        <f t="shared" si="1"/>
        <v>55</v>
      </c>
    </row>
    <row r="13" spans="1:11" x14ac:dyDescent="0.2">
      <c r="A13" s="106">
        <f>_xlfn.XLOOKUP(B13,pratos!B:B,pratos!A:A,"não")</f>
        <v>48</v>
      </c>
      <c r="B13" s="52" t="s">
        <v>556</v>
      </c>
      <c r="C13" s="105">
        <f>_xlfn.XLOOKUP(D13,ingredientes!B:B,ingredientes!A:A,"não")</f>
        <v>8</v>
      </c>
      <c r="D13" t="s">
        <v>597</v>
      </c>
      <c r="E13" s="63">
        <v>100</v>
      </c>
      <c r="H13">
        <f t="shared" si="0"/>
        <v>48</v>
      </c>
      <c r="I13">
        <f>C13</f>
        <v>8</v>
      </c>
      <c r="J13">
        <f>E13</f>
        <v>100</v>
      </c>
      <c r="K13">
        <f t="shared" si="1"/>
        <v>56</v>
      </c>
    </row>
    <row r="14" spans="1:11" x14ac:dyDescent="0.2">
      <c r="A14" s="106">
        <f>_xlfn.XLOOKUP(B14,pratos!B:B,pratos!A:A,"não")</f>
        <v>48</v>
      </c>
      <c r="B14" s="52" t="s">
        <v>556</v>
      </c>
      <c r="C14" s="105">
        <f>_xlfn.XLOOKUP(D14,ingredientes!B:B,ingredientes!A:A,"não")</f>
        <v>8</v>
      </c>
      <c r="D14" t="s">
        <v>597</v>
      </c>
      <c r="E14" s="87">
        <v>90</v>
      </c>
      <c r="H14">
        <f t="shared" si="0"/>
        <v>48</v>
      </c>
      <c r="I14">
        <f>C14</f>
        <v>8</v>
      </c>
      <c r="J14">
        <f>E14</f>
        <v>90</v>
      </c>
      <c r="K14">
        <f t="shared" si="1"/>
        <v>56</v>
      </c>
    </row>
    <row r="15" spans="1:11" x14ac:dyDescent="0.2">
      <c r="A15" s="106">
        <f>_xlfn.XLOOKUP(B15,pratos!B:B,pratos!A:A,"não")</f>
        <v>48</v>
      </c>
      <c r="B15" s="52" t="s">
        <v>556</v>
      </c>
      <c r="C15" s="105">
        <f>_xlfn.XLOOKUP(D15,ingredientes!B:B,ingredientes!A:A,"não")</f>
        <v>94</v>
      </c>
      <c r="D15" s="159" t="s">
        <v>506</v>
      </c>
      <c r="E15" s="87">
        <v>10</v>
      </c>
      <c r="H15">
        <f t="shared" si="0"/>
        <v>48</v>
      </c>
      <c r="I15">
        <f>C15</f>
        <v>94</v>
      </c>
      <c r="J15">
        <f>E15</f>
        <v>10</v>
      </c>
      <c r="K15">
        <f t="shared" si="1"/>
        <v>142</v>
      </c>
    </row>
    <row r="16" spans="1:11" x14ac:dyDescent="0.2">
      <c r="A16" s="106">
        <f>_xlfn.XLOOKUP(B16,pratos!B:B,pratos!A:A,"não")</f>
        <v>48</v>
      </c>
      <c r="B16" s="116" t="s">
        <v>562</v>
      </c>
      <c r="C16" s="105">
        <f>_xlfn.XLOOKUP(D16,ingredientes!B:B,ingredientes!A:A,"não")</f>
        <v>94</v>
      </c>
      <c r="D16" s="155" t="s">
        <v>506</v>
      </c>
      <c r="E16" s="93">
        <v>5</v>
      </c>
      <c r="H16">
        <f t="shared" si="0"/>
        <v>48</v>
      </c>
      <c r="I16">
        <f>C16</f>
        <v>94</v>
      </c>
      <c r="J16">
        <f>E16</f>
        <v>5</v>
      </c>
      <c r="K16">
        <f t="shared" si="1"/>
        <v>142</v>
      </c>
    </row>
    <row r="17" spans="1:11" x14ac:dyDescent="0.2">
      <c r="A17" s="106">
        <f>_xlfn.XLOOKUP(B17,pratos!B:B,pratos!A:A,"não")</f>
        <v>49</v>
      </c>
      <c r="B17" s="116" t="s">
        <v>416</v>
      </c>
      <c r="C17" s="105">
        <f>_xlfn.XLOOKUP(D17,ingredientes!B:B,ingredientes!A:A,"não")</f>
        <v>10</v>
      </c>
      <c r="D17" t="s">
        <v>600</v>
      </c>
      <c r="E17" s="65">
        <v>100</v>
      </c>
      <c r="H17">
        <f t="shared" si="0"/>
        <v>49</v>
      </c>
      <c r="I17">
        <f>C17</f>
        <v>10</v>
      </c>
      <c r="J17">
        <f>E17</f>
        <v>100</v>
      </c>
      <c r="K17">
        <f t="shared" si="1"/>
        <v>59</v>
      </c>
    </row>
    <row r="18" spans="1:11" x14ac:dyDescent="0.2">
      <c r="A18" s="106">
        <f>_xlfn.XLOOKUP(B18,pratos!B:B,pratos!A:A,"não")</f>
        <v>50</v>
      </c>
      <c r="B18" s="108" t="s">
        <v>229</v>
      </c>
      <c r="C18" s="105">
        <f>_xlfn.XLOOKUP(D18,ingredientes!B:B,ingredientes!A:A,"não")</f>
        <v>12</v>
      </c>
      <c r="D18" t="s">
        <v>602</v>
      </c>
      <c r="E18" s="19">
        <v>100</v>
      </c>
      <c r="H18">
        <f t="shared" si="0"/>
        <v>50</v>
      </c>
      <c r="I18">
        <f>C18</f>
        <v>12</v>
      </c>
      <c r="J18">
        <f>E18</f>
        <v>100</v>
      </c>
      <c r="K18">
        <f t="shared" si="1"/>
        <v>62</v>
      </c>
    </row>
    <row r="19" spans="1:11" x14ac:dyDescent="0.2">
      <c r="A19" s="106">
        <f>_xlfn.XLOOKUP(B19,pratos!B:B,pratos!A:A,"não")</f>
        <v>50</v>
      </c>
      <c r="B19" s="108" t="s">
        <v>229</v>
      </c>
      <c r="C19" s="105">
        <f>_xlfn.XLOOKUP(D19,ingredientes!B:B,ingredientes!A:A,"não")</f>
        <v>12</v>
      </c>
      <c r="D19" t="s">
        <v>602</v>
      </c>
      <c r="E19" s="19">
        <v>50</v>
      </c>
      <c r="H19">
        <f t="shared" si="0"/>
        <v>50</v>
      </c>
      <c r="I19">
        <f>C19</f>
        <v>12</v>
      </c>
      <c r="J19">
        <f>E19</f>
        <v>50</v>
      </c>
      <c r="K19">
        <f t="shared" si="1"/>
        <v>62</v>
      </c>
    </row>
    <row r="20" spans="1:11" x14ac:dyDescent="0.2">
      <c r="A20" s="106">
        <f>_xlfn.XLOOKUP(B20,pratos!B:B,pratos!A:A,"não")</f>
        <v>51</v>
      </c>
      <c r="B20" s="109" t="s">
        <v>298</v>
      </c>
      <c r="C20" s="105">
        <f>_xlfn.XLOOKUP(D20,ingredientes!B:B,ingredientes!A:A,"não")</f>
        <v>14</v>
      </c>
      <c r="D20" s="138" t="s">
        <v>13</v>
      </c>
      <c r="E20" s="10">
        <v>30</v>
      </c>
      <c r="H20">
        <f t="shared" si="0"/>
        <v>51</v>
      </c>
      <c r="I20">
        <f>C20</f>
        <v>14</v>
      </c>
      <c r="J20">
        <f>E20</f>
        <v>30</v>
      </c>
      <c r="K20">
        <f t="shared" si="1"/>
        <v>65</v>
      </c>
    </row>
    <row r="21" spans="1:11" x14ac:dyDescent="0.2">
      <c r="A21" s="106">
        <f>_xlfn.XLOOKUP(B21,pratos!B:B,pratos!A:A,"não")</f>
        <v>51</v>
      </c>
      <c r="B21" s="109" t="s">
        <v>298</v>
      </c>
      <c r="C21" s="105">
        <f>_xlfn.XLOOKUP(D21,ingredientes!B:B,ingredientes!A:A,"não")</f>
        <v>322</v>
      </c>
      <c r="D21" s="138" t="s">
        <v>299</v>
      </c>
      <c r="E21" s="10">
        <v>70</v>
      </c>
      <c r="H21">
        <f t="shared" si="0"/>
        <v>51</v>
      </c>
      <c r="I21">
        <f>C21</f>
        <v>322</v>
      </c>
      <c r="J21">
        <f>E21</f>
        <v>70</v>
      </c>
      <c r="K21">
        <f t="shared" si="1"/>
        <v>373</v>
      </c>
    </row>
    <row r="22" spans="1:11" x14ac:dyDescent="0.2">
      <c r="A22" s="106">
        <f>_xlfn.XLOOKUP(B22,pratos!B:B,pratos!A:A,"não")</f>
        <v>51</v>
      </c>
      <c r="B22" s="109" t="s">
        <v>298</v>
      </c>
      <c r="C22" s="105">
        <f>_xlfn.XLOOKUP(D22,ingredientes!B:B,ingredientes!A:A,"não")</f>
        <v>322</v>
      </c>
      <c r="D22" s="138" t="s">
        <v>299</v>
      </c>
      <c r="E22" s="17">
        <v>30</v>
      </c>
      <c r="H22">
        <f t="shared" si="0"/>
        <v>51</v>
      </c>
      <c r="I22">
        <f>C22</f>
        <v>322</v>
      </c>
      <c r="J22">
        <f>E22</f>
        <v>30</v>
      </c>
      <c r="K22">
        <f t="shared" si="1"/>
        <v>373</v>
      </c>
    </row>
    <row r="23" spans="1:11" x14ac:dyDescent="0.2">
      <c r="A23" s="106">
        <f>_xlfn.XLOOKUP(B23,pratos!B:B,pratos!A:A,"não")</f>
        <v>52</v>
      </c>
      <c r="B23" s="109" t="s">
        <v>311</v>
      </c>
      <c r="C23" s="105">
        <f>_xlfn.XLOOKUP(D23,ingredientes!B:B,ingredientes!A:A,"não")</f>
        <v>14</v>
      </c>
      <c r="D23" s="138" t="s">
        <v>13</v>
      </c>
      <c r="E23" s="10">
        <v>20</v>
      </c>
      <c r="H23">
        <f t="shared" si="0"/>
        <v>52</v>
      </c>
      <c r="I23">
        <f>C23</f>
        <v>14</v>
      </c>
      <c r="J23">
        <f>E23</f>
        <v>20</v>
      </c>
      <c r="K23">
        <f t="shared" si="1"/>
        <v>66</v>
      </c>
    </row>
    <row r="24" spans="1:11" x14ac:dyDescent="0.2">
      <c r="A24" s="106">
        <f>_xlfn.XLOOKUP(B24,pratos!B:B,pratos!A:A,"não")</f>
        <v>52</v>
      </c>
      <c r="B24" s="109" t="s">
        <v>311</v>
      </c>
      <c r="C24" s="105">
        <f>_xlfn.XLOOKUP(D24,ingredientes!B:B,ingredientes!A:A,"não")</f>
        <v>14</v>
      </c>
      <c r="D24" s="138" t="s">
        <v>13</v>
      </c>
      <c r="E24" s="10">
        <v>30</v>
      </c>
      <c r="H24">
        <f t="shared" si="0"/>
        <v>52</v>
      </c>
      <c r="I24">
        <f>C24</f>
        <v>14</v>
      </c>
      <c r="J24">
        <f>E24</f>
        <v>30</v>
      </c>
      <c r="K24">
        <f t="shared" si="1"/>
        <v>66</v>
      </c>
    </row>
    <row r="25" spans="1:11" x14ac:dyDescent="0.2">
      <c r="A25" s="106">
        <f>_xlfn.XLOOKUP(B25,pratos!B:B,pratos!A:A,"não")</f>
        <v>52</v>
      </c>
      <c r="B25" s="109" t="s">
        <v>311</v>
      </c>
      <c r="C25" s="105">
        <f>_xlfn.XLOOKUP(D25,ingredientes!B:B,ingredientes!A:A,"não")</f>
        <v>251</v>
      </c>
      <c r="D25" s="148" t="s">
        <v>313</v>
      </c>
      <c r="E25" s="19">
        <v>10</v>
      </c>
      <c r="H25">
        <f t="shared" si="0"/>
        <v>52</v>
      </c>
      <c r="I25">
        <f>C25</f>
        <v>251</v>
      </c>
      <c r="J25">
        <f>E25</f>
        <v>10</v>
      </c>
      <c r="K25">
        <f t="shared" si="1"/>
        <v>303</v>
      </c>
    </row>
    <row r="26" spans="1:11" x14ac:dyDescent="0.2">
      <c r="A26" s="106">
        <f>_xlfn.XLOOKUP(B26,pratos!B:B,pratos!A:A,"não")</f>
        <v>52</v>
      </c>
      <c r="B26" s="109" t="s">
        <v>311</v>
      </c>
      <c r="C26" s="105">
        <f>_xlfn.XLOOKUP(D26,ingredientes!B:B,ingredientes!A:A,"não")</f>
        <v>252</v>
      </c>
      <c r="D26" s="148" t="s">
        <v>312</v>
      </c>
      <c r="E26" s="19">
        <v>10</v>
      </c>
      <c r="H26">
        <f t="shared" si="0"/>
        <v>52</v>
      </c>
      <c r="I26">
        <f>C26</f>
        <v>252</v>
      </c>
      <c r="J26">
        <f>E26</f>
        <v>10</v>
      </c>
      <c r="K26">
        <f t="shared" si="1"/>
        <v>304</v>
      </c>
    </row>
    <row r="27" spans="1:11" x14ac:dyDescent="0.2">
      <c r="A27" s="106">
        <f>_xlfn.XLOOKUP(B27,pratos!B:B,pratos!A:A,"não")</f>
        <v>52</v>
      </c>
      <c r="B27" s="109" t="s">
        <v>311</v>
      </c>
      <c r="C27" s="105">
        <f>_xlfn.XLOOKUP(D27,ingredientes!B:B,ingredientes!A:A,"não")</f>
        <v>253</v>
      </c>
      <c r="D27" s="148" t="s">
        <v>314</v>
      </c>
      <c r="E27" s="19">
        <v>10</v>
      </c>
      <c r="H27">
        <f t="shared" si="0"/>
        <v>52</v>
      </c>
      <c r="I27">
        <f>C27</f>
        <v>253</v>
      </c>
      <c r="J27">
        <f>E27</f>
        <v>10</v>
      </c>
      <c r="K27">
        <f t="shared" si="1"/>
        <v>305</v>
      </c>
    </row>
    <row r="28" spans="1:11" x14ac:dyDescent="0.2">
      <c r="A28" s="106">
        <f>_xlfn.XLOOKUP(B28,pratos!B:B,pratos!A:A,"não")</f>
        <v>53</v>
      </c>
      <c r="B28" s="109" t="s">
        <v>503</v>
      </c>
      <c r="C28" s="105">
        <f>_xlfn.XLOOKUP(D28,ingredientes!B:B,ingredientes!A:A,"não")</f>
        <v>18</v>
      </c>
      <c r="D28" s="143" t="s">
        <v>504</v>
      </c>
      <c r="E28" s="10">
        <v>30</v>
      </c>
      <c r="H28">
        <f t="shared" si="0"/>
        <v>53</v>
      </c>
      <c r="I28">
        <f>C28</f>
        <v>18</v>
      </c>
      <c r="J28">
        <f>E28</f>
        <v>30</v>
      </c>
      <c r="K28">
        <f t="shared" si="1"/>
        <v>71</v>
      </c>
    </row>
    <row r="29" spans="1:11" x14ac:dyDescent="0.2">
      <c r="A29" s="106">
        <f>_xlfn.XLOOKUP(B29,pratos!B:B,pratos!A:A,"não")</f>
        <v>53</v>
      </c>
      <c r="B29" s="109" t="s">
        <v>503</v>
      </c>
      <c r="C29" s="105">
        <f>_xlfn.XLOOKUP(D29,ingredientes!B:B,ingredientes!A:A,"não")</f>
        <v>18</v>
      </c>
      <c r="D29" s="143" t="s">
        <v>504</v>
      </c>
      <c r="E29" s="87">
        <v>50</v>
      </c>
      <c r="H29">
        <f t="shared" si="0"/>
        <v>53</v>
      </c>
      <c r="I29">
        <f>C29</f>
        <v>18</v>
      </c>
      <c r="J29">
        <f>E29</f>
        <v>50</v>
      </c>
      <c r="K29">
        <f t="shared" si="1"/>
        <v>71</v>
      </c>
    </row>
    <row r="30" spans="1:11" x14ac:dyDescent="0.2">
      <c r="A30" s="106">
        <f>_xlfn.XLOOKUP(B30,pratos!B:B,pratos!A:A,"não")</f>
        <v>53</v>
      </c>
      <c r="B30" s="109" t="s">
        <v>503</v>
      </c>
      <c r="C30" s="105">
        <f>_xlfn.XLOOKUP(D30,ingredientes!B:B,ingredientes!A:A,"não")</f>
        <v>18</v>
      </c>
      <c r="D30" s="143" t="s">
        <v>504</v>
      </c>
      <c r="E30" s="87">
        <v>10</v>
      </c>
      <c r="H30">
        <f t="shared" si="0"/>
        <v>53</v>
      </c>
      <c r="I30">
        <f>C30</f>
        <v>18</v>
      </c>
      <c r="J30">
        <f>E30</f>
        <v>10</v>
      </c>
      <c r="K30">
        <f t="shared" si="1"/>
        <v>71</v>
      </c>
    </row>
    <row r="31" spans="1:11" x14ac:dyDescent="0.2">
      <c r="A31" s="106">
        <f>_xlfn.XLOOKUP(B31,pratos!B:B,pratos!A:A,"não")</f>
        <v>53</v>
      </c>
      <c r="B31" s="111" t="s">
        <v>254</v>
      </c>
      <c r="C31" s="105">
        <f>_xlfn.XLOOKUP(D31,ingredientes!B:B,ingredientes!A:A,"não")</f>
        <v>19</v>
      </c>
      <c r="D31" s="145" t="s">
        <v>244</v>
      </c>
      <c r="E31" s="13">
        <v>30</v>
      </c>
      <c r="H31">
        <f t="shared" si="0"/>
        <v>53</v>
      </c>
      <c r="I31">
        <f>C31</f>
        <v>19</v>
      </c>
      <c r="J31">
        <f>E31</f>
        <v>30</v>
      </c>
      <c r="K31">
        <f t="shared" si="1"/>
        <v>72</v>
      </c>
    </row>
    <row r="32" spans="1:11" x14ac:dyDescent="0.2">
      <c r="A32" s="106">
        <f>_xlfn.XLOOKUP(B32,pratos!B:B,pratos!A:A,"não")</f>
        <v>53</v>
      </c>
      <c r="B32" s="111" t="s">
        <v>254</v>
      </c>
      <c r="C32" s="105">
        <f>_xlfn.XLOOKUP(D32,ingredientes!B:B,ingredientes!A:A,"não")</f>
        <v>19</v>
      </c>
      <c r="D32" s="20" t="s">
        <v>244</v>
      </c>
      <c r="E32" s="13">
        <v>20</v>
      </c>
      <c r="H32">
        <f t="shared" si="0"/>
        <v>53</v>
      </c>
      <c r="I32">
        <f>C32</f>
        <v>19</v>
      </c>
      <c r="J32">
        <f>E32</f>
        <v>20</v>
      </c>
      <c r="K32">
        <f t="shared" si="1"/>
        <v>72</v>
      </c>
    </row>
    <row r="33" spans="1:11" x14ac:dyDescent="0.2">
      <c r="A33" s="106">
        <f>_xlfn.XLOOKUP(B33,pratos!B:B,pratos!A:A,"não")</f>
        <v>53</v>
      </c>
      <c r="B33" s="111" t="s">
        <v>254</v>
      </c>
      <c r="C33" s="105">
        <f>_xlfn.XLOOKUP(D33,ingredientes!B:B,ingredientes!A:A,"não")</f>
        <v>313</v>
      </c>
      <c r="D33" s="14" t="s">
        <v>25</v>
      </c>
      <c r="E33" s="19">
        <v>70</v>
      </c>
      <c r="H33">
        <f t="shared" si="0"/>
        <v>53</v>
      </c>
      <c r="I33">
        <f>C33</f>
        <v>313</v>
      </c>
      <c r="J33">
        <f>E33</f>
        <v>70</v>
      </c>
      <c r="K33">
        <f t="shared" si="1"/>
        <v>366</v>
      </c>
    </row>
    <row r="34" spans="1:11" x14ac:dyDescent="0.2">
      <c r="A34" s="106">
        <f>_xlfn.XLOOKUP(B34,pratos!B:B,pratos!A:A,"não")</f>
        <v>53</v>
      </c>
      <c r="B34" s="111" t="s">
        <v>254</v>
      </c>
      <c r="C34" s="105">
        <f>_xlfn.XLOOKUP(D34,ingredientes!B:B,ingredientes!A:A,"não")</f>
        <v>313</v>
      </c>
      <c r="D34" s="14" t="s">
        <v>25</v>
      </c>
      <c r="E34" s="19">
        <v>30</v>
      </c>
      <c r="H34">
        <f t="shared" si="0"/>
        <v>53</v>
      </c>
      <c r="I34">
        <f>C34</f>
        <v>313</v>
      </c>
      <c r="J34">
        <f>E34</f>
        <v>30</v>
      </c>
      <c r="K34">
        <f t="shared" si="1"/>
        <v>366</v>
      </c>
    </row>
    <row r="35" spans="1:11" x14ac:dyDescent="0.2">
      <c r="A35" s="106">
        <f>_xlfn.XLOOKUP(B35,pratos!B:B,pratos!A:A,"não")</f>
        <v>53</v>
      </c>
      <c r="B35" s="109" t="s">
        <v>503</v>
      </c>
      <c r="C35" s="105">
        <f>_xlfn.XLOOKUP(D35,ingredientes!B:B,ingredientes!A:A,"não")</f>
        <v>313</v>
      </c>
      <c r="D35" s="38" t="s">
        <v>25</v>
      </c>
      <c r="E35" s="87">
        <v>40</v>
      </c>
      <c r="H35">
        <f t="shared" si="0"/>
        <v>53</v>
      </c>
      <c r="I35">
        <f>C35</f>
        <v>313</v>
      </c>
      <c r="J35">
        <f>E35</f>
        <v>40</v>
      </c>
      <c r="K35">
        <f t="shared" si="1"/>
        <v>366</v>
      </c>
    </row>
    <row r="36" spans="1:11" x14ac:dyDescent="0.2">
      <c r="A36" s="106">
        <f>_xlfn.XLOOKUP(B36,pratos!B:B,pratos!A:A,"não")</f>
        <v>54</v>
      </c>
      <c r="B36" s="111" t="s">
        <v>243</v>
      </c>
      <c r="C36" s="105">
        <f>_xlfn.XLOOKUP(D36,ingredientes!B:B,ingredientes!A:A,"não")</f>
        <v>19</v>
      </c>
      <c r="D36" s="40" t="s">
        <v>244</v>
      </c>
      <c r="E36" s="13">
        <v>30</v>
      </c>
      <c r="H36">
        <f t="shared" si="0"/>
        <v>54</v>
      </c>
      <c r="I36">
        <f>C36</f>
        <v>19</v>
      </c>
      <c r="J36">
        <f>E36</f>
        <v>30</v>
      </c>
      <c r="K36">
        <f t="shared" si="1"/>
        <v>73</v>
      </c>
    </row>
    <row r="37" spans="1:11" x14ac:dyDescent="0.2">
      <c r="A37" s="106">
        <f>_xlfn.XLOOKUP(B37,pratos!B:B,pratos!A:A,"não")</f>
        <v>54</v>
      </c>
      <c r="B37" s="111" t="s">
        <v>243</v>
      </c>
      <c r="C37" s="105">
        <f>_xlfn.XLOOKUP(D37,ingredientes!B:B,ingredientes!A:A,"não")</f>
        <v>311</v>
      </c>
      <c r="D37" s="14" t="s">
        <v>217</v>
      </c>
      <c r="E37" s="51">
        <v>20</v>
      </c>
      <c r="H37">
        <f t="shared" si="0"/>
        <v>54</v>
      </c>
      <c r="I37">
        <f>C37</f>
        <v>311</v>
      </c>
      <c r="J37">
        <f>E37</f>
        <v>20</v>
      </c>
      <c r="K37">
        <f t="shared" si="1"/>
        <v>365</v>
      </c>
    </row>
    <row r="38" spans="1:11" x14ac:dyDescent="0.2">
      <c r="A38" s="106">
        <f>_xlfn.XLOOKUP(B38,pratos!B:B,pratos!A:A,"não")</f>
        <v>55</v>
      </c>
      <c r="B38" s="111" t="s">
        <v>77</v>
      </c>
      <c r="C38" s="105">
        <f>_xlfn.XLOOKUP(D38,ingredientes!B:B,ingredientes!A:A,"não")</f>
        <v>20</v>
      </c>
      <c r="D38" s="169" t="s">
        <v>77</v>
      </c>
      <c r="E38" s="19">
        <v>160</v>
      </c>
      <c r="H38">
        <f t="shared" si="0"/>
        <v>55</v>
      </c>
      <c r="I38">
        <f>C38</f>
        <v>20</v>
      </c>
      <c r="J38">
        <f>E38</f>
        <v>160</v>
      </c>
      <c r="K38">
        <f t="shared" si="1"/>
        <v>75</v>
      </c>
    </row>
    <row r="39" spans="1:11" x14ac:dyDescent="0.2">
      <c r="A39" s="106">
        <f>_xlfn.XLOOKUP(B39,pratos!B:B,pratos!A:A,"não")</f>
        <v>56</v>
      </c>
      <c r="B39" s="111" t="s">
        <v>273</v>
      </c>
      <c r="C39" s="105">
        <f>_xlfn.XLOOKUP(D39,ingredientes!B:B,ingredientes!A:A,"não")</f>
        <v>23</v>
      </c>
      <c r="D39" t="s">
        <v>608</v>
      </c>
      <c r="E39" s="19">
        <v>100</v>
      </c>
      <c r="H39">
        <f t="shared" si="0"/>
        <v>56</v>
      </c>
      <c r="I39">
        <f>C39</f>
        <v>23</v>
      </c>
      <c r="J39">
        <f>E39</f>
        <v>100</v>
      </c>
      <c r="K39">
        <f t="shared" si="1"/>
        <v>79</v>
      </c>
    </row>
    <row r="40" spans="1:11" x14ac:dyDescent="0.2">
      <c r="A40" s="106">
        <f>_xlfn.XLOOKUP(B40,pratos!B:B,pratos!A:A,"não")</f>
        <v>57</v>
      </c>
      <c r="B40" s="111" t="s">
        <v>182</v>
      </c>
      <c r="C40" s="105">
        <f>_xlfn.XLOOKUP(D40,ingredientes!B:B,ingredientes!A:A,"não")</f>
        <v>23</v>
      </c>
      <c r="D40" s="30" t="s">
        <v>608</v>
      </c>
      <c r="E40" s="19">
        <v>100</v>
      </c>
      <c r="H40">
        <f t="shared" si="0"/>
        <v>57</v>
      </c>
      <c r="I40">
        <f>C40</f>
        <v>23</v>
      </c>
      <c r="J40">
        <f>E40</f>
        <v>100</v>
      </c>
      <c r="K40">
        <f t="shared" si="1"/>
        <v>80</v>
      </c>
    </row>
    <row r="41" spans="1:11" x14ac:dyDescent="0.2">
      <c r="A41" s="106">
        <f>_xlfn.XLOOKUP(B41,pratos!B:B,pratos!A:A,"não")</f>
        <v>58</v>
      </c>
      <c r="B41" s="108" t="s">
        <v>225</v>
      </c>
      <c r="C41" s="105">
        <f>_xlfn.XLOOKUP(D41,ingredientes!B:B,ingredientes!A:A,"não")</f>
        <v>26</v>
      </c>
      <c r="D41" s="35" t="s">
        <v>208</v>
      </c>
      <c r="E41" s="10">
        <v>30</v>
      </c>
      <c r="H41">
        <f t="shared" si="0"/>
        <v>58</v>
      </c>
      <c r="I41">
        <f>C41</f>
        <v>26</v>
      </c>
      <c r="J41">
        <f>E41</f>
        <v>30</v>
      </c>
      <c r="K41">
        <f t="shared" si="1"/>
        <v>84</v>
      </c>
    </row>
    <row r="42" spans="1:11" x14ac:dyDescent="0.2">
      <c r="A42" s="106">
        <f>_xlfn.XLOOKUP(B42,pratos!B:B,pratos!A:A,"não")</f>
        <v>58</v>
      </c>
      <c r="B42" s="108" t="s">
        <v>225</v>
      </c>
      <c r="C42" s="105">
        <f>_xlfn.XLOOKUP(D42,ingredientes!B:B,ingredientes!A:A,"não")</f>
        <v>26</v>
      </c>
      <c r="D42" s="24" t="s">
        <v>208</v>
      </c>
      <c r="E42" s="10">
        <v>50</v>
      </c>
      <c r="H42">
        <f t="shared" si="0"/>
        <v>58</v>
      </c>
      <c r="I42">
        <f>C42</f>
        <v>26</v>
      </c>
      <c r="J42">
        <f>E42</f>
        <v>50</v>
      </c>
      <c r="K42">
        <f t="shared" si="1"/>
        <v>84</v>
      </c>
    </row>
    <row r="43" spans="1:11" x14ac:dyDescent="0.2">
      <c r="A43" s="106">
        <f>_xlfn.XLOOKUP(B43,pratos!B:B,pratos!A:A,"não")</f>
        <v>58</v>
      </c>
      <c r="B43" s="109" t="s">
        <v>225</v>
      </c>
      <c r="C43" s="105">
        <f>_xlfn.XLOOKUP(D43,ingredientes!B:B,ingredientes!A:A,"não")</f>
        <v>322</v>
      </c>
      <c r="D43" s="9" t="s">
        <v>299</v>
      </c>
      <c r="E43" s="10">
        <v>20</v>
      </c>
      <c r="H43">
        <f t="shared" si="0"/>
        <v>58</v>
      </c>
      <c r="I43">
        <f>C43</f>
        <v>322</v>
      </c>
      <c r="J43">
        <f>E43</f>
        <v>20</v>
      </c>
      <c r="K43">
        <f t="shared" si="1"/>
        <v>380</v>
      </c>
    </row>
    <row r="44" spans="1:11" x14ac:dyDescent="0.2">
      <c r="A44" s="106">
        <f>_xlfn.XLOOKUP(B44,pratos!B:B,pratos!A:A,"não")</f>
        <v>59</v>
      </c>
      <c r="B44" s="109" t="s">
        <v>366</v>
      </c>
      <c r="C44" s="105">
        <f>_xlfn.XLOOKUP(D44,ingredientes!B:B,ingredientes!A:A,"não")</f>
        <v>19</v>
      </c>
      <c r="D44" s="40" t="s">
        <v>244</v>
      </c>
      <c r="E44" s="13">
        <v>25</v>
      </c>
      <c r="H44">
        <f t="shared" si="0"/>
        <v>59</v>
      </c>
      <c r="I44">
        <f>C44</f>
        <v>19</v>
      </c>
      <c r="J44">
        <f>E44</f>
        <v>25</v>
      </c>
      <c r="K44">
        <f t="shared" si="1"/>
        <v>78</v>
      </c>
    </row>
    <row r="45" spans="1:11" x14ac:dyDescent="0.2">
      <c r="A45" s="106">
        <f>_xlfn.XLOOKUP(B45,pratos!B:B,pratos!A:A,"não")</f>
        <v>59</v>
      </c>
      <c r="B45" s="123" t="s">
        <v>366</v>
      </c>
      <c r="C45" s="105">
        <f>_xlfn.XLOOKUP(D45,ingredientes!B:B,ingredientes!A:A,"não")</f>
        <v>19</v>
      </c>
      <c r="D45" s="66" t="s">
        <v>244</v>
      </c>
      <c r="E45" s="13">
        <v>15</v>
      </c>
      <c r="H45">
        <f t="shared" si="0"/>
        <v>59</v>
      </c>
      <c r="I45">
        <f>C45</f>
        <v>19</v>
      </c>
      <c r="J45">
        <f>E45</f>
        <v>15</v>
      </c>
      <c r="K45">
        <f t="shared" si="1"/>
        <v>78</v>
      </c>
    </row>
    <row r="46" spans="1:11" x14ac:dyDescent="0.2">
      <c r="A46" s="106">
        <f>_xlfn.XLOOKUP(B46,pratos!B:B,pratos!A:A,"não")</f>
        <v>59</v>
      </c>
      <c r="B46" s="109" t="s">
        <v>366</v>
      </c>
      <c r="C46" s="105">
        <f>_xlfn.XLOOKUP(D46,ingredientes!B:B,ingredientes!A:A,"não")</f>
        <v>25</v>
      </c>
      <c r="D46" s="9" t="s">
        <v>11</v>
      </c>
      <c r="E46" s="10">
        <v>25</v>
      </c>
      <c r="H46">
        <f t="shared" si="0"/>
        <v>59</v>
      </c>
      <c r="I46">
        <f>C46</f>
        <v>25</v>
      </c>
      <c r="J46">
        <f>E46</f>
        <v>25</v>
      </c>
      <c r="K46">
        <f t="shared" si="1"/>
        <v>84</v>
      </c>
    </row>
    <row r="47" spans="1:11" x14ac:dyDescent="0.2">
      <c r="A47" s="106">
        <f>_xlfn.XLOOKUP(B47,pratos!B:B,pratos!A:A,"não")</f>
        <v>59</v>
      </c>
      <c r="B47" s="123" t="s">
        <v>366</v>
      </c>
      <c r="C47" s="105">
        <f>_xlfn.XLOOKUP(D47,ingredientes!B:B,ingredientes!A:A,"não")</f>
        <v>26</v>
      </c>
      <c r="D47" s="35" t="s">
        <v>208</v>
      </c>
      <c r="E47" s="10">
        <v>15</v>
      </c>
      <c r="H47">
        <f t="shared" si="0"/>
        <v>59</v>
      </c>
      <c r="I47">
        <f>C47</f>
        <v>26</v>
      </c>
      <c r="J47">
        <f>E47</f>
        <v>15</v>
      </c>
      <c r="K47">
        <f t="shared" si="1"/>
        <v>85</v>
      </c>
    </row>
    <row r="48" spans="1:11" x14ac:dyDescent="0.2">
      <c r="A48" s="106">
        <f>_xlfn.XLOOKUP(B48,pratos!B:B,pratos!A:A,"não")</f>
        <v>59</v>
      </c>
      <c r="B48" s="123" t="s">
        <v>366</v>
      </c>
      <c r="C48" s="105">
        <f>_xlfn.XLOOKUP(D48,ingredientes!B:B,ingredientes!A:A,"não")</f>
        <v>26</v>
      </c>
      <c r="D48" s="24" t="s">
        <v>208</v>
      </c>
      <c r="E48" s="10">
        <v>25</v>
      </c>
      <c r="H48">
        <f t="shared" si="0"/>
        <v>59</v>
      </c>
      <c r="I48">
        <f>C48</f>
        <v>26</v>
      </c>
      <c r="J48">
        <f>E48</f>
        <v>25</v>
      </c>
      <c r="K48">
        <f t="shared" si="1"/>
        <v>85</v>
      </c>
    </row>
    <row r="49" spans="1:11" x14ac:dyDescent="0.2">
      <c r="A49" s="106">
        <f>_xlfn.XLOOKUP(B49,pratos!B:B,pratos!A:A,"não")</f>
        <v>60</v>
      </c>
      <c r="B49" s="109" t="s">
        <v>401</v>
      </c>
      <c r="C49" s="105">
        <f>_xlfn.XLOOKUP(D49,ingredientes!B:B,ingredientes!A:A,"não")</f>
        <v>26</v>
      </c>
      <c r="D49" s="22" t="s">
        <v>208</v>
      </c>
      <c r="E49" s="10">
        <v>30</v>
      </c>
      <c r="H49">
        <f t="shared" si="0"/>
        <v>60</v>
      </c>
      <c r="I49">
        <f>C49</f>
        <v>26</v>
      </c>
      <c r="J49">
        <f>E49</f>
        <v>30</v>
      </c>
      <c r="K49">
        <f t="shared" si="1"/>
        <v>86</v>
      </c>
    </row>
    <row r="50" spans="1:11" x14ac:dyDescent="0.2">
      <c r="A50" s="106">
        <f>_xlfn.XLOOKUP(B50,pratos!B:B,pratos!A:A,"não")</f>
        <v>60</v>
      </c>
      <c r="B50" s="109" t="s">
        <v>401</v>
      </c>
      <c r="C50" s="105">
        <f>_xlfn.XLOOKUP(D50,ingredientes!B:B,ingredientes!A:A,"não")</f>
        <v>26</v>
      </c>
      <c r="D50" s="29" t="s">
        <v>208</v>
      </c>
      <c r="E50" s="10">
        <v>50</v>
      </c>
      <c r="H50">
        <f t="shared" si="0"/>
        <v>60</v>
      </c>
      <c r="I50">
        <f>C50</f>
        <v>26</v>
      </c>
      <c r="J50">
        <f>E50</f>
        <v>50</v>
      </c>
      <c r="K50">
        <f t="shared" si="1"/>
        <v>86</v>
      </c>
    </row>
    <row r="51" spans="1:11" x14ac:dyDescent="0.2">
      <c r="A51" s="106">
        <f>_xlfn.XLOOKUP(B51,pratos!B:B,pratos!A:A,"não")</f>
        <v>60</v>
      </c>
      <c r="B51" s="109" t="s">
        <v>401</v>
      </c>
      <c r="C51" s="105">
        <f>_xlfn.XLOOKUP(D51,ingredientes!B:B,ingredientes!A:A,"não")</f>
        <v>66</v>
      </c>
      <c r="D51" s="9" t="s">
        <v>402</v>
      </c>
      <c r="E51" s="10">
        <v>70</v>
      </c>
      <c r="H51">
        <f t="shared" si="0"/>
        <v>60</v>
      </c>
      <c r="I51">
        <f>C51</f>
        <v>66</v>
      </c>
      <c r="J51">
        <f>E51</f>
        <v>70</v>
      </c>
      <c r="K51">
        <f t="shared" si="1"/>
        <v>126</v>
      </c>
    </row>
    <row r="52" spans="1:11" x14ac:dyDescent="0.2">
      <c r="A52" s="106">
        <f>_xlfn.XLOOKUP(B52,pratos!B:B,pratos!A:A,"não")</f>
        <v>60</v>
      </c>
      <c r="B52" s="109" t="s">
        <v>401</v>
      </c>
      <c r="C52" s="105">
        <f>_xlfn.XLOOKUP(D52,ingredientes!B:B,ingredientes!A:A,"não")</f>
        <v>66</v>
      </c>
      <c r="D52" s="9" t="s">
        <v>402</v>
      </c>
      <c r="E52" s="10">
        <v>50</v>
      </c>
      <c r="H52">
        <f t="shared" si="0"/>
        <v>60</v>
      </c>
      <c r="I52">
        <f>C52</f>
        <v>66</v>
      </c>
      <c r="J52">
        <f>E52</f>
        <v>50</v>
      </c>
      <c r="K52">
        <f t="shared" si="1"/>
        <v>126</v>
      </c>
    </row>
    <row r="53" spans="1:11" x14ac:dyDescent="0.2">
      <c r="A53" s="106">
        <f>_xlfn.XLOOKUP(B53,pratos!B:B,pratos!A:A,"não")</f>
        <v>61</v>
      </c>
      <c r="B53" s="116" t="s">
        <v>494</v>
      </c>
      <c r="C53" s="105">
        <f>_xlfn.XLOOKUP(D53,ingredientes!B:B,ingredientes!A:A,"não")</f>
        <v>25</v>
      </c>
      <c r="D53" s="38" t="s">
        <v>11</v>
      </c>
      <c r="E53" s="87">
        <v>20</v>
      </c>
      <c r="H53">
        <f t="shared" si="0"/>
        <v>61</v>
      </c>
      <c r="I53">
        <f>C53</f>
        <v>25</v>
      </c>
      <c r="J53">
        <f>E53</f>
        <v>20</v>
      </c>
      <c r="K53">
        <f t="shared" si="1"/>
        <v>86</v>
      </c>
    </row>
    <row r="54" spans="1:11" x14ac:dyDescent="0.2">
      <c r="A54" s="106">
        <f>_xlfn.XLOOKUP(B54,pratos!B:B,pratos!A:A,"não")</f>
        <v>61</v>
      </c>
      <c r="B54" s="116" t="s">
        <v>494</v>
      </c>
      <c r="C54" s="105">
        <f>_xlfn.XLOOKUP(D54,ingredientes!B:B,ingredientes!A:A,"não")</f>
        <v>193</v>
      </c>
      <c r="D54" s="22" t="s">
        <v>145</v>
      </c>
      <c r="E54" s="10">
        <v>30</v>
      </c>
      <c r="H54">
        <f t="shared" si="0"/>
        <v>61</v>
      </c>
      <c r="I54">
        <f>C54</f>
        <v>193</v>
      </c>
      <c r="J54">
        <f>E54</f>
        <v>30</v>
      </c>
      <c r="K54">
        <f t="shared" si="1"/>
        <v>254</v>
      </c>
    </row>
    <row r="55" spans="1:11" x14ac:dyDescent="0.2">
      <c r="A55" s="106">
        <f>_xlfn.XLOOKUP(B55,pratos!B:B,pratos!A:A,"não")</f>
        <v>62</v>
      </c>
      <c r="B55" s="128" t="s">
        <v>422</v>
      </c>
      <c r="C55" s="105">
        <f>_xlfn.XLOOKUP(D55,ingredientes!B:B,ingredientes!A:A,"não")</f>
        <v>26</v>
      </c>
      <c r="D55" s="29" t="s">
        <v>208</v>
      </c>
      <c r="E55" s="10">
        <v>30</v>
      </c>
      <c r="H55">
        <f t="shared" si="0"/>
        <v>62</v>
      </c>
      <c r="I55">
        <f>C55</f>
        <v>26</v>
      </c>
      <c r="J55">
        <f>E55</f>
        <v>30</v>
      </c>
      <c r="K55">
        <f t="shared" si="1"/>
        <v>88</v>
      </c>
    </row>
    <row r="56" spans="1:11" x14ac:dyDescent="0.2">
      <c r="A56" s="106">
        <f>_xlfn.XLOOKUP(B56,pratos!B:B,pratos!A:A,"não")</f>
        <v>62</v>
      </c>
      <c r="B56" s="128" t="s">
        <v>422</v>
      </c>
      <c r="C56" s="105">
        <f>_xlfn.XLOOKUP(D56,ingredientes!B:B,ingredientes!A:A,"não")</f>
        <v>286</v>
      </c>
      <c r="D56" s="61" t="s">
        <v>423</v>
      </c>
      <c r="E56" s="68">
        <v>70</v>
      </c>
      <c r="H56">
        <f t="shared" si="0"/>
        <v>62</v>
      </c>
      <c r="I56">
        <f>C56</f>
        <v>286</v>
      </c>
      <c r="J56">
        <f>E56</f>
        <v>70</v>
      </c>
      <c r="K56">
        <f t="shared" si="1"/>
        <v>348</v>
      </c>
    </row>
    <row r="57" spans="1:11" x14ac:dyDescent="0.2">
      <c r="A57" s="106">
        <f>_xlfn.XLOOKUP(B57,pratos!B:B,pratos!A:A,"não")</f>
        <v>62</v>
      </c>
      <c r="B57" s="109" t="s">
        <v>422</v>
      </c>
      <c r="C57" s="105">
        <f>_xlfn.XLOOKUP(D57,ingredientes!B:B,ingredientes!A:A,"não")</f>
        <v>286</v>
      </c>
      <c r="D57" s="61" t="s">
        <v>423</v>
      </c>
      <c r="E57" s="68">
        <v>20</v>
      </c>
      <c r="H57">
        <f t="shared" si="0"/>
        <v>62</v>
      </c>
      <c r="I57">
        <f>C57</f>
        <v>286</v>
      </c>
      <c r="J57">
        <f>E57</f>
        <v>20</v>
      </c>
      <c r="K57">
        <f t="shared" si="1"/>
        <v>348</v>
      </c>
    </row>
    <row r="58" spans="1:11" x14ac:dyDescent="0.2">
      <c r="A58" s="106">
        <f>_xlfn.XLOOKUP(B58,pratos!B:B,pratos!A:A,"não")</f>
        <v>63</v>
      </c>
      <c r="B58" s="108" t="s">
        <v>207</v>
      </c>
      <c r="C58" s="105">
        <f>_xlfn.XLOOKUP(D58,ingredientes!B:B,ingredientes!A:A,"não")</f>
        <v>26</v>
      </c>
      <c r="D58" s="35" t="s">
        <v>208</v>
      </c>
      <c r="E58" s="10">
        <v>30</v>
      </c>
      <c r="H58">
        <f t="shared" si="0"/>
        <v>63</v>
      </c>
      <c r="I58">
        <f>C58</f>
        <v>26</v>
      </c>
      <c r="J58">
        <f>E58</f>
        <v>30</v>
      </c>
      <c r="K58">
        <f t="shared" si="1"/>
        <v>89</v>
      </c>
    </row>
    <row r="59" spans="1:11" x14ac:dyDescent="0.2">
      <c r="A59" s="106">
        <f>_xlfn.XLOOKUP(B59,pratos!B:B,pratos!A:A,"não")</f>
        <v>63</v>
      </c>
      <c r="B59" s="108" t="s">
        <v>207</v>
      </c>
      <c r="C59" s="105">
        <f>_xlfn.XLOOKUP(D59,ingredientes!B:B,ingredientes!A:A,"não")</f>
        <v>290</v>
      </c>
      <c r="D59" s="48" t="s">
        <v>209</v>
      </c>
      <c r="E59" s="10">
        <v>70</v>
      </c>
      <c r="H59">
        <f t="shared" si="0"/>
        <v>63</v>
      </c>
      <c r="I59">
        <f>C59</f>
        <v>290</v>
      </c>
      <c r="J59">
        <f>E59</f>
        <v>70</v>
      </c>
      <c r="K59">
        <f t="shared" si="1"/>
        <v>353</v>
      </c>
    </row>
    <row r="60" spans="1:11" x14ac:dyDescent="0.2">
      <c r="A60" s="106">
        <f>_xlfn.XLOOKUP(B60,pratos!B:B,pratos!A:A,"não")</f>
        <v>63</v>
      </c>
      <c r="B60" s="108" t="s">
        <v>207</v>
      </c>
      <c r="C60" s="105">
        <f>_xlfn.XLOOKUP(D60,ingredientes!B:B,ingredientes!A:A,"não")</f>
        <v>290</v>
      </c>
      <c r="D60" s="48" t="s">
        <v>209</v>
      </c>
      <c r="E60" s="17">
        <v>20</v>
      </c>
      <c r="H60">
        <f t="shared" si="0"/>
        <v>63</v>
      </c>
      <c r="I60">
        <f>C60</f>
        <v>290</v>
      </c>
      <c r="J60">
        <f>E60</f>
        <v>20</v>
      </c>
      <c r="K60">
        <f t="shared" si="1"/>
        <v>353</v>
      </c>
    </row>
    <row r="61" spans="1:11" x14ac:dyDescent="0.2">
      <c r="A61" s="106">
        <f>_xlfn.XLOOKUP(B61,pratos!B:B,pratos!A:A,"não")</f>
        <v>64</v>
      </c>
      <c r="B61" s="52" t="s">
        <v>473</v>
      </c>
      <c r="C61" s="105">
        <f>_xlfn.XLOOKUP(D61,ingredientes!B:B,ingredientes!A:A,"não")</f>
        <v>25</v>
      </c>
      <c r="D61" s="38" t="s">
        <v>11</v>
      </c>
      <c r="E61" s="10">
        <v>30</v>
      </c>
      <c r="H61">
        <f t="shared" si="0"/>
        <v>64</v>
      </c>
      <c r="I61">
        <f>C61</f>
        <v>25</v>
      </c>
      <c r="J61">
        <f>E61</f>
        <v>30</v>
      </c>
      <c r="K61">
        <f t="shared" si="1"/>
        <v>89</v>
      </c>
    </row>
    <row r="62" spans="1:11" x14ac:dyDescent="0.2">
      <c r="A62" s="106">
        <f>_xlfn.XLOOKUP(B62,pratos!B:B,pratos!A:A,"não")</f>
        <v>64</v>
      </c>
      <c r="B62" s="52" t="s">
        <v>473</v>
      </c>
      <c r="C62" s="105">
        <f>_xlfn.XLOOKUP(D62,ingredientes!B:B,ingredientes!A:A,"não")</f>
        <v>25</v>
      </c>
      <c r="D62" s="38" t="s">
        <v>11</v>
      </c>
      <c r="E62" s="10">
        <v>20</v>
      </c>
      <c r="H62">
        <f t="shared" si="0"/>
        <v>64</v>
      </c>
      <c r="I62">
        <f>C62</f>
        <v>25</v>
      </c>
      <c r="J62">
        <f>E62</f>
        <v>20</v>
      </c>
      <c r="K62">
        <f t="shared" si="1"/>
        <v>89</v>
      </c>
    </row>
    <row r="63" spans="1:11" x14ac:dyDescent="0.2">
      <c r="A63" s="106">
        <f>_xlfn.XLOOKUP(B63,pratos!B:B,pratos!A:A,"não")</f>
        <v>64</v>
      </c>
      <c r="B63" s="116" t="s">
        <v>473</v>
      </c>
      <c r="C63" s="105">
        <f>_xlfn.XLOOKUP(D63,ingredientes!B:B,ingredientes!A:A,"não")</f>
        <v>313</v>
      </c>
      <c r="D63" s="90" t="s">
        <v>25</v>
      </c>
      <c r="E63" s="82">
        <v>70</v>
      </c>
      <c r="H63">
        <f t="shared" si="0"/>
        <v>64</v>
      </c>
      <c r="I63">
        <f>C63</f>
        <v>313</v>
      </c>
      <c r="J63">
        <f>E63</f>
        <v>70</v>
      </c>
      <c r="K63">
        <f t="shared" si="1"/>
        <v>377</v>
      </c>
    </row>
    <row r="64" spans="1:11" x14ac:dyDescent="0.2">
      <c r="A64" s="106">
        <f>_xlfn.XLOOKUP(B64,pratos!B:B,pratos!A:A,"não")</f>
        <v>64</v>
      </c>
      <c r="B64" s="116" t="s">
        <v>473</v>
      </c>
      <c r="C64" s="105">
        <f>_xlfn.XLOOKUP(D64,ingredientes!B:B,ingredientes!A:A,"não")</f>
        <v>313</v>
      </c>
      <c r="D64" s="91" t="s">
        <v>25</v>
      </c>
      <c r="E64" s="82">
        <v>30</v>
      </c>
      <c r="H64">
        <f t="shared" ref="H64:H127" si="2">A64</f>
        <v>64</v>
      </c>
      <c r="I64">
        <f t="shared" ref="I64:I127" si="3">C64</f>
        <v>313</v>
      </c>
      <c r="J64">
        <f t="shared" ref="J64:J127" si="4">E64</f>
        <v>30</v>
      </c>
      <c r="K64">
        <f t="shared" si="1"/>
        <v>377</v>
      </c>
    </row>
    <row r="65" spans="1:11" x14ac:dyDescent="0.2">
      <c r="A65" s="106">
        <f>_xlfn.XLOOKUP(B65,pratos!B:B,pratos!A:A,"não")</f>
        <v>65</v>
      </c>
      <c r="B65" s="128" t="s">
        <v>424</v>
      </c>
      <c r="C65" s="105">
        <f>_xlfn.XLOOKUP(D65,ingredientes!B:B,ingredientes!A:A,"não")</f>
        <v>26</v>
      </c>
      <c r="D65" s="29" t="s">
        <v>208</v>
      </c>
      <c r="E65" s="17">
        <v>30</v>
      </c>
      <c r="H65">
        <f t="shared" si="2"/>
        <v>65</v>
      </c>
      <c r="I65">
        <f t="shared" si="3"/>
        <v>26</v>
      </c>
      <c r="J65">
        <f t="shared" si="4"/>
        <v>30</v>
      </c>
      <c r="K65">
        <f t="shared" si="1"/>
        <v>91</v>
      </c>
    </row>
    <row r="66" spans="1:11" x14ac:dyDescent="0.2">
      <c r="A66" s="106">
        <f>_xlfn.XLOOKUP(B66,pratos!B:B,pratos!A:A,"não")</f>
        <v>65</v>
      </c>
      <c r="B66" s="128" t="s">
        <v>424</v>
      </c>
      <c r="C66" s="105">
        <f>_xlfn.XLOOKUP(D66,ingredientes!B:B,ingredientes!A:A,"não")</f>
        <v>248</v>
      </c>
      <c r="D66" s="61" t="s">
        <v>425</v>
      </c>
      <c r="E66" s="31">
        <v>20</v>
      </c>
      <c r="H66">
        <f t="shared" si="2"/>
        <v>65</v>
      </c>
      <c r="I66">
        <f t="shared" si="3"/>
        <v>248</v>
      </c>
      <c r="J66">
        <f t="shared" si="4"/>
        <v>20</v>
      </c>
      <c r="K66">
        <f t="shared" si="1"/>
        <v>313</v>
      </c>
    </row>
    <row r="67" spans="1:11" x14ac:dyDescent="0.2">
      <c r="A67" s="106">
        <f>_xlfn.XLOOKUP(B67,pratos!B:B,pratos!A:A,"não")</f>
        <v>66</v>
      </c>
      <c r="B67" s="52" t="s">
        <v>106</v>
      </c>
      <c r="C67" s="105">
        <f>_xlfn.XLOOKUP(D67,ingredientes!B:B,ingredientes!A:A,"não")</f>
        <v>27</v>
      </c>
      <c r="D67" s="12" t="s">
        <v>106</v>
      </c>
      <c r="E67" s="17">
        <v>10</v>
      </c>
      <c r="H67">
        <f t="shared" si="2"/>
        <v>66</v>
      </c>
      <c r="I67">
        <f t="shared" si="3"/>
        <v>27</v>
      </c>
      <c r="J67">
        <f t="shared" si="4"/>
        <v>10</v>
      </c>
      <c r="K67">
        <f t="shared" ref="K67:K130" si="5">H67+I67</f>
        <v>93</v>
      </c>
    </row>
    <row r="68" spans="1:11" x14ac:dyDescent="0.2">
      <c r="A68" s="106">
        <f>_xlfn.XLOOKUP(B68,pratos!B:B,pratos!A:A,"não")</f>
        <v>67</v>
      </c>
      <c r="B68" s="125" t="s">
        <v>395</v>
      </c>
      <c r="C68" s="105">
        <f>_xlfn.XLOOKUP(D68,ingredientes!B:B,ingredientes!A:A,"não")</f>
        <v>29</v>
      </c>
      <c r="D68" s="30" t="s">
        <v>609</v>
      </c>
      <c r="E68" s="68">
        <v>50</v>
      </c>
      <c r="H68">
        <f t="shared" si="2"/>
        <v>67</v>
      </c>
      <c r="I68">
        <f t="shared" si="3"/>
        <v>29</v>
      </c>
      <c r="J68">
        <f t="shared" si="4"/>
        <v>50</v>
      </c>
      <c r="K68">
        <f t="shared" si="5"/>
        <v>96</v>
      </c>
    </row>
    <row r="69" spans="1:11" x14ac:dyDescent="0.2">
      <c r="A69" s="106">
        <f>_xlfn.XLOOKUP(B69,pratos!B:B,pratos!A:A,"não")</f>
        <v>67</v>
      </c>
      <c r="B69" s="125" t="s">
        <v>395</v>
      </c>
      <c r="C69" s="105">
        <f>_xlfn.XLOOKUP(D69,ingredientes!B:B,ingredientes!A:A,"não")</f>
        <v>29</v>
      </c>
      <c r="D69" s="30" t="s">
        <v>609</v>
      </c>
      <c r="E69" s="10">
        <v>100</v>
      </c>
      <c r="H69">
        <f t="shared" si="2"/>
        <v>67</v>
      </c>
      <c r="I69">
        <f t="shared" si="3"/>
        <v>29</v>
      </c>
      <c r="J69">
        <f t="shared" si="4"/>
        <v>100</v>
      </c>
      <c r="K69">
        <f t="shared" si="5"/>
        <v>96</v>
      </c>
    </row>
    <row r="70" spans="1:11" x14ac:dyDescent="0.2">
      <c r="A70" s="106">
        <f>_xlfn.XLOOKUP(B70,pratos!B:B,pratos!A:A,"não")</f>
        <v>67</v>
      </c>
      <c r="B70" s="125" t="s">
        <v>395</v>
      </c>
      <c r="C70" s="105">
        <f>_xlfn.XLOOKUP(D70,ingredientes!B:B,ingredientes!A:A,"não")</f>
        <v>208</v>
      </c>
      <c r="D70" s="9" t="s">
        <v>16</v>
      </c>
      <c r="E70" s="10">
        <v>20</v>
      </c>
      <c r="H70">
        <f t="shared" si="2"/>
        <v>67</v>
      </c>
      <c r="I70">
        <f t="shared" si="3"/>
        <v>208</v>
      </c>
      <c r="J70">
        <f t="shared" si="4"/>
        <v>20</v>
      </c>
      <c r="K70">
        <f t="shared" si="5"/>
        <v>275</v>
      </c>
    </row>
    <row r="71" spans="1:11" x14ac:dyDescent="0.2">
      <c r="A71" s="106">
        <f>_xlfn.XLOOKUP(B71,pratos!B:B,pratos!A:A,"não")</f>
        <v>68</v>
      </c>
      <c r="B71" s="111" t="s">
        <v>283</v>
      </c>
      <c r="C71" s="105">
        <f>_xlfn.XLOOKUP(D71,ingredientes!B:B,ingredientes!A:A,"não")</f>
        <v>91</v>
      </c>
      <c r="D71" s="11" t="s">
        <v>147</v>
      </c>
      <c r="E71" s="19">
        <v>12</v>
      </c>
      <c r="H71">
        <f t="shared" si="2"/>
        <v>68</v>
      </c>
      <c r="I71">
        <f t="shared" si="3"/>
        <v>91</v>
      </c>
      <c r="J71">
        <f t="shared" si="4"/>
        <v>12</v>
      </c>
      <c r="K71">
        <f t="shared" si="5"/>
        <v>159</v>
      </c>
    </row>
    <row r="72" spans="1:11" x14ac:dyDescent="0.2">
      <c r="A72" s="106">
        <f>_xlfn.XLOOKUP(B72,pratos!B:B,pratos!A:A,"não")</f>
        <v>68</v>
      </c>
      <c r="B72" s="111" t="s">
        <v>283</v>
      </c>
      <c r="C72" s="105">
        <f>_xlfn.XLOOKUP(D72,ingredientes!B:B,ingredientes!A:A,"não")</f>
        <v>229</v>
      </c>
      <c r="D72" s="11" t="s">
        <v>539</v>
      </c>
      <c r="E72" s="19">
        <v>8</v>
      </c>
      <c r="H72">
        <f t="shared" si="2"/>
        <v>68</v>
      </c>
      <c r="I72">
        <f t="shared" si="3"/>
        <v>229</v>
      </c>
      <c r="J72">
        <f t="shared" si="4"/>
        <v>8</v>
      </c>
      <c r="K72">
        <f t="shared" si="5"/>
        <v>297</v>
      </c>
    </row>
    <row r="73" spans="1:11" x14ac:dyDescent="0.2">
      <c r="A73" s="106">
        <f>_xlfn.XLOOKUP(B73,pratos!B:B,pratos!A:A,"não")</f>
        <v>68</v>
      </c>
      <c r="B73" s="111" t="s">
        <v>283</v>
      </c>
      <c r="C73" s="105">
        <f>_xlfn.XLOOKUP(D73,ingredientes!B:B,ingredientes!A:A,"não")</f>
        <v>238</v>
      </c>
      <c r="D73" s="30" t="s">
        <v>677</v>
      </c>
      <c r="E73" s="19">
        <v>35</v>
      </c>
      <c r="H73">
        <f t="shared" si="2"/>
        <v>68</v>
      </c>
      <c r="I73">
        <f t="shared" si="3"/>
        <v>238</v>
      </c>
      <c r="J73">
        <f t="shared" si="4"/>
        <v>35</v>
      </c>
      <c r="K73">
        <f t="shared" si="5"/>
        <v>306</v>
      </c>
    </row>
    <row r="74" spans="1:11" x14ac:dyDescent="0.2">
      <c r="A74" s="106">
        <f>_xlfn.XLOOKUP(B74,pratos!B:B,pratos!A:A,"não")</f>
        <v>68</v>
      </c>
      <c r="B74" s="111" t="s">
        <v>283</v>
      </c>
      <c r="C74" s="105">
        <f>_xlfn.XLOOKUP(D74,ingredientes!B:B,ingredientes!A:A,"não")</f>
        <v>238</v>
      </c>
      <c r="D74" s="30" t="s">
        <v>677</v>
      </c>
      <c r="E74" s="19">
        <v>70</v>
      </c>
      <c r="H74">
        <f t="shared" si="2"/>
        <v>68</v>
      </c>
      <c r="I74">
        <f t="shared" si="3"/>
        <v>238</v>
      </c>
      <c r="J74">
        <f t="shared" si="4"/>
        <v>70</v>
      </c>
      <c r="K74">
        <f t="shared" si="5"/>
        <v>306</v>
      </c>
    </row>
    <row r="75" spans="1:11" x14ac:dyDescent="0.2">
      <c r="A75" s="106">
        <f>_xlfn.XLOOKUP(B75,pratos!B:B,pratos!A:A,"não")</f>
        <v>69</v>
      </c>
      <c r="B75" s="124" t="s">
        <v>379</v>
      </c>
      <c r="C75" s="105">
        <f>_xlfn.XLOOKUP(D75,ingredientes!B:B,ingredientes!A:A,"não")</f>
        <v>29</v>
      </c>
      <c r="D75" s="30" t="s">
        <v>609</v>
      </c>
      <c r="E75" s="10">
        <v>120</v>
      </c>
      <c r="H75">
        <f t="shared" si="2"/>
        <v>69</v>
      </c>
      <c r="I75">
        <f t="shared" si="3"/>
        <v>29</v>
      </c>
      <c r="J75">
        <f t="shared" si="4"/>
        <v>120</v>
      </c>
      <c r="K75">
        <f t="shared" si="5"/>
        <v>98</v>
      </c>
    </row>
    <row r="76" spans="1:11" x14ac:dyDescent="0.2">
      <c r="A76" s="106">
        <f>_xlfn.XLOOKUP(B76,pratos!B:B,pratos!A:A,"não")</f>
        <v>69</v>
      </c>
      <c r="B76" s="124" t="s">
        <v>379</v>
      </c>
      <c r="C76" s="105">
        <f>_xlfn.XLOOKUP(D76,ingredientes!B:B,ingredientes!A:A,"não")</f>
        <v>29</v>
      </c>
      <c r="D76" s="30" t="s">
        <v>609</v>
      </c>
      <c r="E76" s="10">
        <v>50</v>
      </c>
      <c r="H76">
        <f t="shared" si="2"/>
        <v>69</v>
      </c>
      <c r="I76">
        <f t="shared" si="3"/>
        <v>29</v>
      </c>
      <c r="J76">
        <f t="shared" si="4"/>
        <v>50</v>
      </c>
      <c r="K76">
        <f t="shared" si="5"/>
        <v>98</v>
      </c>
    </row>
    <row r="77" spans="1:11" x14ac:dyDescent="0.2">
      <c r="A77" s="106">
        <f>_xlfn.XLOOKUP(B77,pratos!B:B,pratos!A:A,"não")</f>
        <v>69</v>
      </c>
      <c r="B77" s="124" t="s">
        <v>379</v>
      </c>
      <c r="C77" s="105">
        <f>_xlfn.XLOOKUP(D77,ingredientes!B:B,ingredientes!A:A,"não")</f>
        <v>208</v>
      </c>
      <c r="D77" s="9" t="s">
        <v>16</v>
      </c>
      <c r="E77" s="10">
        <v>20</v>
      </c>
      <c r="H77">
        <f t="shared" si="2"/>
        <v>69</v>
      </c>
      <c r="I77">
        <f t="shared" si="3"/>
        <v>208</v>
      </c>
      <c r="J77">
        <f t="shared" si="4"/>
        <v>20</v>
      </c>
      <c r="K77">
        <f t="shared" si="5"/>
        <v>277</v>
      </c>
    </row>
    <row r="78" spans="1:11" x14ac:dyDescent="0.2">
      <c r="A78" s="106">
        <f>_xlfn.XLOOKUP(B78,pratos!B:B,pratos!A:A,"não")</f>
        <v>70</v>
      </c>
      <c r="B78" s="128" t="s">
        <v>390</v>
      </c>
      <c r="C78" s="105">
        <f>_xlfn.XLOOKUP(D78,ingredientes!B:B,ingredientes!A:A,"não")</f>
        <v>29</v>
      </c>
      <c r="D78" s="30" t="s">
        <v>609</v>
      </c>
      <c r="E78" s="68">
        <v>120</v>
      </c>
      <c r="H78">
        <f t="shared" si="2"/>
        <v>70</v>
      </c>
      <c r="I78">
        <f t="shared" si="3"/>
        <v>29</v>
      </c>
      <c r="J78">
        <f t="shared" si="4"/>
        <v>120</v>
      </c>
      <c r="K78">
        <f t="shared" si="5"/>
        <v>99</v>
      </c>
    </row>
    <row r="79" spans="1:11" x14ac:dyDescent="0.2">
      <c r="A79" s="106">
        <f>_xlfn.XLOOKUP(B79,pratos!B:B,pratos!A:A,"não")</f>
        <v>70</v>
      </c>
      <c r="B79" s="128" t="s">
        <v>390</v>
      </c>
      <c r="C79" s="105">
        <f>_xlfn.XLOOKUP(D79,ingredientes!B:B,ingredientes!A:A,"não")</f>
        <v>29</v>
      </c>
      <c r="D79" s="30" t="s">
        <v>609</v>
      </c>
      <c r="E79" s="68">
        <v>120</v>
      </c>
      <c r="H79">
        <f t="shared" si="2"/>
        <v>70</v>
      </c>
      <c r="I79">
        <f t="shared" si="3"/>
        <v>29</v>
      </c>
      <c r="J79">
        <f t="shared" si="4"/>
        <v>120</v>
      </c>
      <c r="K79">
        <f t="shared" si="5"/>
        <v>99</v>
      </c>
    </row>
    <row r="80" spans="1:11" x14ac:dyDescent="0.2">
      <c r="A80" s="106">
        <f>_xlfn.XLOOKUP(B80,pratos!B:B,pratos!A:A,"não")</f>
        <v>71</v>
      </c>
      <c r="B80" s="52" t="s">
        <v>18</v>
      </c>
      <c r="C80" s="105">
        <f>_xlfn.XLOOKUP(D80,ingredientes!B:B,ingredientes!A:A,"não")</f>
        <v>34</v>
      </c>
      <c r="D80" s="30" t="s">
        <v>611</v>
      </c>
      <c r="E80" s="10">
        <v>130</v>
      </c>
      <c r="H80">
        <f t="shared" si="2"/>
        <v>71</v>
      </c>
      <c r="I80">
        <f t="shared" si="3"/>
        <v>34</v>
      </c>
      <c r="J80">
        <f t="shared" si="4"/>
        <v>130</v>
      </c>
      <c r="K80">
        <f t="shared" si="5"/>
        <v>105</v>
      </c>
    </row>
    <row r="81" spans="1:11" x14ac:dyDescent="0.2">
      <c r="A81" s="106">
        <f>_xlfn.XLOOKUP(B81,pratos!B:B,pratos!A:A,"não")</f>
        <v>71</v>
      </c>
      <c r="B81" s="52" t="s">
        <v>18</v>
      </c>
      <c r="C81" s="105">
        <f>_xlfn.XLOOKUP(D81,ingredientes!B:B,ingredientes!A:A,"não")</f>
        <v>34</v>
      </c>
      <c r="D81" s="30" t="s">
        <v>611</v>
      </c>
      <c r="E81" s="10">
        <v>100</v>
      </c>
      <c r="H81">
        <f t="shared" si="2"/>
        <v>71</v>
      </c>
      <c r="I81">
        <f t="shared" si="3"/>
        <v>34</v>
      </c>
      <c r="J81">
        <f t="shared" si="4"/>
        <v>100</v>
      </c>
      <c r="K81">
        <f t="shared" si="5"/>
        <v>105</v>
      </c>
    </row>
    <row r="82" spans="1:11" x14ac:dyDescent="0.2">
      <c r="A82" s="106">
        <f>_xlfn.XLOOKUP(B82,pratos!B:B,pratos!A:A,"não")</f>
        <v>71</v>
      </c>
      <c r="B82" s="52" t="s">
        <v>18</v>
      </c>
      <c r="C82" s="105">
        <f>_xlfn.XLOOKUP(D82,ingredientes!B:B,ingredientes!A:A,"não")</f>
        <v>34</v>
      </c>
      <c r="D82" s="30" t="s">
        <v>611</v>
      </c>
      <c r="E82" s="10">
        <v>130</v>
      </c>
      <c r="H82">
        <f t="shared" si="2"/>
        <v>71</v>
      </c>
      <c r="I82">
        <f t="shared" si="3"/>
        <v>34</v>
      </c>
      <c r="J82">
        <f t="shared" si="4"/>
        <v>130</v>
      </c>
      <c r="K82">
        <f t="shared" si="5"/>
        <v>105</v>
      </c>
    </row>
    <row r="83" spans="1:11" x14ac:dyDescent="0.2">
      <c r="A83" s="106">
        <f>_xlfn.XLOOKUP(B83,pratos!B:B,pratos!A:A,"não")</f>
        <v>71</v>
      </c>
      <c r="B83" s="52" t="s">
        <v>18</v>
      </c>
      <c r="C83" s="105">
        <f>_xlfn.XLOOKUP(D83,ingredientes!B:B,ingredientes!A:A,"não")</f>
        <v>34</v>
      </c>
      <c r="D83" t="s">
        <v>611</v>
      </c>
      <c r="E83" s="87">
        <v>100</v>
      </c>
      <c r="H83">
        <f t="shared" si="2"/>
        <v>71</v>
      </c>
      <c r="I83">
        <f t="shared" si="3"/>
        <v>34</v>
      </c>
      <c r="J83">
        <f t="shared" si="4"/>
        <v>100</v>
      </c>
      <c r="K83">
        <f t="shared" si="5"/>
        <v>105</v>
      </c>
    </row>
    <row r="84" spans="1:11" x14ac:dyDescent="0.2">
      <c r="A84" s="106">
        <f>_xlfn.XLOOKUP(B84,pratos!B:B,pratos!A:A,"não")</f>
        <v>72</v>
      </c>
      <c r="B84" s="111" t="s">
        <v>19</v>
      </c>
      <c r="C84" s="105">
        <f>_xlfn.XLOOKUP(D84,ingredientes!B:B,ingredientes!A:A,"não")</f>
        <v>34</v>
      </c>
      <c r="D84" t="s">
        <v>611</v>
      </c>
      <c r="E84" s="17">
        <v>130</v>
      </c>
      <c r="H84">
        <f t="shared" si="2"/>
        <v>72</v>
      </c>
      <c r="I84">
        <f t="shared" si="3"/>
        <v>34</v>
      </c>
      <c r="J84">
        <f t="shared" si="4"/>
        <v>130</v>
      </c>
      <c r="K84">
        <f t="shared" si="5"/>
        <v>106</v>
      </c>
    </row>
    <row r="85" spans="1:11" x14ac:dyDescent="0.2">
      <c r="A85" s="106">
        <f>_xlfn.XLOOKUP(B85,pratos!B:B,pratos!A:A,"não")</f>
        <v>72</v>
      </c>
      <c r="B85" s="111" t="s">
        <v>19</v>
      </c>
      <c r="C85" s="105">
        <f>_xlfn.XLOOKUP(D85,ingredientes!B:B,ingredientes!A:A,"não")</f>
        <v>34</v>
      </c>
      <c r="D85" t="s">
        <v>611</v>
      </c>
      <c r="E85" s="10">
        <v>100</v>
      </c>
      <c r="H85">
        <f t="shared" si="2"/>
        <v>72</v>
      </c>
      <c r="I85">
        <f t="shared" si="3"/>
        <v>34</v>
      </c>
      <c r="J85">
        <f t="shared" si="4"/>
        <v>100</v>
      </c>
      <c r="K85">
        <f t="shared" si="5"/>
        <v>106</v>
      </c>
    </row>
    <row r="86" spans="1:11" x14ac:dyDescent="0.2">
      <c r="A86" s="106">
        <f>_xlfn.XLOOKUP(B86,pratos!B:B,pratos!A:A,"não")</f>
        <v>73</v>
      </c>
      <c r="B86" s="116" t="s">
        <v>527</v>
      </c>
      <c r="C86" s="105">
        <f>_xlfn.XLOOKUP(D86,ingredientes!B:B,ingredientes!A:A,"não")</f>
        <v>34</v>
      </c>
      <c r="D86" t="s">
        <v>611</v>
      </c>
      <c r="E86" s="17">
        <v>130</v>
      </c>
      <c r="H86">
        <f t="shared" si="2"/>
        <v>73</v>
      </c>
      <c r="I86">
        <f t="shared" si="3"/>
        <v>34</v>
      </c>
      <c r="J86">
        <f t="shared" si="4"/>
        <v>130</v>
      </c>
      <c r="K86">
        <f t="shared" si="5"/>
        <v>107</v>
      </c>
    </row>
    <row r="87" spans="1:11" x14ac:dyDescent="0.2">
      <c r="A87" s="106">
        <f>_xlfn.XLOOKUP(B87,pratos!B:B,pratos!A:A,"não")</f>
        <v>73</v>
      </c>
      <c r="B87" s="116" t="s">
        <v>527</v>
      </c>
      <c r="C87" s="105">
        <f>_xlfn.XLOOKUP(D87,ingredientes!B:B,ingredientes!A:A,"não")</f>
        <v>34</v>
      </c>
      <c r="D87" t="s">
        <v>611</v>
      </c>
      <c r="E87" s="87">
        <v>100</v>
      </c>
      <c r="H87">
        <f t="shared" si="2"/>
        <v>73</v>
      </c>
      <c r="I87">
        <f t="shared" si="3"/>
        <v>34</v>
      </c>
      <c r="J87">
        <f t="shared" si="4"/>
        <v>100</v>
      </c>
      <c r="K87">
        <f t="shared" si="5"/>
        <v>107</v>
      </c>
    </row>
    <row r="88" spans="1:11" x14ac:dyDescent="0.2">
      <c r="A88" s="106">
        <f>_xlfn.XLOOKUP(B88,pratos!B:B,pratos!A:A,"não")</f>
        <v>74</v>
      </c>
      <c r="B88" s="109" t="s">
        <v>262</v>
      </c>
      <c r="C88" s="105">
        <f>_xlfn.XLOOKUP(D88,ingredientes!B:B,ingredientes!A:A,"não")</f>
        <v>37</v>
      </c>
      <c r="D88" s="167" t="s">
        <v>263</v>
      </c>
      <c r="E88" s="19">
        <v>160</v>
      </c>
      <c r="H88">
        <f t="shared" si="2"/>
        <v>74</v>
      </c>
      <c r="I88">
        <f t="shared" si="3"/>
        <v>37</v>
      </c>
      <c r="J88">
        <f t="shared" si="4"/>
        <v>160</v>
      </c>
      <c r="K88">
        <f t="shared" si="5"/>
        <v>111</v>
      </c>
    </row>
    <row r="89" spans="1:11" x14ac:dyDescent="0.2">
      <c r="A89" s="106">
        <f>_xlfn.XLOOKUP(B89,pratos!B:B,pratos!A:A,"não")</f>
        <v>75</v>
      </c>
      <c r="B89" s="109" t="s">
        <v>268</v>
      </c>
      <c r="C89" s="105">
        <f>_xlfn.XLOOKUP(D89,ingredientes!B:B,ingredientes!A:A,"não")</f>
        <v>36</v>
      </c>
      <c r="D89" s="164" t="s">
        <v>269</v>
      </c>
      <c r="E89" s="27">
        <v>20</v>
      </c>
      <c r="H89">
        <f t="shared" si="2"/>
        <v>75</v>
      </c>
      <c r="I89">
        <f t="shared" si="3"/>
        <v>36</v>
      </c>
      <c r="J89">
        <f t="shared" si="4"/>
        <v>20</v>
      </c>
      <c r="K89">
        <f t="shared" si="5"/>
        <v>111</v>
      </c>
    </row>
    <row r="90" spans="1:11" x14ac:dyDescent="0.2">
      <c r="A90" s="106">
        <f>_xlfn.XLOOKUP(B90,pratos!B:B,pratos!A:A,"não")</f>
        <v>75</v>
      </c>
      <c r="B90" s="52" t="s">
        <v>268</v>
      </c>
      <c r="C90" s="105">
        <f>_xlfn.XLOOKUP(D90,ingredientes!B:B,ingredientes!A:A,"não")</f>
        <v>176</v>
      </c>
      <c r="D90" s="162" t="s">
        <v>270</v>
      </c>
      <c r="E90" s="27">
        <v>5</v>
      </c>
      <c r="H90">
        <f t="shared" si="2"/>
        <v>75</v>
      </c>
      <c r="I90">
        <f t="shared" si="3"/>
        <v>176</v>
      </c>
      <c r="J90">
        <f t="shared" si="4"/>
        <v>5</v>
      </c>
      <c r="K90">
        <f t="shared" si="5"/>
        <v>251</v>
      </c>
    </row>
    <row r="91" spans="1:11" x14ac:dyDescent="0.2">
      <c r="A91" s="106">
        <f>_xlfn.XLOOKUP(B91,pratos!B:B,pratos!A:A,"não")</f>
        <v>75</v>
      </c>
      <c r="B91" s="52" t="s">
        <v>268</v>
      </c>
      <c r="C91" s="105">
        <f>_xlfn.XLOOKUP(D91,ingredientes!B:B,ingredientes!A:A,"não")</f>
        <v>177</v>
      </c>
      <c r="D91" s="162" t="s">
        <v>6</v>
      </c>
      <c r="E91" s="27">
        <v>100</v>
      </c>
      <c r="H91">
        <f t="shared" si="2"/>
        <v>75</v>
      </c>
      <c r="I91">
        <f t="shared" si="3"/>
        <v>177</v>
      </c>
      <c r="J91">
        <f t="shared" si="4"/>
        <v>100</v>
      </c>
      <c r="K91">
        <f t="shared" si="5"/>
        <v>252</v>
      </c>
    </row>
    <row r="92" spans="1:11" x14ac:dyDescent="0.2">
      <c r="A92" s="106">
        <f>_xlfn.XLOOKUP(B92,pratos!B:B,pratos!A:A,"não")</f>
        <v>75</v>
      </c>
      <c r="B92" s="52" t="s">
        <v>268</v>
      </c>
      <c r="C92" s="105">
        <f>_xlfn.XLOOKUP(D92,ingredientes!B:B,ingredientes!A:A,"não")</f>
        <v>179</v>
      </c>
      <c r="D92" s="138" t="s">
        <v>62</v>
      </c>
      <c r="E92" s="5">
        <v>30</v>
      </c>
      <c r="H92">
        <f t="shared" si="2"/>
        <v>75</v>
      </c>
      <c r="I92">
        <f t="shared" si="3"/>
        <v>179</v>
      </c>
      <c r="J92">
        <f t="shared" si="4"/>
        <v>30</v>
      </c>
      <c r="K92">
        <f t="shared" si="5"/>
        <v>254</v>
      </c>
    </row>
    <row r="93" spans="1:11" x14ac:dyDescent="0.2">
      <c r="A93" s="106">
        <f>_xlfn.XLOOKUP(B93,pratos!B:B,pratos!A:A,"não")</f>
        <v>76</v>
      </c>
      <c r="B93" s="116" t="s">
        <v>515</v>
      </c>
      <c r="C93" s="105">
        <f>_xlfn.XLOOKUP(D93,ingredientes!B:B,ingredientes!A:A,"não")</f>
        <v>34</v>
      </c>
      <c r="D93" t="s">
        <v>611</v>
      </c>
      <c r="E93" s="10">
        <v>130</v>
      </c>
      <c r="H93">
        <f t="shared" si="2"/>
        <v>76</v>
      </c>
      <c r="I93">
        <f t="shared" si="3"/>
        <v>34</v>
      </c>
      <c r="J93">
        <f t="shared" si="4"/>
        <v>130</v>
      </c>
      <c r="K93">
        <f t="shared" si="5"/>
        <v>110</v>
      </c>
    </row>
    <row r="94" spans="1:11" x14ac:dyDescent="0.2">
      <c r="A94" s="106">
        <f>_xlfn.XLOOKUP(B94,pratos!B:B,pratos!A:A,"não")</f>
        <v>76</v>
      </c>
      <c r="B94" s="116" t="s">
        <v>515</v>
      </c>
      <c r="C94" s="105">
        <f>_xlfn.XLOOKUP(D94,ingredientes!B:B,ingredientes!A:A,"não")</f>
        <v>34</v>
      </c>
      <c r="D94" t="s">
        <v>611</v>
      </c>
      <c r="E94" s="87">
        <v>100</v>
      </c>
      <c r="H94">
        <f t="shared" si="2"/>
        <v>76</v>
      </c>
      <c r="I94">
        <f t="shared" si="3"/>
        <v>34</v>
      </c>
      <c r="J94">
        <f t="shared" si="4"/>
        <v>100</v>
      </c>
      <c r="K94">
        <f t="shared" si="5"/>
        <v>110</v>
      </c>
    </row>
    <row r="95" spans="1:11" x14ac:dyDescent="0.2">
      <c r="A95" s="106">
        <f>_xlfn.XLOOKUP(B95,pratos!B:B,pratos!A:A,"não")</f>
        <v>77</v>
      </c>
      <c r="B95" s="111" t="s">
        <v>113</v>
      </c>
      <c r="C95" s="105">
        <f>_xlfn.XLOOKUP(D95,ingredientes!B:B,ingredientes!A:A,"não")</f>
        <v>38</v>
      </c>
      <c r="D95" s="145" t="s">
        <v>113</v>
      </c>
      <c r="E95" s="19">
        <v>55</v>
      </c>
      <c r="H95">
        <f t="shared" si="2"/>
        <v>77</v>
      </c>
      <c r="I95">
        <f t="shared" si="3"/>
        <v>38</v>
      </c>
      <c r="J95">
        <f t="shared" si="4"/>
        <v>55</v>
      </c>
      <c r="K95">
        <f t="shared" si="5"/>
        <v>115</v>
      </c>
    </row>
    <row r="96" spans="1:11" x14ac:dyDescent="0.2">
      <c r="A96" s="106">
        <f>_xlfn.XLOOKUP(B96,pratos!B:B,pratos!A:A,"não")</f>
        <v>78</v>
      </c>
      <c r="B96" s="116" t="s">
        <v>536</v>
      </c>
      <c r="C96" s="105">
        <f>_xlfn.XLOOKUP(D96,ingredientes!B:B,ingredientes!A:A,"não")</f>
        <v>38</v>
      </c>
      <c r="D96" s="96" t="s">
        <v>113</v>
      </c>
      <c r="E96" s="68">
        <v>55</v>
      </c>
      <c r="H96">
        <f t="shared" si="2"/>
        <v>78</v>
      </c>
      <c r="I96">
        <f t="shared" si="3"/>
        <v>38</v>
      </c>
      <c r="J96">
        <f t="shared" si="4"/>
        <v>55</v>
      </c>
      <c r="K96">
        <f t="shared" si="5"/>
        <v>116</v>
      </c>
    </row>
    <row r="97" spans="1:11" x14ac:dyDescent="0.2">
      <c r="A97" s="106">
        <f>_xlfn.XLOOKUP(B97,pratos!B:B,pratos!A:A,"não")</f>
        <v>78</v>
      </c>
      <c r="B97" s="116" t="s">
        <v>577</v>
      </c>
      <c r="C97" s="105">
        <f>_xlfn.XLOOKUP(D97,ingredientes!B:B,ingredientes!A:A,"não")</f>
        <v>38</v>
      </c>
      <c r="D97" s="46" t="s">
        <v>113</v>
      </c>
      <c r="E97" s="31">
        <v>55</v>
      </c>
      <c r="H97">
        <f t="shared" si="2"/>
        <v>78</v>
      </c>
      <c r="I97">
        <f t="shared" si="3"/>
        <v>38</v>
      </c>
      <c r="J97">
        <f t="shared" si="4"/>
        <v>55</v>
      </c>
      <c r="K97">
        <f t="shared" si="5"/>
        <v>116</v>
      </c>
    </row>
    <row r="98" spans="1:11" x14ac:dyDescent="0.2">
      <c r="A98" s="106">
        <f>_xlfn.XLOOKUP(B98,pratos!B:B,pratos!A:A,"não")</f>
        <v>79</v>
      </c>
      <c r="B98" s="116" t="s">
        <v>534</v>
      </c>
      <c r="C98" s="105">
        <f>_xlfn.XLOOKUP(D98,ingredientes!B:B,ingredientes!A:A,"não")</f>
        <v>38</v>
      </c>
      <c r="D98" s="96" t="s">
        <v>113</v>
      </c>
      <c r="E98" s="31">
        <v>55</v>
      </c>
      <c r="H98">
        <f t="shared" si="2"/>
        <v>79</v>
      </c>
      <c r="I98">
        <f t="shared" si="3"/>
        <v>38</v>
      </c>
      <c r="J98">
        <f t="shared" si="4"/>
        <v>55</v>
      </c>
      <c r="K98">
        <f t="shared" si="5"/>
        <v>117</v>
      </c>
    </row>
    <row r="99" spans="1:11" x14ac:dyDescent="0.2">
      <c r="A99" s="106">
        <f>_xlfn.XLOOKUP(B99,pratos!B:B,pratos!A:A,"não")</f>
        <v>80</v>
      </c>
      <c r="B99" s="52" t="s">
        <v>35</v>
      </c>
      <c r="C99" s="105">
        <f>_xlfn.XLOOKUP(D99,ingredientes!B:B,ingredientes!A:A,"não")</f>
        <v>41</v>
      </c>
      <c r="D99" s="9" t="s">
        <v>35</v>
      </c>
      <c r="E99" s="10">
        <v>8</v>
      </c>
      <c r="H99">
        <f t="shared" si="2"/>
        <v>80</v>
      </c>
      <c r="I99">
        <f t="shared" si="3"/>
        <v>41</v>
      </c>
      <c r="J99">
        <f t="shared" si="4"/>
        <v>8</v>
      </c>
      <c r="K99">
        <f t="shared" si="5"/>
        <v>121</v>
      </c>
    </row>
    <row r="100" spans="1:11" x14ac:dyDescent="0.2">
      <c r="A100" s="106">
        <f>_xlfn.XLOOKUP(B100,pratos!B:B,pratos!A:A,"não")</f>
        <v>80</v>
      </c>
      <c r="B100" s="52" t="s">
        <v>35</v>
      </c>
      <c r="C100" s="105">
        <f>_xlfn.XLOOKUP(D100,ingredientes!B:B,ingredientes!A:A,"não")</f>
        <v>41</v>
      </c>
      <c r="D100" s="9" t="s">
        <v>35</v>
      </c>
      <c r="E100" s="10">
        <v>16</v>
      </c>
      <c r="H100">
        <f t="shared" si="2"/>
        <v>80</v>
      </c>
      <c r="I100">
        <f t="shared" si="3"/>
        <v>41</v>
      </c>
      <c r="J100">
        <f t="shared" si="4"/>
        <v>16</v>
      </c>
      <c r="K100">
        <f t="shared" si="5"/>
        <v>121</v>
      </c>
    </row>
    <row r="101" spans="1:11" x14ac:dyDescent="0.2">
      <c r="A101" s="106">
        <f>_xlfn.XLOOKUP(B101,pratos!B:B,pratos!A:A,"não")</f>
        <v>81</v>
      </c>
      <c r="B101" s="115" t="s">
        <v>183</v>
      </c>
      <c r="C101" s="105">
        <f>_xlfn.XLOOKUP(D101,ingredientes!B:B,ingredientes!A:A,"não")</f>
        <v>45</v>
      </c>
      <c r="D101" s="20" t="s">
        <v>183</v>
      </c>
      <c r="E101" s="19">
        <v>50</v>
      </c>
      <c r="H101">
        <f t="shared" si="2"/>
        <v>81</v>
      </c>
      <c r="I101">
        <f t="shared" si="3"/>
        <v>45</v>
      </c>
      <c r="J101">
        <f t="shared" si="4"/>
        <v>50</v>
      </c>
      <c r="K101">
        <f t="shared" si="5"/>
        <v>126</v>
      </c>
    </row>
    <row r="102" spans="1:11" x14ac:dyDescent="0.2">
      <c r="A102" s="106">
        <f>_xlfn.XLOOKUP(B102,pratos!B:B,pratos!A:A,"não")</f>
        <v>82</v>
      </c>
      <c r="B102" s="130" t="s">
        <v>460</v>
      </c>
      <c r="C102" s="105">
        <f>_xlfn.XLOOKUP(D102,ingredientes!B:B,ingredientes!A:A,"não")</f>
        <v>46</v>
      </c>
      <c r="D102" s="78" t="s">
        <v>460</v>
      </c>
      <c r="E102" s="82">
        <v>65</v>
      </c>
      <c r="H102">
        <f t="shared" si="2"/>
        <v>82</v>
      </c>
      <c r="I102">
        <f t="shared" si="3"/>
        <v>46</v>
      </c>
      <c r="J102">
        <f t="shared" si="4"/>
        <v>65</v>
      </c>
      <c r="K102">
        <f t="shared" si="5"/>
        <v>128</v>
      </c>
    </row>
    <row r="103" spans="1:11" x14ac:dyDescent="0.2">
      <c r="A103" s="106">
        <f>_xlfn.XLOOKUP(B103,pratos!B:B,pratos!A:A,"não")</f>
        <v>83</v>
      </c>
      <c r="B103" s="108" t="s">
        <v>156</v>
      </c>
      <c r="C103" s="105">
        <f>_xlfn.XLOOKUP(D103,ingredientes!B:B,ingredientes!A:A,"não")</f>
        <v>47</v>
      </c>
      <c r="D103" s="3" t="s">
        <v>156</v>
      </c>
      <c r="E103" s="19">
        <v>120</v>
      </c>
      <c r="H103">
        <f t="shared" si="2"/>
        <v>83</v>
      </c>
      <c r="I103">
        <f t="shared" si="3"/>
        <v>47</v>
      </c>
      <c r="J103">
        <f t="shared" si="4"/>
        <v>120</v>
      </c>
      <c r="K103">
        <f t="shared" si="5"/>
        <v>130</v>
      </c>
    </row>
    <row r="104" spans="1:11" x14ac:dyDescent="0.2">
      <c r="A104" s="106">
        <f>_xlfn.XLOOKUP(B104,pratos!B:B,pratos!A:A,"não")</f>
        <v>84</v>
      </c>
      <c r="B104" s="52" t="s">
        <v>70</v>
      </c>
      <c r="C104" s="105">
        <f>_xlfn.XLOOKUP(D104,ingredientes!B:B,ingredientes!A:A,"não")</f>
        <v>48</v>
      </c>
      <c r="D104" s="20" t="s">
        <v>70</v>
      </c>
      <c r="E104" s="19">
        <v>100</v>
      </c>
      <c r="H104">
        <f t="shared" si="2"/>
        <v>84</v>
      </c>
      <c r="I104">
        <f t="shared" si="3"/>
        <v>48</v>
      </c>
      <c r="J104">
        <f t="shared" si="4"/>
        <v>100</v>
      </c>
      <c r="K104">
        <f t="shared" si="5"/>
        <v>132</v>
      </c>
    </row>
    <row r="105" spans="1:11" x14ac:dyDescent="0.2">
      <c r="A105" s="106">
        <f>_xlfn.XLOOKUP(B105,pratos!B:B,pratos!A:A,"não")</f>
        <v>84</v>
      </c>
      <c r="B105" s="116" t="s">
        <v>349</v>
      </c>
      <c r="C105" s="105">
        <f>_xlfn.XLOOKUP(D105,ingredientes!B:B,ingredientes!A:A,"não")</f>
        <v>49</v>
      </c>
      <c r="D105" s="39" t="s">
        <v>554</v>
      </c>
      <c r="E105" s="93">
        <v>100</v>
      </c>
      <c r="H105">
        <f t="shared" si="2"/>
        <v>84</v>
      </c>
      <c r="I105">
        <f t="shared" si="3"/>
        <v>49</v>
      </c>
      <c r="J105">
        <f t="shared" si="4"/>
        <v>100</v>
      </c>
      <c r="K105">
        <f t="shared" si="5"/>
        <v>133</v>
      </c>
    </row>
    <row r="106" spans="1:11" x14ac:dyDescent="0.2">
      <c r="A106" s="106">
        <f>_xlfn.XLOOKUP(B106,pratos!B:B,pratos!A:A,"não")</f>
        <v>85</v>
      </c>
      <c r="B106" s="52" t="s">
        <v>486</v>
      </c>
      <c r="C106" s="105">
        <f>_xlfn.XLOOKUP(D106,ingredientes!B:B,ingredientes!A:A,"não")</f>
        <v>52</v>
      </c>
      <c r="D106" s="30" t="s">
        <v>614</v>
      </c>
      <c r="E106" s="10">
        <v>100</v>
      </c>
      <c r="H106">
        <f t="shared" si="2"/>
        <v>85</v>
      </c>
      <c r="I106">
        <f t="shared" si="3"/>
        <v>52</v>
      </c>
      <c r="J106">
        <f t="shared" si="4"/>
        <v>100</v>
      </c>
      <c r="K106">
        <f t="shared" si="5"/>
        <v>137</v>
      </c>
    </row>
    <row r="107" spans="1:11" x14ac:dyDescent="0.2">
      <c r="A107" s="106">
        <f>_xlfn.XLOOKUP(B107,pratos!B:B,pratos!A:A,"não")</f>
        <v>86</v>
      </c>
      <c r="B107" s="111" t="s">
        <v>319</v>
      </c>
      <c r="C107" s="105">
        <f>_xlfn.XLOOKUP(D107,ingredientes!B:B,ingredientes!A:A,"não")</f>
        <v>52</v>
      </c>
      <c r="D107" s="30" t="s">
        <v>614</v>
      </c>
      <c r="E107" s="19">
        <v>100</v>
      </c>
      <c r="H107">
        <f t="shared" si="2"/>
        <v>86</v>
      </c>
      <c r="I107">
        <f t="shared" si="3"/>
        <v>52</v>
      </c>
      <c r="J107">
        <f t="shared" si="4"/>
        <v>100</v>
      </c>
      <c r="K107">
        <f t="shared" si="5"/>
        <v>138</v>
      </c>
    </row>
    <row r="108" spans="1:11" x14ac:dyDescent="0.2">
      <c r="A108" s="106">
        <f>_xlfn.XLOOKUP(B108,pratos!B:B,pratos!A:A,"não")</f>
        <v>87</v>
      </c>
      <c r="B108" s="111" t="s">
        <v>318</v>
      </c>
      <c r="C108" s="105">
        <f>_xlfn.XLOOKUP(D108,ingredientes!B:B,ingredientes!A:A,"não")</f>
        <v>10</v>
      </c>
      <c r="D108" s="30" t="s">
        <v>600</v>
      </c>
      <c r="E108" s="10">
        <v>50</v>
      </c>
      <c r="H108">
        <f t="shared" si="2"/>
        <v>87</v>
      </c>
      <c r="I108">
        <f t="shared" si="3"/>
        <v>10</v>
      </c>
      <c r="J108">
        <f t="shared" si="4"/>
        <v>50</v>
      </c>
      <c r="K108">
        <f t="shared" si="5"/>
        <v>97</v>
      </c>
    </row>
    <row r="109" spans="1:11" x14ac:dyDescent="0.2">
      <c r="A109" s="106">
        <f>_xlfn.XLOOKUP(B109,pratos!B:B,pratos!A:A,"não")</f>
        <v>87</v>
      </c>
      <c r="B109" s="111" t="s">
        <v>318</v>
      </c>
      <c r="C109" s="105">
        <f>_xlfn.XLOOKUP(D109,ingredientes!B:B,ingredientes!A:A,"não")</f>
        <v>52</v>
      </c>
      <c r="D109" s="30" t="s">
        <v>614</v>
      </c>
      <c r="E109" s="19">
        <v>50</v>
      </c>
      <c r="H109">
        <f t="shared" si="2"/>
        <v>87</v>
      </c>
      <c r="I109">
        <f t="shared" si="3"/>
        <v>52</v>
      </c>
      <c r="J109">
        <f t="shared" si="4"/>
        <v>50</v>
      </c>
      <c r="K109">
        <f t="shared" si="5"/>
        <v>139</v>
      </c>
    </row>
    <row r="110" spans="1:11" x14ac:dyDescent="0.2">
      <c r="A110" s="106">
        <f>_xlfn.XLOOKUP(B110,pratos!B:B,pratos!A:A,"não")</f>
        <v>88</v>
      </c>
      <c r="B110" s="52" t="s">
        <v>169</v>
      </c>
      <c r="C110" s="105">
        <f>_xlfn.XLOOKUP(D110,ingredientes!B:B,ingredientes!A:A,"não")</f>
        <v>52</v>
      </c>
      <c r="D110" s="30" t="s">
        <v>614</v>
      </c>
      <c r="E110" s="10">
        <v>100</v>
      </c>
      <c r="H110">
        <f t="shared" si="2"/>
        <v>88</v>
      </c>
      <c r="I110">
        <f t="shared" si="3"/>
        <v>52</v>
      </c>
      <c r="J110">
        <f t="shared" si="4"/>
        <v>100</v>
      </c>
      <c r="K110">
        <f t="shared" si="5"/>
        <v>140</v>
      </c>
    </row>
    <row r="111" spans="1:11" x14ac:dyDescent="0.2">
      <c r="A111" s="106">
        <f>_xlfn.XLOOKUP(B111,pratos!B:B,pratos!A:A,"não")</f>
        <v>89</v>
      </c>
      <c r="B111" s="128" t="s">
        <v>419</v>
      </c>
      <c r="C111" s="105">
        <f>_xlfn.XLOOKUP(D111,ingredientes!B:B,ingredientes!A:A,"não")</f>
        <v>52</v>
      </c>
      <c r="D111" s="30" t="s">
        <v>614</v>
      </c>
      <c r="E111" s="10">
        <v>50</v>
      </c>
      <c r="H111">
        <f t="shared" si="2"/>
        <v>89</v>
      </c>
      <c r="I111">
        <f t="shared" si="3"/>
        <v>52</v>
      </c>
      <c r="J111">
        <f t="shared" si="4"/>
        <v>50</v>
      </c>
      <c r="K111">
        <f t="shared" si="5"/>
        <v>141</v>
      </c>
    </row>
    <row r="112" spans="1:11" x14ac:dyDescent="0.2">
      <c r="A112" s="106">
        <f>_xlfn.XLOOKUP(B112,pratos!B:B,pratos!A:A,"não")</f>
        <v>90</v>
      </c>
      <c r="B112" s="111" t="s">
        <v>65</v>
      </c>
      <c r="C112" s="105">
        <f>_xlfn.XLOOKUP(D112,ingredientes!B:B,ingredientes!A:A,"não")</f>
        <v>58</v>
      </c>
      <c r="D112" s="30" t="s">
        <v>618</v>
      </c>
      <c r="E112" s="19">
        <v>100</v>
      </c>
      <c r="H112">
        <f t="shared" si="2"/>
        <v>90</v>
      </c>
      <c r="I112">
        <f t="shared" si="3"/>
        <v>58</v>
      </c>
      <c r="J112">
        <f t="shared" si="4"/>
        <v>100</v>
      </c>
      <c r="K112">
        <f t="shared" si="5"/>
        <v>148</v>
      </c>
    </row>
    <row r="113" spans="1:11" x14ac:dyDescent="0.2">
      <c r="A113" s="106">
        <f>_xlfn.XLOOKUP(B113,pratos!B:B,pratos!A:A,"não")</f>
        <v>91</v>
      </c>
      <c r="B113" s="111" t="s">
        <v>317</v>
      </c>
      <c r="C113" s="105">
        <f>_xlfn.XLOOKUP(D113,ingredientes!B:B,ingredientes!A:A,"não")</f>
        <v>58</v>
      </c>
      <c r="D113" s="30" t="s">
        <v>618</v>
      </c>
      <c r="E113" s="10">
        <v>50</v>
      </c>
      <c r="H113">
        <f t="shared" si="2"/>
        <v>91</v>
      </c>
      <c r="I113">
        <f t="shared" si="3"/>
        <v>58</v>
      </c>
      <c r="J113">
        <f t="shared" si="4"/>
        <v>50</v>
      </c>
      <c r="K113">
        <f t="shared" si="5"/>
        <v>149</v>
      </c>
    </row>
    <row r="114" spans="1:11" x14ac:dyDescent="0.2">
      <c r="A114" s="106">
        <f>_xlfn.XLOOKUP(B114,pratos!B:B,pratos!A:A,"não")</f>
        <v>91</v>
      </c>
      <c r="B114" s="111" t="s">
        <v>317</v>
      </c>
      <c r="C114" s="105">
        <f>_xlfn.XLOOKUP(D114,ingredientes!B:B,ingredientes!A:A,"não")</f>
        <v>96</v>
      </c>
      <c r="D114" s="30" t="s">
        <v>641</v>
      </c>
      <c r="E114" s="10">
        <v>50</v>
      </c>
      <c r="H114">
        <f t="shared" si="2"/>
        <v>91</v>
      </c>
      <c r="I114">
        <f t="shared" si="3"/>
        <v>96</v>
      </c>
      <c r="J114">
        <f t="shared" si="4"/>
        <v>50</v>
      </c>
      <c r="K114">
        <f t="shared" si="5"/>
        <v>187</v>
      </c>
    </row>
    <row r="115" spans="1:11" x14ac:dyDescent="0.2">
      <c r="A115" s="106">
        <f>_xlfn.XLOOKUP(B115,pratos!B:B,pratos!A:A,"não")</f>
        <v>92</v>
      </c>
      <c r="B115" s="52" t="s">
        <v>476</v>
      </c>
      <c r="C115" s="105">
        <f>_xlfn.XLOOKUP(D115,ingredientes!B:B,ingredientes!A:A,"não")</f>
        <v>56</v>
      </c>
      <c r="D115" s="30" t="s">
        <v>616</v>
      </c>
      <c r="E115" s="10">
        <v>100</v>
      </c>
      <c r="H115">
        <f t="shared" si="2"/>
        <v>92</v>
      </c>
      <c r="I115">
        <f t="shared" si="3"/>
        <v>56</v>
      </c>
      <c r="J115">
        <f t="shared" si="4"/>
        <v>100</v>
      </c>
      <c r="K115">
        <f t="shared" si="5"/>
        <v>148</v>
      </c>
    </row>
    <row r="116" spans="1:11" x14ac:dyDescent="0.2">
      <c r="A116" s="106">
        <f>_xlfn.XLOOKUP(B116,pratos!B:B,pratos!A:A,"não")</f>
        <v>92</v>
      </c>
      <c r="B116" s="52" t="s">
        <v>476</v>
      </c>
      <c r="C116" s="105">
        <f>_xlfn.XLOOKUP(D116,ingredientes!B:B,ingredientes!A:A,"não")</f>
        <v>199</v>
      </c>
      <c r="D116" s="62" t="s">
        <v>95</v>
      </c>
      <c r="E116" s="32">
        <v>5</v>
      </c>
      <c r="H116">
        <f t="shared" si="2"/>
        <v>92</v>
      </c>
      <c r="I116">
        <f t="shared" si="3"/>
        <v>199</v>
      </c>
      <c r="J116">
        <f t="shared" si="4"/>
        <v>5</v>
      </c>
      <c r="K116">
        <f t="shared" si="5"/>
        <v>291</v>
      </c>
    </row>
    <row r="117" spans="1:11" x14ac:dyDescent="0.2">
      <c r="A117" s="106">
        <f>_xlfn.XLOOKUP(B117,pratos!B:B,pratos!A:A,"não")</f>
        <v>93</v>
      </c>
      <c r="B117" s="52" t="s">
        <v>493</v>
      </c>
      <c r="C117" s="105">
        <f>_xlfn.XLOOKUP(D117,ingredientes!B:B,ingredientes!A:A,"não")</f>
        <v>57</v>
      </c>
      <c r="D117" s="9" t="s">
        <v>493</v>
      </c>
      <c r="E117" s="10">
        <v>100</v>
      </c>
      <c r="H117">
        <f t="shared" si="2"/>
        <v>93</v>
      </c>
      <c r="I117">
        <f t="shared" si="3"/>
        <v>57</v>
      </c>
      <c r="J117">
        <f t="shared" si="4"/>
        <v>100</v>
      </c>
      <c r="K117">
        <f t="shared" si="5"/>
        <v>150</v>
      </c>
    </row>
    <row r="118" spans="1:11" x14ac:dyDescent="0.2">
      <c r="A118" s="106">
        <f>_xlfn.XLOOKUP(B118,pratos!B:B,pratos!A:A,"não")</f>
        <v>94</v>
      </c>
      <c r="B118" s="109" t="s">
        <v>140</v>
      </c>
      <c r="C118" s="105">
        <f>_xlfn.XLOOKUP(D118,ingredientes!B:B,ingredientes!A:A,"não")</f>
        <v>58</v>
      </c>
      <c r="D118" s="30" t="s">
        <v>618</v>
      </c>
      <c r="E118" s="10">
        <v>100</v>
      </c>
      <c r="H118">
        <f t="shared" si="2"/>
        <v>94</v>
      </c>
      <c r="I118">
        <f t="shared" si="3"/>
        <v>58</v>
      </c>
      <c r="J118">
        <f t="shared" si="4"/>
        <v>100</v>
      </c>
      <c r="K118">
        <f t="shared" si="5"/>
        <v>152</v>
      </c>
    </row>
    <row r="119" spans="1:11" x14ac:dyDescent="0.2">
      <c r="A119" s="106">
        <f>_xlfn.XLOOKUP(B119,pratos!B:B,pratos!A:A,"não")</f>
        <v>94</v>
      </c>
      <c r="B119" s="109" t="s">
        <v>140</v>
      </c>
      <c r="C119" s="105">
        <f>_xlfn.XLOOKUP(D119,ingredientes!B:B,ingredientes!A:A,"não")</f>
        <v>205</v>
      </c>
      <c r="D119" s="9" t="s">
        <v>141</v>
      </c>
      <c r="E119" s="10">
        <v>50</v>
      </c>
      <c r="H119">
        <f t="shared" si="2"/>
        <v>94</v>
      </c>
      <c r="I119">
        <f t="shared" si="3"/>
        <v>205</v>
      </c>
      <c r="J119">
        <f t="shared" si="4"/>
        <v>50</v>
      </c>
      <c r="K119">
        <f t="shared" si="5"/>
        <v>299</v>
      </c>
    </row>
    <row r="120" spans="1:11" x14ac:dyDescent="0.2">
      <c r="A120" s="106">
        <f>_xlfn.XLOOKUP(B120,pratos!B:B,pratos!A:A,"não")</f>
        <v>94</v>
      </c>
      <c r="B120" s="109" t="s">
        <v>140</v>
      </c>
      <c r="C120" s="105">
        <f>_xlfn.XLOOKUP(D120,ingredientes!B:B,ingredientes!A:A,"não")</f>
        <v>277</v>
      </c>
      <c r="D120" s="40" t="s">
        <v>29</v>
      </c>
      <c r="E120" s="10">
        <v>10</v>
      </c>
      <c r="H120">
        <f t="shared" si="2"/>
        <v>94</v>
      </c>
      <c r="I120">
        <f t="shared" si="3"/>
        <v>277</v>
      </c>
      <c r="J120">
        <f t="shared" si="4"/>
        <v>10</v>
      </c>
      <c r="K120">
        <f t="shared" si="5"/>
        <v>371</v>
      </c>
    </row>
    <row r="121" spans="1:11" x14ac:dyDescent="0.2">
      <c r="A121" s="106">
        <f>_xlfn.XLOOKUP(B121,pratos!B:B,pratos!A:A,"não")</f>
        <v>95</v>
      </c>
      <c r="B121" s="109" t="s">
        <v>159</v>
      </c>
      <c r="C121" s="105">
        <f>_xlfn.XLOOKUP(D121,ingredientes!B:B,ingredientes!A:A,"não")</f>
        <v>60</v>
      </c>
      <c r="D121" t="s">
        <v>620</v>
      </c>
      <c r="E121" s="10">
        <v>100</v>
      </c>
      <c r="H121">
        <f t="shared" si="2"/>
        <v>95</v>
      </c>
      <c r="I121">
        <f t="shared" si="3"/>
        <v>60</v>
      </c>
      <c r="J121">
        <f t="shared" si="4"/>
        <v>100</v>
      </c>
      <c r="K121">
        <f t="shared" si="5"/>
        <v>155</v>
      </c>
    </row>
    <row r="122" spans="1:11" x14ac:dyDescent="0.2">
      <c r="A122" s="106">
        <f>_xlfn.XLOOKUP(B122,pratos!B:B,pratos!A:A,"não")</f>
        <v>96</v>
      </c>
      <c r="B122" s="111" t="s">
        <v>350</v>
      </c>
      <c r="C122" s="105">
        <f>_xlfn.XLOOKUP(D122,ingredientes!B:B,ingredientes!A:A,"não")</f>
        <v>58</v>
      </c>
      <c r="D122" t="s">
        <v>618</v>
      </c>
      <c r="E122" s="19">
        <v>40</v>
      </c>
      <c r="H122">
        <f t="shared" si="2"/>
        <v>96</v>
      </c>
      <c r="I122">
        <f t="shared" si="3"/>
        <v>58</v>
      </c>
      <c r="J122">
        <f t="shared" si="4"/>
        <v>40</v>
      </c>
      <c r="K122">
        <f t="shared" si="5"/>
        <v>154</v>
      </c>
    </row>
    <row r="123" spans="1:11" x14ac:dyDescent="0.2">
      <c r="A123" s="106">
        <f>_xlfn.XLOOKUP(B123,pratos!B:B,pratos!A:A,"não")</f>
        <v>96</v>
      </c>
      <c r="B123" s="111" t="s">
        <v>350</v>
      </c>
      <c r="C123" s="105">
        <f>_xlfn.XLOOKUP(D123,ingredientes!B:B,ingredientes!A:A,"não")</f>
        <v>58</v>
      </c>
      <c r="D123" t="s">
        <v>618</v>
      </c>
      <c r="E123" s="27">
        <v>30</v>
      </c>
      <c r="H123">
        <f t="shared" si="2"/>
        <v>96</v>
      </c>
      <c r="I123">
        <f t="shared" si="3"/>
        <v>58</v>
      </c>
      <c r="J123">
        <f t="shared" si="4"/>
        <v>30</v>
      </c>
      <c r="K123">
        <f t="shared" si="5"/>
        <v>154</v>
      </c>
    </row>
    <row r="124" spans="1:11" x14ac:dyDescent="0.2">
      <c r="A124" s="106">
        <f>_xlfn.XLOOKUP(B124,pratos!B:B,pratos!A:A,"não")</f>
        <v>96</v>
      </c>
      <c r="B124" s="111" t="s">
        <v>350</v>
      </c>
      <c r="C124" s="105">
        <f>_xlfn.XLOOKUP(D124,ingredientes!B:B,ingredientes!A:A,"não")</f>
        <v>96</v>
      </c>
      <c r="D124" t="s">
        <v>641</v>
      </c>
      <c r="E124" s="10">
        <v>30</v>
      </c>
      <c r="H124">
        <f t="shared" si="2"/>
        <v>96</v>
      </c>
      <c r="I124">
        <f t="shared" si="3"/>
        <v>96</v>
      </c>
      <c r="J124">
        <f t="shared" si="4"/>
        <v>30</v>
      </c>
      <c r="K124">
        <f t="shared" si="5"/>
        <v>192</v>
      </c>
    </row>
    <row r="125" spans="1:11" x14ac:dyDescent="0.2">
      <c r="A125" s="106">
        <f>_xlfn.XLOOKUP(B125,pratos!B:B,pratos!A:A,"não")</f>
        <v>96</v>
      </c>
      <c r="B125" s="111" t="s">
        <v>350</v>
      </c>
      <c r="C125" s="105">
        <f>_xlfn.XLOOKUP(D125,ingredientes!B:B,ingredientes!A:A,"não")</f>
        <v>320</v>
      </c>
      <c r="D125" t="s">
        <v>705</v>
      </c>
      <c r="E125" s="10">
        <v>30</v>
      </c>
      <c r="H125">
        <f t="shared" si="2"/>
        <v>96</v>
      </c>
      <c r="I125">
        <f t="shared" si="3"/>
        <v>320</v>
      </c>
      <c r="J125">
        <f t="shared" si="4"/>
        <v>30</v>
      </c>
      <c r="K125">
        <f t="shared" si="5"/>
        <v>416</v>
      </c>
    </row>
    <row r="126" spans="1:11" x14ac:dyDescent="0.2">
      <c r="A126" s="106">
        <f>_xlfn.XLOOKUP(B126,pratos!B:B,pratos!A:A,"não")</f>
        <v>96</v>
      </c>
      <c r="B126" s="111" t="s">
        <v>350</v>
      </c>
      <c r="C126" s="105">
        <f>_xlfn.XLOOKUP(D126,ingredientes!B:B,ingredientes!A:A,"não")</f>
        <v>320</v>
      </c>
      <c r="D126" t="s">
        <v>705</v>
      </c>
      <c r="E126" s="17">
        <v>40</v>
      </c>
      <c r="H126">
        <f t="shared" si="2"/>
        <v>96</v>
      </c>
      <c r="I126">
        <f t="shared" si="3"/>
        <v>320</v>
      </c>
      <c r="J126">
        <f t="shared" si="4"/>
        <v>40</v>
      </c>
      <c r="K126">
        <f t="shared" si="5"/>
        <v>416</v>
      </c>
    </row>
    <row r="127" spans="1:11" x14ac:dyDescent="0.2">
      <c r="A127" s="106">
        <f>_xlfn.XLOOKUP(B127,pratos!B:B,pratos!A:A,"não")</f>
        <v>97</v>
      </c>
      <c r="B127" s="116" t="s">
        <v>525</v>
      </c>
      <c r="C127" s="105">
        <f>_xlfn.XLOOKUP(D127,ingredientes!B:B,ingredientes!A:A,"não")</f>
        <v>10</v>
      </c>
      <c r="D127" s="30" t="s">
        <v>600</v>
      </c>
      <c r="E127" s="17">
        <v>50</v>
      </c>
      <c r="H127">
        <f t="shared" si="2"/>
        <v>97</v>
      </c>
      <c r="I127">
        <f t="shared" si="3"/>
        <v>10</v>
      </c>
      <c r="J127">
        <f t="shared" si="4"/>
        <v>50</v>
      </c>
      <c r="K127">
        <f t="shared" si="5"/>
        <v>107</v>
      </c>
    </row>
    <row r="128" spans="1:11" x14ac:dyDescent="0.2">
      <c r="A128" s="106">
        <f>_xlfn.XLOOKUP(B128,pratos!B:B,pratos!A:A,"não")</f>
        <v>97</v>
      </c>
      <c r="B128" s="116" t="s">
        <v>525</v>
      </c>
      <c r="C128" s="105">
        <f>_xlfn.XLOOKUP(D128,ingredientes!B:B,ingredientes!A:A,"não")</f>
        <v>63</v>
      </c>
      <c r="D128" s="30" t="s">
        <v>622</v>
      </c>
      <c r="E128" s="93">
        <v>50</v>
      </c>
      <c r="H128">
        <f t="shared" ref="H128:H191" si="6">A128</f>
        <v>97</v>
      </c>
      <c r="I128">
        <f t="shared" ref="I128:I191" si="7">C128</f>
        <v>63</v>
      </c>
      <c r="J128">
        <f t="shared" ref="J128:J191" si="8">E128</f>
        <v>50</v>
      </c>
      <c r="K128">
        <f t="shared" si="5"/>
        <v>160</v>
      </c>
    </row>
    <row r="129" spans="1:11" x14ac:dyDescent="0.2">
      <c r="A129" s="106">
        <f>_xlfn.XLOOKUP(B129,pratos!B:B,pratos!A:A,"não")</f>
        <v>98</v>
      </c>
      <c r="B129" s="116" t="s">
        <v>516</v>
      </c>
      <c r="C129" s="105">
        <f>_xlfn.XLOOKUP(D129,ingredientes!B:B,ingredientes!A:A,"não")</f>
        <v>10</v>
      </c>
      <c r="D129" s="30" t="s">
        <v>600</v>
      </c>
      <c r="E129" s="87">
        <v>50</v>
      </c>
      <c r="H129">
        <f t="shared" si="6"/>
        <v>98</v>
      </c>
      <c r="I129">
        <f t="shared" si="7"/>
        <v>10</v>
      </c>
      <c r="J129">
        <f t="shared" si="8"/>
        <v>50</v>
      </c>
      <c r="K129">
        <f t="shared" si="5"/>
        <v>108</v>
      </c>
    </row>
    <row r="130" spans="1:11" x14ac:dyDescent="0.2">
      <c r="A130" s="106">
        <f>_xlfn.XLOOKUP(B130,pratos!B:B,pratos!A:A,"não")</f>
        <v>98</v>
      </c>
      <c r="B130" s="116" t="s">
        <v>516</v>
      </c>
      <c r="C130" s="105">
        <f>_xlfn.XLOOKUP(D130,ingredientes!B:B,ingredientes!A:A,"não")</f>
        <v>63</v>
      </c>
      <c r="D130" s="30" t="s">
        <v>622</v>
      </c>
      <c r="E130" s="87">
        <v>50</v>
      </c>
      <c r="H130">
        <f t="shared" si="6"/>
        <v>98</v>
      </c>
      <c r="I130">
        <f t="shared" si="7"/>
        <v>63</v>
      </c>
      <c r="J130">
        <f t="shared" si="8"/>
        <v>50</v>
      </c>
      <c r="K130">
        <f t="shared" si="5"/>
        <v>161</v>
      </c>
    </row>
    <row r="131" spans="1:11" x14ac:dyDescent="0.2">
      <c r="A131" s="106">
        <f>_xlfn.XLOOKUP(B131,pratos!B:B,pratos!A:A,"não")</f>
        <v>99</v>
      </c>
      <c r="B131" s="109" t="s">
        <v>540</v>
      </c>
      <c r="C131" s="105">
        <f>_xlfn.XLOOKUP(D131,ingredientes!B:B,ingredientes!A:A,"não")</f>
        <v>63</v>
      </c>
      <c r="D131" s="30" t="s">
        <v>622</v>
      </c>
      <c r="E131" s="10">
        <v>50</v>
      </c>
      <c r="H131">
        <f t="shared" si="6"/>
        <v>99</v>
      </c>
      <c r="I131">
        <f t="shared" si="7"/>
        <v>63</v>
      </c>
      <c r="J131">
        <f t="shared" si="8"/>
        <v>50</v>
      </c>
      <c r="K131">
        <f t="shared" ref="K131:K194" si="9">H131+I131</f>
        <v>162</v>
      </c>
    </row>
    <row r="132" spans="1:11" x14ac:dyDescent="0.2">
      <c r="A132" s="106">
        <f>_xlfn.XLOOKUP(B132,pratos!B:B,pratos!A:A,"não")</f>
        <v>99</v>
      </c>
      <c r="B132" s="116" t="s">
        <v>540</v>
      </c>
      <c r="C132" s="105">
        <f>_xlfn.XLOOKUP(D132,ingredientes!B:B,ingredientes!A:A,"não")</f>
        <v>63</v>
      </c>
      <c r="D132" s="30" t="s">
        <v>622</v>
      </c>
      <c r="E132" s="87">
        <v>40</v>
      </c>
      <c r="H132">
        <f t="shared" si="6"/>
        <v>99</v>
      </c>
      <c r="I132">
        <f t="shared" si="7"/>
        <v>63</v>
      </c>
      <c r="J132">
        <f t="shared" si="8"/>
        <v>40</v>
      </c>
      <c r="K132">
        <f t="shared" si="9"/>
        <v>162</v>
      </c>
    </row>
    <row r="133" spans="1:11" x14ac:dyDescent="0.2">
      <c r="A133" s="106">
        <f>_xlfn.XLOOKUP(B133,pratos!B:B,pratos!A:A,"não")</f>
        <v>99</v>
      </c>
      <c r="B133" s="116" t="s">
        <v>540</v>
      </c>
      <c r="C133" s="105">
        <f>_xlfn.XLOOKUP(D133,ingredientes!B:B,ingredientes!A:A,"não")</f>
        <v>63</v>
      </c>
      <c r="D133" s="30" t="s">
        <v>622</v>
      </c>
      <c r="E133" s="32">
        <v>45</v>
      </c>
      <c r="H133">
        <f t="shared" si="6"/>
        <v>99</v>
      </c>
      <c r="I133">
        <f t="shared" si="7"/>
        <v>63</v>
      </c>
      <c r="J133">
        <f t="shared" si="8"/>
        <v>45</v>
      </c>
      <c r="K133">
        <f t="shared" si="9"/>
        <v>162</v>
      </c>
    </row>
    <row r="134" spans="1:11" x14ac:dyDescent="0.2">
      <c r="A134" s="106">
        <f>_xlfn.XLOOKUP(B134,pratos!B:B,pratos!A:A,"não")</f>
        <v>99</v>
      </c>
      <c r="B134" s="116" t="s">
        <v>540</v>
      </c>
      <c r="C134" s="105">
        <f>_xlfn.XLOOKUP(D134,ingredientes!B:B,ingredientes!A:A,"não")</f>
        <v>63</v>
      </c>
      <c r="D134" s="30" t="s">
        <v>622</v>
      </c>
      <c r="E134" s="87">
        <v>25</v>
      </c>
      <c r="H134">
        <f t="shared" si="6"/>
        <v>99</v>
      </c>
      <c r="I134">
        <f t="shared" si="7"/>
        <v>63</v>
      </c>
      <c r="J134">
        <f t="shared" si="8"/>
        <v>25</v>
      </c>
      <c r="K134">
        <f t="shared" si="9"/>
        <v>162</v>
      </c>
    </row>
    <row r="135" spans="1:11" x14ac:dyDescent="0.2">
      <c r="A135" s="106">
        <f>_xlfn.XLOOKUP(B135,pratos!B:B,pratos!A:A,"não")</f>
        <v>99</v>
      </c>
      <c r="B135" s="112" t="s">
        <v>540</v>
      </c>
      <c r="C135" s="105">
        <f>_xlfn.XLOOKUP(D135,ingredientes!B:B,ingredientes!A:A,"não")</f>
        <v>106</v>
      </c>
      <c r="D135" s="30" t="s">
        <v>645</v>
      </c>
      <c r="E135" s="17">
        <v>45</v>
      </c>
      <c r="H135">
        <f t="shared" si="6"/>
        <v>99</v>
      </c>
      <c r="I135">
        <f t="shared" si="7"/>
        <v>106</v>
      </c>
      <c r="J135">
        <f t="shared" si="8"/>
        <v>45</v>
      </c>
      <c r="K135">
        <f t="shared" si="9"/>
        <v>205</v>
      </c>
    </row>
    <row r="136" spans="1:11" x14ac:dyDescent="0.2">
      <c r="A136" s="106">
        <f>_xlfn.XLOOKUP(B136,pratos!B:B,pratos!A:A,"não")</f>
        <v>99</v>
      </c>
      <c r="B136" s="112" t="s">
        <v>540</v>
      </c>
      <c r="C136" s="105">
        <f>_xlfn.XLOOKUP(D136,ingredientes!B:B,ingredientes!A:A,"não")</f>
        <v>106</v>
      </c>
      <c r="D136" s="30" t="s">
        <v>645</v>
      </c>
      <c r="E136" s="10">
        <v>50</v>
      </c>
      <c r="H136">
        <f t="shared" si="6"/>
        <v>99</v>
      </c>
      <c r="I136">
        <f t="shared" si="7"/>
        <v>106</v>
      </c>
      <c r="J136">
        <f t="shared" si="8"/>
        <v>50</v>
      </c>
      <c r="K136">
        <f t="shared" si="9"/>
        <v>205</v>
      </c>
    </row>
    <row r="137" spans="1:11" x14ac:dyDescent="0.2">
      <c r="A137" s="106">
        <f>_xlfn.XLOOKUP(B137,pratos!B:B,pratos!A:A,"não")</f>
        <v>99</v>
      </c>
      <c r="B137" s="109" t="s">
        <v>540</v>
      </c>
      <c r="C137" s="105">
        <f>_xlfn.XLOOKUP(D137,ingredientes!B:B,ingredientes!A:A,"não")</f>
        <v>253</v>
      </c>
      <c r="D137" s="38" t="s">
        <v>314</v>
      </c>
      <c r="E137" s="10">
        <v>10</v>
      </c>
      <c r="H137">
        <f t="shared" si="6"/>
        <v>99</v>
      </c>
      <c r="I137">
        <f t="shared" si="7"/>
        <v>253</v>
      </c>
      <c r="J137">
        <f t="shared" si="8"/>
        <v>10</v>
      </c>
      <c r="K137">
        <f t="shared" si="9"/>
        <v>352</v>
      </c>
    </row>
    <row r="138" spans="1:11" x14ac:dyDescent="0.2">
      <c r="A138" s="106">
        <f>_xlfn.XLOOKUP(B138,pratos!B:B,pratos!A:A,"não")</f>
        <v>99</v>
      </c>
      <c r="B138" s="116" t="s">
        <v>540</v>
      </c>
      <c r="C138" s="105">
        <f>_xlfn.XLOOKUP(D138,ingredientes!B:B,ingredientes!A:A,"não")</f>
        <v>253</v>
      </c>
      <c r="D138" s="159" t="s">
        <v>314</v>
      </c>
      <c r="E138" s="10">
        <v>5</v>
      </c>
      <c r="H138">
        <f t="shared" si="6"/>
        <v>99</v>
      </c>
      <c r="I138">
        <f t="shared" si="7"/>
        <v>253</v>
      </c>
      <c r="J138">
        <f t="shared" si="8"/>
        <v>5</v>
      </c>
      <c r="K138">
        <f t="shared" si="9"/>
        <v>352</v>
      </c>
    </row>
    <row r="139" spans="1:11" x14ac:dyDescent="0.2">
      <c r="A139" s="106">
        <f>_xlfn.XLOOKUP(B139,pratos!B:B,pratos!A:A,"não")</f>
        <v>100</v>
      </c>
      <c r="B139" s="111" t="s">
        <v>271</v>
      </c>
      <c r="C139" s="105">
        <f>_xlfn.XLOOKUP(D139,ingredientes!B:B,ingredientes!A:A,"não")</f>
        <v>64</v>
      </c>
      <c r="D139" t="s">
        <v>624</v>
      </c>
      <c r="E139" s="10">
        <v>100</v>
      </c>
      <c r="H139">
        <f t="shared" si="6"/>
        <v>100</v>
      </c>
      <c r="I139">
        <f t="shared" si="7"/>
        <v>64</v>
      </c>
      <c r="J139">
        <f t="shared" si="8"/>
        <v>100</v>
      </c>
      <c r="K139">
        <f t="shared" si="9"/>
        <v>164</v>
      </c>
    </row>
    <row r="140" spans="1:11" x14ac:dyDescent="0.2">
      <c r="A140" s="106">
        <f>_xlfn.XLOOKUP(B140,pratos!B:B,pratos!A:A,"não")</f>
        <v>101</v>
      </c>
      <c r="B140" s="123" t="s">
        <v>385</v>
      </c>
      <c r="C140" s="105">
        <f>_xlfn.XLOOKUP(D140,ingredientes!B:B,ingredientes!A:A,"não")</f>
        <v>3</v>
      </c>
      <c r="D140" t="s">
        <v>604</v>
      </c>
      <c r="E140" s="10">
        <v>50</v>
      </c>
      <c r="H140">
        <f t="shared" si="6"/>
        <v>101</v>
      </c>
      <c r="I140">
        <f t="shared" si="7"/>
        <v>3</v>
      </c>
      <c r="J140">
        <f t="shared" si="8"/>
        <v>50</v>
      </c>
      <c r="K140">
        <f t="shared" si="9"/>
        <v>104</v>
      </c>
    </row>
    <row r="141" spans="1:11" x14ac:dyDescent="0.2">
      <c r="A141" s="106">
        <f>_xlfn.XLOOKUP(B141,pratos!B:B,pratos!A:A,"não")</f>
        <v>101</v>
      </c>
      <c r="B141" s="123" t="s">
        <v>385</v>
      </c>
      <c r="C141" s="105">
        <f>_xlfn.XLOOKUP(D141,ingredientes!B:B,ingredientes!A:A,"não")</f>
        <v>64</v>
      </c>
      <c r="D141" t="s">
        <v>624</v>
      </c>
      <c r="E141" s="10">
        <v>50</v>
      </c>
      <c r="H141">
        <f t="shared" si="6"/>
        <v>101</v>
      </c>
      <c r="I141">
        <f t="shared" si="7"/>
        <v>64</v>
      </c>
      <c r="J141">
        <f t="shared" si="8"/>
        <v>50</v>
      </c>
      <c r="K141">
        <f t="shared" si="9"/>
        <v>165</v>
      </c>
    </row>
    <row r="142" spans="1:11" x14ac:dyDescent="0.2">
      <c r="A142" s="106">
        <f>_xlfn.XLOOKUP(B142,pratos!B:B,pratos!A:A,"não")</f>
        <v>102</v>
      </c>
      <c r="B142" s="123" t="s">
        <v>378</v>
      </c>
      <c r="C142" s="105">
        <f>_xlfn.XLOOKUP(D142,ingredientes!B:B,ingredientes!A:A,"não")</f>
        <v>64</v>
      </c>
      <c r="D142" t="s">
        <v>624</v>
      </c>
      <c r="E142" s="10">
        <v>50</v>
      </c>
      <c r="H142">
        <f t="shared" si="6"/>
        <v>102</v>
      </c>
      <c r="I142">
        <f t="shared" si="7"/>
        <v>64</v>
      </c>
      <c r="J142">
        <f t="shared" si="8"/>
        <v>50</v>
      </c>
      <c r="K142">
        <f t="shared" si="9"/>
        <v>166</v>
      </c>
    </row>
    <row r="143" spans="1:11" x14ac:dyDescent="0.2">
      <c r="A143" s="106">
        <f>_xlfn.XLOOKUP(B143,pratos!B:B,pratos!A:A,"não")</f>
        <v>102</v>
      </c>
      <c r="B143" s="123" t="s">
        <v>378</v>
      </c>
      <c r="C143" s="105">
        <f>_xlfn.XLOOKUP(D143,ingredientes!B:B,ingredientes!A:A,"não")</f>
        <v>320</v>
      </c>
      <c r="D143" t="s">
        <v>705</v>
      </c>
      <c r="E143" s="10">
        <v>50</v>
      </c>
      <c r="H143">
        <f t="shared" si="6"/>
        <v>102</v>
      </c>
      <c r="I143">
        <f t="shared" si="7"/>
        <v>320</v>
      </c>
      <c r="J143">
        <f t="shared" si="8"/>
        <v>50</v>
      </c>
      <c r="K143">
        <f t="shared" si="9"/>
        <v>422</v>
      </c>
    </row>
    <row r="144" spans="1:11" x14ac:dyDescent="0.2">
      <c r="A144" s="106">
        <f>_xlfn.XLOOKUP(B144,pratos!B:B,pratos!A:A,"não")</f>
        <v>103</v>
      </c>
      <c r="B144" s="109" t="s">
        <v>541</v>
      </c>
      <c r="C144" s="105">
        <f>_xlfn.XLOOKUP(D144,ingredientes!B:B,ingredientes!A:A,"não")</f>
        <v>44</v>
      </c>
      <c r="D144" s="143" t="s">
        <v>261</v>
      </c>
      <c r="E144" s="10">
        <v>5</v>
      </c>
      <c r="H144">
        <f t="shared" si="6"/>
        <v>103</v>
      </c>
      <c r="I144">
        <f t="shared" si="7"/>
        <v>44</v>
      </c>
      <c r="J144">
        <f t="shared" si="8"/>
        <v>5</v>
      </c>
      <c r="K144">
        <f t="shared" si="9"/>
        <v>147</v>
      </c>
    </row>
    <row r="145" spans="1:11" x14ac:dyDescent="0.2">
      <c r="A145" s="106">
        <f>_xlfn.XLOOKUP(B145,pratos!B:B,pratos!A:A,"não")</f>
        <v>103</v>
      </c>
      <c r="B145" s="109" t="s">
        <v>541</v>
      </c>
      <c r="C145" s="105">
        <f>_xlfn.XLOOKUP(D145,ingredientes!B:B,ingredientes!A:A,"não")</f>
        <v>88</v>
      </c>
      <c r="D145" t="s">
        <v>637</v>
      </c>
      <c r="E145" s="100">
        <v>120</v>
      </c>
      <c r="H145">
        <f t="shared" si="6"/>
        <v>103</v>
      </c>
      <c r="I145">
        <f t="shared" si="7"/>
        <v>88</v>
      </c>
      <c r="J145">
        <f t="shared" si="8"/>
        <v>120</v>
      </c>
      <c r="K145">
        <f t="shared" si="9"/>
        <v>191</v>
      </c>
    </row>
    <row r="146" spans="1:11" x14ac:dyDescent="0.2">
      <c r="A146" s="106">
        <f>_xlfn.XLOOKUP(B146,pratos!B:B,pratos!A:A,"não")</f>
        <v>104</v>
      </c>
      <c r="B146" s="52" t="s">
        <v>146</v>
      </c>
      <c r="C146" s="105">
        <f>_xlfn.XLOOKUP(D146,ingredientes!B:B,ingredientes!A:A,"não")</f>
        <v>84</v>
      </c>
      <c r="D146" t="s">
        <v>635</v>
      </c>
      <c r="E146" s="27">
        <v>72</v>
      </c>
      <c r="H146">
        <f t="shared" si="6"/>
        <v>104</v>
      </c>
      <c r="I146">
        <f t="shared" si="7"/>
        <v>84</v>
      </c>
      <c r="J146">
        <f t="shared" si="8"/>
        <v>72</v>
      </c>
      <c r="K146">
        <f t="shared" si="9"/>
        <v>188</v>
      </c>
    </row>
    <row r="147" spans="1:11" x14ac:dyDescent="0.2">
      <c r="A147" s="106">
        <f>_xlfn.XLOOKUP(B147,pratos!B:B,pratos!A:A,"não")</f>
        <v>104</v>
      </c>
      <c r="B147" s="52" t="s">
        <v>146</v>
      </c>
      <c r="C147" s="105">
        <f>_xlfn.XLOOKUP(D147,ingredientes!B:B,ingredientes!A:A,"não")</f>
        <v>84</v>
      </c>
      <c r="D147" t="s">
        <v>635</v>
      </c>
      <c r="E147" s="19">
        <v>35</v>
      </c>
      <c r="H147">
        <f t="shared" si="6"/>
        <v>104</v>
      </c>
      <c r="I147">
        <f t="shared" si="7"/>
        <v>84</v>
      </c>
      <c r="J147">
        <f t="shared" si="8"/>
        <v>35</v>
      </c>
      <c r="K147">
        <f t="shared" si="9"/>
        <v>188</v>
      </c>
    </row>
    <row r="148" spans="1:11" x14ac:dyDescent="0.2">
      <c r="A148" s="106">
        <f>_xlfn.XLOOKUP(B148,pratos!B:B,pratos!A:A,"não")</f>
        <v>104</v>
      </c>
      <c r="B148" s="52" t="s">
        <v>146</v>
      </c>
      <c r="C148" s="105">
        <f>_xlfn.XLOOKUP(D148,ingredientes!B:B,ingredientes!A:A,"não")</f>
        <v>91</v>
      </c>
      <c r="D148" s="147" t="s">
        <v>147</v>
      </c>
      <c r="E148" s="19">
        <v>11</v>
      </c>
      <c r="H148">
        <f t="shared" si="6"/>
        <v>104</v>
      </c>
      <c r="I148">
        <f t="shared" si="7"/>
        <v>91</v>
      </c>
      <c r="J148">
        <f t="shared" si="8"/>
        <v>11</v>
      </c>
      <c r="K148">
        <f t="shared" si="9"/>
        <v>195</v>
      </c>
    </row>
    <row r="149" spans="1:11" x14ac:dyDescent="0.2">
      <c r="A149" s="106">
        <f>_xlfn.XLOOKUP(B149,pratos!B:B,pratos!A:A,"não")</f>
        <v>104</v>
      </c>
      <c r="B149" s="52" t="s">
        <v>146</v>
      </c>
      <c r="C149" s="105">
        <f>_xlfn.XLOOKUP(D149,ingredientes!B:B,ingredientes!A:A,"não")</f>
        <v>91</v>
      </c>
      <c r="D149" s="147" t="s">
        <v>147</v>
      </c>
      <c r="E149" s="19">
        <v>6</v>
      </c>
      <c r="H149">
        <f t="shared" si="6"/>
        <v>104</v>
      </c>
      <c r="I149">
        <f t="shared" si="7"/>
        <v>91</v>
      </c>
      <c r="J149">
        <f t="shared" si="8"/>
        <v>6</v>
      </c>
      <c r="K149">
        <f t="shared" si="9"/>
        <v>195</v>
      </c>
    </row>
    <row r="150" spans="1:11" x14ac:dyDescent="0.2">
      <c r="A150" s="106">
        <f>_xlfn.XLOOKUP(B150,pratos!B:B,pratos!A:A,"não")</f>
        <v>104</v>
      </c>
      <c r="B150" s="52" t="s">
        <v>146</v>
      </c>
      <c r="C150" s="105">
        <f>_xlfn.XLOOKUP(D150,ingredientes!B:B,ingredientes!A:A,"não")</f>
        <v>137</v>
      </c>
      <c r="D150" s="11" t="s">
        <v>148</v>
      </c>
      <c r="E150" s="19">
        <v>4</v>
      </c>
      <c r="H150">
        <f t="shared" si="6"/>
        <v>104</v>
      </c>
      <c r="I150">
        <f t="shared" si="7"/>
        <v>137</v>
      </c>
      <c r="J150">
        <f t="shared" si="8"/>
        <v>4</v>
      </c>
      <c r="K150">
        <f t="shared" si="9"/>
        <v>241</v>
      </c>
    </row>
    <row r="151" spans="1:11" x14ac:dyDescent="0.2">
      <c r="A151" s="106">
        <f>_xlfn.XLOOKUP(B151,pratos!B:B,pratos!A:A,"não")</f>
        <v>104</v>
      </c>
      <c r="B151" s="52" t="s">
        <v>146</v>
      </c>
      <c r="C151" s="105">
        <f>_xlfn.XLOOKUP(D151,ingredientes!B:B,ingredientes!A:A,"não")</f>
        <v>137</v>
      </c>
      <c r="D151" s="11" t="s">
        <v>148</v>
      </c>
      <c r="E151" s="19">
        <v>2</v>
      </c>
      <c r="H151">
        <f t="shared" si="6"/>
        <v>104</v>
      </c>
      <c r="I151">
        <f t="shared" si="7"/>
        <v>137</v>
      </c>
      <c r="J151">
        <f t="shared" si="8"/>
        <v>2</v>
      </c>
      <c r="K151">
        <f t="shared" si="9"/>
        <v>241</v>
      </c>
    </row>
    <row r="152" spans="1:11" x14ac:dyDescent="0.2">
      <c r="A152" s="106">
        <f>_xlfn.XLOOKUP(B152,pratos!B:B,pratos!A:A,"não")</f>
        <v>104</v>
      </c>
      <c r="B152" s="52" t="s">
        <v>146</v>
      </c>
      <c r="C152" s="105">
        <f>_xlfn.XLOOKUP(D152,ingredientes!B:B,ingredientes!A:A,"não")</f>
        <v>221</v>
      </c>
      <c r="D152" s="11" t="s">
        <v>151</v>
      </c>
      <c r="E152" s="19">
        <v>10</v>
      </c>
      <c r="H152">
        <f t="shared" si="6"/>
        <v>104</v>
      </c>
      <c r="I152">
        <f t="shared" si="7"/>
        <v>221</v>
      </c>
      <c r="J152">
        <f t="shared" si="8"/>
        <v>10</v>
      </c>
      <c r="K152">
        <f t="shared" si="9"/>
        <v>325</v>
      </c>
    </row>
    <row r="153" spans="1:11" x14ac:dyDescent="0.2">
      <c r="A153" s="106">
        <f>_xlfn.XLOOKUP(B153,pratos!B:B,pratos!A:A,"não")</f>
        <v>104</v>
      </c>
      <c r="B153" s="52" t="s">
        <v>146</v>
      </c>
      <c r="C153" s="105">
        <f>_xlfn.XLOOKUP(D153,ingredientes!B:B,ingredientes!A:A,"não")</f>
        <v>221</v>
      </c>
      <c r="D153" s="11" t="s">
        <v>151</v>
      </c>
      <c r="E153" s="19">
        <v>5</v>
      </c>
      <c r="H153">
        <f t="shared" si="6"/>
        <v>104</v>
      </c>
      <c r="I153">
        <f t="shared" si="7"/>
        <v>221</v>
      </c>
      <c r="J153">
        <f t="shared" si="8"/>
        <v>5</v>
      </c>
      <c r="K153">
        <f t="shared" si="9"/>
        <v>325</v>
      </c>
    </row>
    <row r="154" spans="1:11" x14ac:dyDescent="0.2">
      <c r="A154" s="106">
        <f>_xlfn.XLOOKUP(B154,pratos!B:B,pratos!A:A,"não")</f>
        <v>104</v>
      </c>
      <c r="B154" s="52" t="s">
        <v>146</v>
      </c>
      <c r="C154" s="105">
        <f>_xlfn.XLOOKUP(D154,ingredientes!B:B,ingredientes!A:A,"não")</f>
        <v>222</v>
      </c>
      <c r="D154" s="11" t="s">
        <v>149</v>
      </c>
      <c r="E154" s="19">
        <v>10</v>
      </c>
      <c r="H154">
        <f t="shared" si="6"/>
        <v>104</v>
      </c>
      <c r="I154">
        <f t="shared" si="7"/>
        <v>222</v>
      </c>
      <c r="J154">
        <f t="shared" si="8"/>
        <v>10</v>
      </c>
      <c r="K154">
        <f t="shared" si="9"/>
        <v>326</v>
      </c>
    </row>
    <row r="155" spans="1:11" x14ac:dyDescent="0.2">
      <c r="A155" s="106">
        <f>_xlfn.XLOOKUP(B155,pratos!B:B,pratos!A:A,"não")</f>
        <v>104</v>
      </c>
      <c r="B155" s="52" t="s">
        <v>146</v>
      </c>
      <c r="C155" s="105">
        <f>_xlfn.XLOOKUP(D155,ingredientes!B:B,ingredientes!A:A,"não")</f>
        <v>222</v>
      </c>
      <c r="D155" s="11" t="s">
        <v>149</v>
      </c>
      <c r="E155" s="19">
        <v>5</v>
      </c>
      <c r="H155">
        <f t="shared" si="6"/>
        <v>104</v>
      </c>
      <c r="I155">
        <f t="shared" si="7"/>
        <v>222</v>
      </c>
      <c r="J155">
        <f t="shared" si="8"/>
        <v>5</v>
      </c>
      <c r="K155">
        <f t="shared" si="9"/>
        <v>326</v>
      </c>
    </row>
    <row r="156" spans="1:11" x14ac:dyDescent="0.2">
      <c r="A156" s="106">
        <f>_xlfn.XLOOKUP(B156,pratos!B:B,pratos!A:A,"não")</f>
        <v>104</v>
      </c>
      <c r="B156" s="52" t="s">
        <v>146</v>
      </c>
      <c r="C156" s="105">
        <f>_xlfn.XLOOKUP(D156,ingredientes!B:B,ingredientes!A:A,"não")</f>
        <v>229</v>
      </c>
      <c r="D156" s="11" t="s">
        <v>539</v>
      </c>
      <c r="E156" s="19">
        <v>7</v>
      </c>
      <c r="H156">
        <f t="shared" si="6"/>
        <v>104</v>
      </c>
      <c r="I156">
        <f t="shared" si="7"/>
        <v>229</v>
      </c>
      <c r="J156">
        <f t="shared" si="8"/>
        <v>7</v>
      </c>
      <c r="K156">
        <f t="shared" si="9"/>
        <v>333</v>
      </c>
    </row>
    <row r="157" spans="1:11" x14ac:dyDescent="0.2">
      <c r="A157" s="106">
        <f>_xlfn.XLOOKUP(B157,pratos!B:B,pratos!A:A,"não")</f>
        <v>104</v>
      </c>
      <c r="B157" s="52" t="s">
        <v>146</v>
      </c>
      <c r="C157" s="105">
        <f>_xlfn.XLOOKUP(D157,ingredientes!B:B,ingredientes!A:A,"não")</f>
        <v>229</v>
      </c>
      <c r="D157" s="11" t="s">
        <v>539</v>
      </c>
      <c r="E157" s="19">
        <v>4</v>
      </c>
      <c r="H157">
        <f t="shared" si="6"/>
        <v>104</v>
      </c>
      <c r="I157">
        <f t="shared" si="7"/>
        <v>229</v>
      </c>
      <c r="J157">
        <f t="shared" si="8"/>
        <v>4</v>
      </c>
      <c r="K157">
        <f t="shared" si="9"/>
        <v>333</v>
      </c>
    </row>
    <row r="158" spans="1:11" x14ac:dyDescent="0.2">
      <c r="A158" s="106">
        <f>_xlfn.XLOOKUP(B158,pratos!B:B,pratos!A:A,"não")</f>
        <v>104</v>
      </c>
      <c r="B158" s="52" t="s">
        <v>146</v>
      </c>
      <c r="C158" s="105">
        <f>_xlfn.XLOOKUP(D158,ingredientes!B:B,ingredientes!A:A,"não")</f>
        <v>310</v>
      </c>
      <c r="D158" s="11" t="s">
        <v>150</v>
      </c>
      <c r="E158" s="19">
        <v>12</v>
      </c>
      <c r="H158">
        <f t="shared" si="6"/>
        <v>104</v>
      </c>
      <c r="I158">
        <f t="shared" si="7"/>
        <v>310</v>
      </c>
      <c r="J158">
        <f t="shared" si="8"/>
        <v>12</v>
      </c>
      <c r="K158">
        <f t="shared" si="9"/>
        <v>414</v>
      </c>
    </row>
    <row r="159" spans="1:11" x14ac:dyDescent="0.2">
      <c r="A159" s="106">
        <f>_xlfn.XLOOKUP(B159,pratos!B:B,pratos!A:A,"não")</f>
        <v>104</v>
      </c>
      <c r="B159" s="52" t="s">
        <v>146</v>
      </c>
      <c r="C159" s="105">
        <f>_xlfn.XLOOKUP(D159,ingredientes!B:B,ingredientes!A:A,"não")</f>
        <v>310</v>
      </c>
      <c r="D159" s="11" t="s">
        <v>150</v>
      </c>
      <c r="E159" s="19">
        <v>6</v>
      </c>
      <c r="H159">
        <f t="shared" si="6"/>
        <v>104</v>
      </c>
      <c r="I159">
        <f t="shared" si="7"/>
        <v>310</v>
      </c>
      <c r="J159">
        <f t="shared" si="8"/>
        <v>6</v>
      </c>
      <c r="K159">
        <f t="shared" si="9"/>
        <v>414</v>
      </c>
    </row>
    <row r="160" spans="1:11" x14ac:dyDescent="0.2">
      <c r="A160" s="106">
        <f>_xlfn.XLOOKUP(B160,pratos!B:B,pratos!A:A,"não")</f>
        <v>105</v>
      </c>
      <c r="B160" s="109" t="s">
        <v>436</v>
      </c>
      <c r="C160" s="105">
        <f>_xlfn.XLOOKUP(D160,ingredientes!B:B,ingredientes!A:A,"não")</f>
        <v>96</v>
      </c>
      <c r="D160" s="30" t="s">
        <v>641</v>
      </c>
      <c r="E160" s="84">
        <v>25</v>
      </c>
      <c r="H160">
        <f t="shared" si="6"/>
        <v>105</v>
      </c>
      <c r="I160">
        <f t="shared" si="7"/>
        <v>96</v>
      </c>
      <c r="J160">
        <f t="shared" si="8"/>
        <v>25</v>
      </c>
      <c r="K160">
        <f t="shared" si="9"/>
        <v>201</v>
      </c>
    </row>
    <row r="161" spans="1:11" x14ac:dyDescent="0.2">
      <c r="A161" s="106">
        <f>_xlfn.XLOOKUP(B161,pratos!B:B,pratos!A:A,"não")</f>
        <v>105</v>
      </c>
      <c r="B161" s="109" t="s">
        <v>436</v>
      </c>
      <c r="C161" s="105">
        <f>_xlfn.XLOOKUP(D161,ingredientes!B:B,ingredientes!A:A,"não")</f>
        <v>233</v>
      </c>
      <c r="D161" s="30" t="s">
        <v>676</v>
      </c>
      <c r="E161" s="10">
        <v>120</v>
      </c>
      <c r="H161">
        <f t="shared" si="6"/>
        <v>105</v>
      </c>
      <c r="I161">
        <f t="shared" si="7"/>
        <v>233</v>
      </c>
      <c r="J161">
        <f t="shared" si="8"/>
        <v>120</v>
      </c>
      <c r="K161">
        <f t="shared" si="9"/>
        <v>338</v>
      </c>
    </row>
    <row r="162" spans="1:11" x14ac:dyDescent="0.2">
      <c r="A162" s="106">
        <f>_xlfn.XLOOKUP(B162,pratos!B:B,pratos!A:A,"não")</f>
        <v>105</v>
      </c>
      <c r="B162" s="109" t="s">
        <v>436</v>
      </c>
      <c r="C162" s="105">
        <f>_xlfn.XLOOKUP(D162,ingredientes!B:B,ingredientes!A:A,"não")</f>
        <v>233</v>
      </c>
      <c r="D162" s="30" t="s">
        <v>676</v>
      </c>
      <c r="E162" s="10">
        <v>50</v>
      </c>
      <c r="H162">
        <f t="shared" si="6"/>
        <v>105</v>
      </c>
      <c r="I162">
        <f t="shared" si="7"/>
        <v>233</v>
      </c>
      <c r="J162">
        <f t="shared" si="8"/>
        <v>50</v>
      </c>
      <c r="K162">
        <f t="shared" si="9"/>
        <v>338</v>
      </c>
    </row>
    <row r="163" spans="1:11" x14ac:dyDescent="0.2">
      <c r="A163" s="106">
        <f>_xlfn.XLOOKUP(B163,pratos!B:B,pratos!A:A,"não")</f>
        <v>105</v>
      </c>
      <c r="B163" s="109" t="s">
        <v>436</v>
      </c>
      <c r="C163" s="105">
        <f>_xlfn.XLOOKUP(D163,ingredientes!B:B,ingredientes!A:A,"não")</f>
        <v>233</v>
      </c>
      <c r="D163" s="30" t="s">
        <v>676</v>
      </c>
      <c r="E163" s="17">
        <v>100</v>
      </c>
      <c r="H163">
        <f t="shared" si="6"/>
        <v>105</v>
      </c>
      <c r="I163">
        <f t="shared" si="7"/>
        <v>233</v>
      </c>
      <c r="J163">
        <f t="shared" si="8"/>
        <v>100</v>
      </c>
      <c r="K163">
        <f t="shared" si="9"/>
        <v>338</v>
      </c>
    </row>
    <row r="164" spans="1:11" x14ac:dyDescent="0.2">
      <c r="A164" s="106">
        <f>_xlfn.XLOOKUP(B164,pratos!B:B,pratos!A:A,"não")</f>
        <v>106</v>
      </c>
      <c r="B164" s="111" t="s">
        <v>238</v>
      </c>
      <c r="C164" s="105">
        <f>_xlfn.XLOOKUP(D164,ingredientes!B:B,ingredientes!A:A,"não")</f>
        <v>67</v>
      </c>
      <c r="D164" s="20" t="s">
        <v>72</v>
      </c>
      <c r="E164" s="19">
        <v>35</v>
      </c>
      <c r="H164">
        <f t="shared" si="6"/>
        <v>106</v>
      </c>
      <c r="I164">
        <f t="shared" si="7"/>
        <v>67</v>
      </c>
      <c r="J164">
        <f t="shared" si="8"/>
        <v>35</v>
      </c>
      <c r="K164">
        <f t="shared" si="9"/>
        <v>173</v>
      </c>
    </row>
    <row r="165" spans="1:11" x14ac:dyDescent="0.2">
      <c r="A165" s="106">
        <f>_xlfn.XLOOKUP(B165,pratos!B:B,pratos!A:A,"não")</f>
        <v>107</v>
      </c>
      <c r="B165" s="111" t="s">
        <v>71</v>
      </c>
      <c r="C165" s="105">
        <f>_xlfn.XLOOKUP(D165,ingredientes!B:B,ingredientes!A:A,"não")</f>
        <v>67</v>
      </c>
      <c r="D165" s="20" t="s">
        <v>72</v>
      </c>
      <c r="E165" s="19">
        <v>35</v>
      </c>
      <c r="H165">
        <f t="shared" si="6"/>
        <v>107</v>
      </c>
      <c r="I165">
        <f t="shared" si="7"/>
        <v>67</v>
      </c>
      <c r="J165">
        <f t="shared" si="8"/>
        <v>35</v>
      </c>
      <c r="K165">
        <f t="shared" si="9"/>
        <v>174</v>
      </c>
    </row>
    <row r="166" spans="1:11" x14ac:dyDescent="0.2">
      <c r="A166" s="106">
        <f>_xlfn.XLOOKUP(B166,pratos!B:B,pratos!A:A,"não")</f>
        <v>108</v>
      </c>
      <c r="B166" s="111" t="s">
        <v>171</v>
      </c>
      <c r="C166" s="105">
        <f>_xlfn.XLOOKUP(D166,ingredientes!B:B,ingredientes!A:A,"não")</f>
        <v>67</v>
      </c>
      <c r="D166" s="20" t="s">
        <v>72</v>
      </c>
      <c r="E166" s="19">
        <v>35</v>
      </c>
      <c r="H166">
        <f t="shared" si="6"/>
        <v>108</v>
      </c>
      <c r="I166">
        <f t="shared" si="7"/>
        <v>67</v>
      </c>
      <c r="J166">
        <f t="shared" si="8"/>
        <v>35</v>
      </c>
      <c r="K166">
        <f t="shared" si="9"/>
        <v>175</v>
      </c>
    </row>
    <row r="167" spans="1:11" x14ac:dyDescent="0.2">
      <c r="A167" s="106">
        <f>_xlfn.XLOOKUP(B167,pratos!B:B,pratos!A:A,"não")</f>
        <v>109</v>
      </c>
      <c r="B167" s="109" t="s">
        <v>301</v>
      </c>
      <c r="C167" s="105">
        <f>_xlfn.XLOOKUP(D167,ingredientes!B:B,ingredientes!A:A,"não")</f>
        <v>69</v>
      </c>
      <c r="D167" s="30" t="s">
        <v>625</v>
      </c>
      <c r="E167" s="17">
        <v>100</v>
      </c>
      <c r="H167">
        <f t="shared" si="6"/>
        <v>109</v>
      </c>
      <c r="I167">
        <f t="shared" si="7"/>
        <v>69</v>
      </c>
      <c r="J167">
        <f t="shared" si="8"/>
        <v>100</v>
      </c>
      <c r="K167">
        <f t="shared" si="9"/>
        <v>178</v>
      </c>
    </row>
    <row r="168" spans="1:11" x14ac:dyDescent="0.2">
      <c r="A168" s="106">
        <f>_xlfn.XLOOKUP(B168,pratos!B:B,pratos!A:A,"não")</f>
        <v>109</v>
      </c>
      <c r="B168" s="109" t="s">
        <v>301</v>
      </c>
      <c r="C168" s="105">
        <f>_xlfn.XLOOKUP(D168,ingredientes!B:B,ingredientes!A:A,"não")</f>
        <v>69</v>
      </c>
      <c r="D168" s="30" t="s">
        <v>625</v>
      </c>
      <c r="E168" s="10">
        <v>60</v>
      </c>
      <c r="H168">
        <f t="shared" si="6"/>
        <v>109</v>
      </c>
      <c r="I168">
        <f t="shared" si="7"/>
        <v>69</v>
      </c>
      <c r="J168">
        <f t="shared" si="8"/>
        <v>60</v>
      </c>
      <c r="K168">
        <f t="shared" si="9"/>
        <v>178</v>
      </c>
    </row>
    <row r="169" spans="1:11" x14ac:dyDescent="0.2">
      <c r="A169" s="106">
        <f>_xlfn.XLOOKUP(B169,pratos!B:B,pratos!A:A,"não")</f>
        <v>110</v>
      </c>
      <c r="B169" s="52" t="s">
        <v>509</v>
      </c>
      <c r="C169" s="105">
        <f>_xlfn.XLOOKUP(D169,ingredientes!B:B,ingredientes!A:A,"não")</f>
        <v>69</v>
      </c>
      <c r="D169" s="30" t="s">
        <v>625</v>
      </c>
      <c r="E169" s="10">
        <v>100</v>
      </c>
      <c r="H169">
        <f t="shared" si="6"/>
        <v>110</v>
      </c>
      <c r="I169">
        <f t="shared" si="7"/>
        <v>69</v>
      </c>
      <c r="J169">
        <f t="shared" si="8"/>
        <v>100</v>
      </c>
      <c r="K169">
        <f t="shared" si="9"/>
        <v>179</v>
      </c>
    </row>
    <row r="170" spans="1:11" x14ac:dyDescent="0.2">
      <c r="A170" s="106">
        <f>_xlfn.XLOOKUP(B170,pratos!B:B,pratos!A:A,"não")</f>
        <v>111</v>
      </c>
      <c r="B170" s="52" t="s">
        <v>442</v>
      </c>
      <c r="C170" s="105">
        <f>_xlfn.XLOOKUP(D170,ingredientes!B:B,ingredientes!A:A,"não")</f>
        <v>72</v>
      </c>
      <c r="D170" s="30" t="s">
        <v>628</v>
      </c>
      <c r="E170" s="17">
        <v>50</v>
      </c>
      <c r="H170">
        <f t="shared" si="6"/>
        <v>111</v>
      </c>
      <c r="I170">
        <f t="shared" si="7"/>
        <v>72</v>
      </c>
      <c r="J170">
        <f t="shared" si="8"/>
        <v>50</v>
      </c>
      <c r="K170">
        <f t="shared" si="9"/>
        <v>183</v>
      </c>
    </row>
    <row r="171" spans="1:11" x14ac:dyDescent="0.2">
      <c r="A171" s="106">
        <f>_xlfn.XLOOKUP(B171,pratos!B:B,pratos!A:A,"não")</f>
        <v>111</v>
      </c>
      <c r="B171" s="52" t="s">
        <v>442</v>
      </c>
      <c r="C171" s="105">
        <f>_xlfn.XLOOKUP(D171,ingredientes!B:B,ingredientes!A:A,"não")</f>
        <v>96</v>
      </c>
      <c r="D171" s="30" t="s">
        <v>641</v>
      </c>
      <c r="E171" s="17">
        <v>50</v>
      </c>
      <c r="H171">
        <f t="shared" si="6"/>
        <v>111</v>
      </c>
      <c r="I171">
        <f t="shared" si="7"/>
        <v>96</v>
      </c>
      <c r="J171">
        <f t="shared" si="8"/>
        <v>50</v>
      </c>
      <c r="K171">
        <f t="shared" si="9"/>
        <v>207</v>
      </c>
    </row>
    <row r="172" spans="1:11" x14ac:dyDescent="0.2">
      <c r="A172" s="106">
        <f>_xlfn.XLOOKUP(B172,pratos!B:B,pratos!A:A,"não")</f>
        <v>111</v>
      </c>
      <c r="B172" s="52" t="s">
        <v>442</v>
      </c>
      <c r="C172" s="105">
        <f>_xlfn.XLOOKUP(D172,ingredientes!B:B,ingredientes!A:A,"não")</f>
        <v>198</v>
      </c>
      <c r="D172" s="9" t="s">
        <v>4</v>
      </c>
      <c r="E172" s="63">
        <v>5</v>
      </c>
      <c r="H172">
        <f t="shared" si="6"/>
        <v>111</v>
      </c>
      <c r="I172">
        <f t="shared" si="7"/>
        <v>198</v>
      </c>
      <c r="J172">
        <f t="shared" si="8"/>
        <v>5</v>
      </c>
      <c r="K172">
        <f t="shared" si="9"/>
        <v>309</v>
      </c>
    </row>
    <row r="173" spans="1:11" x14ac:dyDescent="0.2">
      <c r="A173" s="106">
        <f>_xlfn.XLOOKUP(B173,pratos!B:B,pratos!A:A,"não")</f>
        <v>112</v>
      </c>
      <c r="B173" s="116" t="s">
        <v>572</v>
      </c>
      <c r="C173" s="105">
        <f>_xlfn.XLOOKUP(D173,ingredientes!B:B,ingredientes!A:A,"não")</f>
        <v>72</v>
      </c>
      <c r="D173" s="30" t="s">
        <v>628</v>
      </c>
      <c r="E173" s="87">
        <v>50</v>
      </c>
      <c r="H173">
        <f t="shared" si="6"/>
        <v>112</v>
      </c>
      <c r="I173">
        <f t="shared" si="7"/>
        <v>72</v>
      </c>
      <c r="J173">
        <f t="shared" si="8"/>
        <v>50</v>
      </c>
      <c r="K173">
        <f t="shared" si="9"/>
        <v>184</v>
      </c>
    </row>
    <row r="174" spans="1:11" x14ac:dyDescent="0.2">
      <c r="A174" s="106">
        <f>_xlfn.XLOOKUP(B174,pratos!B:B,pratos!A:A,"não")</f>
        <v>112</v>
      </c>
      <c r="B174" s="116" t="s">
        <v>572</v>
      </c>
      <c r="C174" s="105">
        <f>_xlfn.XLOOKUP(D174,ingredientes!B:B,ingredientes!A:A,"não")</f>
        <v>117</v>
      </c>
      <c r="D174" s="30" t="s">
        <v>648</v>
      </c>
      <c r="E174" s="87">
        <v>50</v>
      </c>
      <c r="H174">
        <f t="shared" si="6"/>
        <v>112</v>
      </c>
      <c r="I174">
        <f t="shared" si="7"/>
        <v>117</v>
      </c>
      <c r="J174">
        <f t="shared" si="8"/>
        <v>50</v>
      </c>
      <c r="K174">
        <f t="shared" si="9"/>
        <v>229</v>
      </c>
    </row>
    <row r="175" spans="1:11" x14ac:dyDescent="0.2">
      <c r="A175" s="106">
        <f>_xlfn.XLOOKUP(B175,pratos!B:B,pratos!A:A,"não")</f>
        <v>113</v>
      </c>
      <c r="B175" s="130" t="s">
        <v>558</v>
      </c>
      <c r="C175" s="105">
        <f>_xlfn.XLOOKUP(D175,ingredientes!B:B,ingredientes!A:A,"não")</f>
        <v>72</v>
      </c>
      <c r="D175" s="30" t="s">
        <v>628</v>
      </c>
      <c r="E175" s="25">
        <v>50</v>
      </c>
      <c r="H175">
        <f t="shared" si="6"/>
        <v>113</v>
      </c>
      <c r="I175">
        <f t="shared" si="7"/>
        <v>72</v>
      </c>
      <c r="J175">
        <f t="shared" si="8"/>
        <v>50</v>
      </c>
      <c r="K175">
        <f t="shared" si="9"/>
        <v>185</v>
      </c>
    </row>
    <row r="176" spans="1:11" x14ac:dyDescent="0.2">
      <c r="A176" s="106">
        <f>_xlfn.XLOOKUP(B176,pratos!B:B,pratos!A:A,"não")</f>
        <v>113</v>
      </c>
      <c r="B176" s="116" t="s">
        <v>558</v>
      </c>
      <c r="C176" s="105">
        <f>_xlfn.XLOOKUP(D176,ingredientes!B:B,ingredientes!A:A,"não")</f>
        <v>117</v>
      </c>
      <c r="D176" t="s">
        <v>648</v>
      </c>
      <c r="E176" s="87">
        <v>50</v>
      </c>
      <c r="H176">
        <f t="shared" si="6"/>
        <v>113</v>
      </c>
      <c r="I176">
        <f t="shared" si="7"/>
        <v>117</v>
      </c>
      <c r="J176">
        <f t="shared" si="8"/>
        <v>50</v>
      </c>
      <c r="K176">
        <f t="shared" si="9"/>
        <v>230</v>
      </c>
    </row>
    <row r="177" spans="1:11" x14ac:dyDescent="0.2">
      <c r="A177" s="106">
        <f>_xlfn.XLOOKUP(B177,pratos!B:B,pratos!A:A,"não")</f>
        <v>114</v>
      </c>
      <c r="B177" s="116" t="s">
        <v>530</v>
      </c>
      <c r="C177" s="105">
        <f>_xlfn.XLOOKUP(D177,ingredientes!B:B,ingredientes!A:A,"não")</f>
        <v>70</v>
      </c>
      <c r="D177" s="166" t="s">
        <v>531</v>
      </c>
      <c r="E177" s="93">
        <v>50</v>
      </c>
      <c r="H177">
        <f t="shared" si="6"/>
        <v>114</v>
      </c>
      <c r="I177">
        <f t="shared" si="7"/>
        <v>70</v>
      </c>
      <c r="J177">
        <f t="shared" si="8"/>
        <v>50</v>
      </c>
      <c r="K177">
        <f t="shared" si="9"/>
        <v>184</v>
      </c>
    </row>
    <row r="178" spans="1:11" x14ac:dyDescent="0.2">
      <c r="A178" s="106">
        <f>_xlfn.XLOOKUP(B178,pratos!B:B,pratos!A:A,"não")</f>
        <v>114</v>
      </c>
      <c r="B178" s="116" t="s">
        <v>530</v>
      </c>
      <c r="C178" s="105">
        <f>_xlfn.XLOOKUP(D178,ingredientes!B:B,ingredientes!A:A,"não")</f>
        <v>117</v>
      </c>
      <c r="D178" t="s">
        <v>648</v>
      </c>
      <c r="E178" s="93">
        <v>50</v>
      </c>
      <c r="H178">
        <f t="shared" si="6"/>
        <v>114</v>
      </c>
      <c r="I178">
        <f t="shared" si="7"/>
        <v>117</v>
      </c>
      <c r="J178">
        <f t="shared" si="8"/>
        <v>50</v>
      </c>
      <c r="K178">
        <f t="shared" si="9"/>
        <v>231</v>
      </c>
    </row>
    <row r="179" spans="1:11" x14ac:dyDescent="0.2">
      <c r="A179" s="106">
        <f>_xlfn.XLOOKUP(B179,pratos!B:B,pratos!A:A,"não")</f>
        <v>115</v>
      </c>
      <c r="B179" s="130" t="s">
        <v>459</v>
      </c>
      <c r="C179" s="105">
        <f>_xlfn.XLOOKUP(D179,ingredientes!B:B,ingredientes!A:A,"não")</f>
        <v>73</v>
      </c>
      <c r="D179" s="138" t="s">
        <v>459</v>
      </c>
      <c r="E179" s="82">
        <v>100</v>
      </c>
      <c r="H179">
        <f t="shared" si="6"/>
        <v>115</v>
      </c>
      <c r="I179">
        <f t="shared" si="7"/>
        <v>73</v>
      </c>
      <c r="J179">
        <f t="shared" si="8"/>
        <v>100</v>
      </c>
      <c r="K179">
        <f t="shared" si="9"/>
        <v>188</v>
      </c>
    </row>
    <row r="180" spans="1:11" x14ac:dyDescent="0.2">
      <c r="A180" s="106">
        <f>_xlfn.XLOOKUP(B180,pratos!B:B,pratos!A:A,"não")</f>
        <v>116</v>
      </c>
      <c r="B180" s="52" t="s">
        <v>14</v>
      </c>
      <c r="C180" s="105">
        <f>_xlfn.XLOOKUP(D180,ingredientes!B:B,ingredientes!A:A,"não")</f>
        <v>74</v>
      </c>
      <c r="D180" s="147" t="s">
        <v>15</v>
      </c>
      <c r="E180" s="10">
        <v>150</v>
      </c>
      <c r="H180">
        <f t="shared" si="6"/>
        <v>116</v>
      </c>
      <c r="I180">
        <f t="shared" si="7"/>
        <v>74</v>
      </c>
      <c r="J180">
        <f t="shared" si="8"/>
        <v>150</v>
      </c>
      <c r="K180">
        <f t="shared" si="9"/>
        <v>190</v>
      </c>
    </row>
    <row r="181" spans="1:11" x14ac:dyDescent="0.2">
      <c r="A181" s="106">
        <f>_xlfn.XLOOKUP(B181,pratos!B:B,pratos!A:A,"não")</f>
        <v>116</v>
      </c>
      <c r="B181" s="52" t="s">
        <v>14</v>
      </c>
      <c r="C181" s="105">
        <f>_xlfn.XLOOKUP(D181,ingredientes!B:B,ingredientes!A:A,"não")</f>
        <v>74</v>
      </c>
      <c r="D181" s="147" t="s">
        <v>15</v>
      </c>
      <c r="E181" s="10">
        <v>50</v>
      </c>
      <c r="H181">
        <f t="shared" si="6"/>
        <v>116</v>
      </c>
      <c r="I181">
        <f t="shared" si="7"/>
        <v>74</v>
      </c>
      <c r="J181">
        <f t="shared" si="8"/>
        <v>50</v>
      </c>
      <c r="K181">
        <f t="shared" si="9"/>
        <v>190</v>
      </c>
    </row>
    <row r="182" spans="1:11" x14ac:dyDescent="0.2">
      <c r="A182" s="106">
        <f>_xlfn.XLOOKUP(B182,pratos!B:B,pratos!A:A,"não")</f>
        <v>116</v>
      </c>
      <c r="B182" s="52" t="s">
        <v>14</v>
      </c>
      <c r="C182" s="105">
        <f>_xlfn.XLOOKUP(D182,ingredientes!B:B,ingredientes!A:A,"não")</f>
        <v>208</v>
      </c>
      <c r="D182" s="147" t="s">
        <v>16</v>
      </c>
      <c r="E182" s="10">
        <v>20</v>
      </c>
      <c r="H182">
        <f t="shared" si="6"/>
        <v>116</v>
      </c>
      <c r="I182">
        <f t="shared" si="7"/>
        <v>208</v>
      </c>
      <c r="J182">
        <f t="shared" si="8"/>
        <v>20</v>
      </c>
      <c r="K182">
        <f t="shared" si="9"/>
        <v>324</v>
      </c>
    </row>
    <row r="183" spans="1:11" x14ac:dyDescent="0.2">
      <c r="A183" s="106">
        <f>_xlfn.XLOOKUP(B183,pratos!B:B,pratos!A:A,"não")</f>
        <v>117</v>
      </c>
      <c r="B183" s="52" t="s">
        <v>79</v>
      </c>
      <c r="C183" s="105">
        <f>_xlfn.XLOOKUP(D183,ingredientes!B:B,ingredientes!A:A,"não")</f>
        <v>75</v>
      </c>
      <c r="D183" s="147" t="s">
        <v>48</v>
      </c>
      <c r="E183" s="10">
        <v>150</v>
      </c>
      <c r="H183">
        <f t="shared" si="6"/>
        <v>117</v>
      </c>
      <c r="I183">
        <f t="shared" si="7"/>
        <v>75</v>
      </c>
      <c r="J183">
        <f t="shared" si="8"/>
        <v>150</v>
      </c>
      <c r="K183">
        <f t="shared" si="9"/>
        <v>192</v>
      </c>
    </row>
    <row r="184" spans="1:11" x14ac:dyDescent="0.2">
      <c r="A184" s="106">
        <f>_xlfn.XLOOKUP(B184,pratos!B:B,pratos!A:A,"não")</f>
        <v>117</v>
      </c>
      <c r="B184" s="52" t="s">
        <v>79</v>
      </c>
      <c r="C184" s="105">
        <f>_xlfn.XLOOKUP(D184,ingredientes!B:B,ingredientes!A:A,"não")</f>
        <v>208</v>
      </c>
      <c r="D184" s="163" t="s">
        <v>16</v>
      </c>
      <c r="E184" s="10">
        <v>20</v>
      </c>
      <c r="H184">
        <f t="shared" si="6"/>
        <v>117</v>
      </c>
      <c r="I184">
        <f t="shared" si="7"/>
        <v>208</v>
      </c>
      <c r="J184">
        <f t="shared" si="8"/>
        <v>20</v>
      </c>
      <c r="K184">
        <f t="shared" si="9"/>
        <v>325</v>
      </c>
    </row>
    <row r="185" spans="1:11" x14ac:dyDescent="0.2">
      <c r="A185" s="106">
        <f>_xlfn.XLOOKUP(B185,pratos!B:B,pratos!A:A,"não")</f>
        <v>118</v>
      </c>
      <c r="B185" s="111" t="s">
        <v>242</v>
      </c>
      <c r="C185" s="105">
        <f>_xlfn.XLOOKUP(D185,ingredientes!B:B,ingredientes!A:A,"não")</f>
        <v>75</v>
      </c>
      <c r="D185" s="150" t="s">
        <v>48</v>
      </c>
      <c r="E185" s="17">
        <v>50</v>
      </c>
      <c r="H185">
        <f t="shared" si="6"/>
        <v>118</v>
      </c>
      <c r="I185">
        <f t="shared" si="7"/>
        <v>75</v>
      </c>
      <c r="J185">
        <f t="shared" si="8"/>
        <v>50</v>
      </c>
      <c r="K185">
        <f t="shared" si="9"/>
        <v>193</v>
      </c>
    </row>
    <row r="186" spans="1:11" x14ac:dyDescent="0.2">
      <c r="A186" s="106">
        <f>_xlfn.XLOOKUP(B186,pratos!B:B,pratos!A:A,"não")</f>
        <v>118</v>
      </c>
      <c r="B186" s="111" t="s">
        <v>242</v>
      </c>
      <c r="C186" s="105">
        <f>_xlfn.XLOOKUP(D186,ingredientes!B:B,ingredientes!A:A,"não")</f>
        <v>75</v>
      </c>
      <c r="D186" s="150" t="s">
        <v>48</v>
      </c>
      <c r="E186" s="17">
        <v>100</v>
      </c>
      <c r="H186">
        <f t="shared" si="6"/>
        <v>118</v>
      </c>
      <c r="I186">
        <f t="shared" si="7"/>
        <v>75</v>
      </c>
      <c r="J186">
        <f t="shared" si="8"/>
        <v>100</v>
      </c>
      <c r="K186">
        <f t="shared" si="9"/>
        <v>193</v>
      </c>
    </row>
    <row r="187" spans="1:11" x14ac:dyDescent="0.2">
      <c r="A187" s="106">
        <f>_xlfn.XLOOKUP(B187,pratos!B:B,pratos!A:A,"não")</f>
        <v>119</v>
      </c>
      <c r="B187" s="109" t="s">
        <v>367</v>
      </c>
      <c r="C187" s="105">
        <f>_xlfn.XLOOKUP(D187,ingredientes!B:B,ingredientes!A:A,"não")</f>
        <v>75</v>
      </c>
      <c r="D187" s="49" t="s">
        <v>48</v>
      </c>
      <c r="E187" s="17">
        <v>50</v>
      </c>
      <c r="H187">
        <f t="shared" si="6"/>
        <v>119</v>
      </c>
      <c r="I187">
        <f t="shared" si="7"/>
        <v>75</v>
      </c>
      <c r="J187">
        <f t="shared" si="8"/>
        <v>50</v>
      </c>
      <c r="K187">
        <f t="shared" si="9"/>
        <v>194</v>
      </c>
    </row>
    <row r="188" spans="1:11" x14ac:dyDescent="0.2">
      <c r="A188" s="106">
        <f>_xlfn.XLOOKUP(B188,pratos!B:B,pratos!A:A,"não")</f>
        <v>119</v>
      </c>
      <c r="B188" s="109" t="s">
        <v>367</v>
      </c>
      <c r="C188" s="105">
        <f>_xlfn.XLOOKUP(D188,ingredientes!B:B,ingredientes!A:A,"não")</f>
        <v>75</v>
      </c>
      <c r="D188" s="49" t="s">
        <v>48</v>
      </c>
      <c r="E188" s="17">
        <v>100</v>
      </c>
      <c r="H188">
        <f t="shared" si="6"/>
        <v>119</v>
      </c>
      <c r="I188">
        <f t="shared" si="7"/>
        <v>75</v>
      </c>
      <c r="J188">
        <f t="shared" si="8"/>
        <v>100</v>
      </c>
      <c r="K188">
        <f t="shared" si="9"/>
        <v>194</v>
      </c>
    </row>
    <row r="189" spans="1:11" x14ac:dyDescent="0.2">
      <c r="A189" s="106">
        <f>_xlfn.XLOOKUP(B189,pratos!B:B,pratos!A:A,"não")</f>
        <v>119</v>
      </c>
      <c r="B189" s="109" t="s">
        <v>367</v>
      </c>
      <c r="C189" s="105">
        <f>_xlfn.XLOOKUP(D189,ingredientes!B:B,ingredientes!A:A,"não")</f>
        <v>113</v>
      </c>
      <c r="D189" s="47" t="s">
        <v>368</v>
      </c>
      <c r="E189" s="10">
        <v>5</v>
      </c>
      <c r="H189">
        <f t="shared" si="6"/>
        <v>119</v>
      </c>
      <c r="I189">
        <f t="shared" si="7"/>
        <v>113</v>
      </c>
      <c r="J189">
        <f t="shared" si="8"/>
        <v>5</v>
      </c>
      <c r="K189">
        <f t="shared" si="9"/>
        <v>232</v>
      </c>
    </row>
    <row r="190" spans="1:11" x14ac:dyDescent="0.2">
      <c r="A190" s="106">
        <f>_xlfn.XLOOKUP(B190,pratos!B:B,pratos!A:A,"não")</f>
        <v>120</v>
      </c>
      <c r="B190" s="111" t="s">
        <v>325</v>
      </c>
      <c r="C190" s="105">
        <f>_xlfn.XLOOKUP(D190,ingredientes!B:B,ingredientes!A:A,"não")</f>
        <v>28</v>
      </c>
      <c r="D190" s="150" t="s">
        <v>104</v>
      </c>
      <c r="E190" s="19">
        <v>5</v>
      </c>
      <c r="H190">
        <f t="shared" si="6"/>
        <v>120</v>
      </c>
      <c r="I190">
        <f t="shared" si="7"/>
        <v>28</v>
      </c>
      <c r="J190">
        <f t="shared" si="8"/>
        <v>5</v>
      </c>
      <c r="K190">
        <f t="shared" si="9"/>
        <v>148</v>
      </c>
    </row>
    <row r="191" spans="1:11" x14ac:dyDescent="0.2">
      <c r="A191" s="106">
        <f>_xlfn.XLOOKUP(B191,pratos!B:B,pratos!A:A,"não")</f>
        <v>120</v>
      </c>
      <c r="B191" s="111" t="s">
        <v>325</v>
      </c>
      <c r="C191" s="105">
        <f>_xlfn.XLOOKUP(D191,ingredientes!B:B,ingredientes!A:A,"não")</f>
        <v>75</v>
      </c>
      <c r="D191" s="49" t="s">
        <v>48</v>
      </c>
      <c r="E191" s="19">
        <v>50</v>
      </c>
      <c r="H191">
        <f t="shared" si="6"/>
        <v>120</v>
      </c>
      <c r="I191">
        <f t="shared" si="7"/>
        <v>75</v>
      </c>
      <c r="J191">
        <f t="shared" si="8"/>
        <v>50</v>
      </c>
      <c r="K191">
        <f t="shared" si="9"/>
        <v>195</v>
      </c>
    </row>
    <row r="192" spans="1:11" x14ac:dyDescent="0.2">
      <c r="A192" s="106">
        <f>_xlfn.XLOOKUP(B192,pratos!B:B,pratos!A:A,"não")</f>
        <v>120</v>
      </c>
      <c r="B192" s="111" t="s">
        <v>325</v>
      </c>
      <c r="C192" s="105">
        <f>_xlfn.XLOOKUP(D192,ingredientes!B:B,ingredientes!A:A,"não")</f>
        <v>75</v>
      </c>
      <c r="D192" s="150" t="s">
        <v>48</v>
      </c>
      <c r="E192" s="19">
        <v>100</v>
      </c>
      <c r="H192">
        <f t="shared" ref="H192:H255" si="10">A192</f>
        <v>120</v>
      </c>
      <c r="I192">
        <f t="shared" ref="I192:I255" si="11">C192</f>
        <v>75</v>
      </c>
      <c r="J192">
        <f t="shared" ref="J192:J255" si="12">E192</f>
        <v>100</v>
      </c>
      <c r="K192">
        <f t="shared" si="9"/>
        <v>195</v>
      </c>
    </row>
    <row r="193" spans="1:11" x14ac:dyDescent="0.2">
      <c r="A193" s="106">
        <f>_xlfn.XLOOKUP(B193,pratos!B:B,pratos!A:A,"não")</f>
        <v>120</v>
      </c>
      <c r="B193" s="111" t="s">
        <v>325</v>
      </c>
      <c r="C193" s="105">
        <f>_xlfn.XLOOKUP(D193,ingredientes!B:B,ingredientes!A:A,"não")</f>
        <v>312</v>
      </c>
      <c r="D193" s="150" t="s">
        <v>326</v>
      </c>
      <c r="E193" s="19">
        <v>10</v>
      </c>
      <c r="H193">
        <f t="shared" si="10"/>
        <v>120</v>
      </c>
      <c r="I193">
        <f t="shared" si="11"/>
        <v>312</v>
      </c>
      <c r="J193">
        <f t="shared" si="12"/>
        <v>10</v>
      </c>
      <c r="K193">
        <f t="shared" si="9"/>
        <v>432</v>
      </c>
    </row>
    <row r="194" spans="1:11" x14ac:dyDescent="0.2">
      <c r="A194" s="106">
        <f>_xlfn.XLOOKUP(B194,pratos!B:B,pratos!A:A,"não")</f>
        <v>121</v>
      </c>
      <c r="B194" s="108" t="s">
        <v>5</v>
      </c>
      <c r="C194" s="105">
        <f>_xlfn.XLOOKUP(D194,ingredientes!B:B,ingredientes!A:A,"não")</f>
        <v>17</v>
      </c>
      <c r="D194" s="146" t="s">
        <v>7</v>
      </c>
      <c r="E194" s="5">
        <v>6</v>
      </c>
      <c r="H194">
        <f t="shared" si="10"/>
        <v>121</v>
      </c>
      <c r="I194">
        <f t="shared" si="11"/>
        <v>17</v>
      </c>
      <c r="J194">
        <f t="shared" si="12"/>
        <v>6</v>
      </c>
      <c r="K194">
        <f t="shared" si="9"/>
        <v>138</v>
      </c>
    </row>
    <row r="195" spans="1:11" x14ac:dyDescent="0.2">
      <c r="A195" s="106">
        <f>_xlfn.XLOOKUP(B195,pratos!B:B,pratos!A:A,"não")</f>
        <v>121</v>
      </c>
      <c r="B195" s="108" t="s">
        <v>5</v>
      </c>
      <c r="C195" s="105">
        <f>_xlfn.XLOOKUP(D195,ingredientes!B:B,ingredientes!A:A,"não")</f>
        <v>77</v>
      </c>
      <c r="D195" s="146" t="s">
        <v>629</v>
      </c>
      <c r="E195" s="5">
        <v>60</v>
      </c>
      <c r="H195">
        <f t="shared" si="10"/>
        <v>121</v>
      </c>
      <c r="I195">
        <f t="shared" si="11"/>
        <v>77</v>
      </c>
      <c r="J195">
        <f t="shared" si="12"/>
        <v>60</v>
      </c>
      <c r="K195">
        <f t="shared" ref="K195:K258" si="13">H195+I195</f>
        <v>198</v>
      </c>
    </row>
    <row r="196" spans="1:11" x14ac:dyDescent="0.2">
      <c r="A196" s="106">
        <f>_xlfn.XLOOKUP(B196,pratos!B:B,pratos!A:A,"não")</f>
        <v>121</v>
      </c>
      <c r="B196" s="108" t="s">
        <v>5</v>
      </c>
      <c r="C196" s="105">
        <f>_xlfn.XLOOKUP(D196,ingredientes!B:B,ingredientes!A:A,"não")</f>
        <v>177</v>
      </c>
      <c r="D196" s="146" t="s">
        <v>6</v>
      </c>
      <c r="E196" s="5">
        <v>100</v>
      </c>
      <c r="H196">
        <f t="shared" si="10"/>
        <v>121</v>
      </c>
      <c r="I196">
        <f t="shared" si="11"/>
        <v>177</v>
      </c>
      <c r="J196">
        <f t="shared" si="12"/>
        <v>100</v>
      </c>
      <c r="K196">
        <f t="shared" si="13"/>
        <v>298</v>
      </c>
    </row>
    <row r="197" spans="1:11" x14ac:dyDescent="0.2">
      <c r="A197" s="106">
        <f>_xlfn.XLOOKUP(B197,pratos!B:B,pratos!A:A,"não")</f>
        <v>122</v>
      </c>
      <c r="B197" s="108" t="s">
        <v>89</v>
      </c>
      <c r="C197" s="105">
        <f>_xlfn.XLOOKUP(D197,ingredientes!B:B,ingredientes!A:A,"não")</f>
        <v>17</v>
      </c>
      <c r="D197" s="141" t="s">
        <v>7</v>
      </c>
      <c r="E197" s="5">
        <v>6</v>
      </c>
      <c r="H197">
        <f t="shared" si="10"/>
        <v>122</v>
      </c>
      <c r="I197">
        <f t="shared" si="11"/>
        <v>17</v>
      </c>
      <c r="J197">
        <f t="shared" si="12"/>
        <v>6</v>
      </c>
      <c r="K197">
        <f t="shared" si="13"/>
        <v>139</v>
      </c>
    </row>
    <row r="198" spans="1:11" x14ac:dyDescent="0.2">
      <c r="A198" s="106">
        <f>_xlfn.XLOOKUP(B198,pratos!B:B,pratos!A:A,"não")</f>
        <v>122</v>
      </c>
      <c r="B198" s="108" t="s">
        <v>89</v>
      </c>
      <c r="C198" s="105">
        <f>_xlfn.XLOOKUP(D198,ingredientes!B:B,ingredientes!A:A,"não")</f>
        <v>77</v>
      </c>
      <c r="D198" s="141" t="s">
        <v>629</v>
      </c>
      <c r="E198" s="5">
        <v>60</v>
      </c>
      <c r="H198">
        <f t="shared" si="10"/>
        <v>122</v>
      </c>
      <c r="I198">
        <f t="shared" si="11"/>
        <v>77</v>
      </c>
      <c r="J198">
        <f t="shared" si="12"/>
        <v>60</v>
      </c>
      <c r="K198">
        <f t="shared" si="13"/>
        <v>199</v>
      </c>
    </row>
    <row r="199" spans="1:11" x14ac:dyDescent="0.2">
      <c r="A199" s="106">
        <f>_xlfn.XLOOKUP(B199,pratos!B:B,pratos!A:A,"não")</f>
        <v>122</v>
      </c>
      <c r="B199" s="108" t="s">
        <v>89</v>
      </c>
      <c r="C199" s="105">
        <f>_xlfn.XLOOKUP(D199,ingredientes!B:B,ingredientes!A:A,"não")</f>
        <v>178</v>
      </c>
      <c r="D199" s="138" t="s">
        <v>90</v>
      </c>
      <c r="E199" s="5">
        <v>20</v>
      </c>
      <c r="H199">
        <f t="shared" si="10"/>
        <v>122</v>
      </c>
      <c r="I199">
        <f t="shared" si="11"/>
        <v>178</v>
      </c>
      <c r="J199">
        <f t="shared" si="12"/>
        <v>20</v>
      </c>
      <c r="K199">
        <f t="shared" si="13"/>
        <v>300</v>
      </c>
    </row>
    <row r="200" spans="1:11" x14ac:dyDescent="0.2">
      <c r="A200" s="106">
        <f>_xlfn.XLOOKUP(B200,pratos!B:B,pratos!A:A,"não")</f>
        <v>123</v>
      </c>
      <c r="B200" s="108" t="s">
        <v>41</v>
      </c>
      <c r="C200" s="105">
        <f>_xlfn.XLOOKUP(D200,ingredientes!B:B,ingredientes!A:A,"não")</f>
        <v>17</v>
      </c>
      <c r="D200" s="141" t="s">
        <v>7</v>
      </c>
      <c r="E200" s="5">
        <v>6</v>
      </c>
      <c r="H200">
        <f t="shared" si="10"/>
        <v>123</v>
      </c>
      <c r="I200">
        <f t="shared" si="11"/>
        <v>17</v>
      </c>
      <c r="J200">
        <f t="shared" si="12"/>
        <v>6</v>
      </c>
      <c r="K200">
        <f t="shared" si="13"/>
        <v>140</v>
      </c>
    </row>
    <row r="201" spans="1:11" x14ac:dyDescent="0.2">
      <c r="A201" s="106">
        <f>_xlfn.XLOOKUP(B201,pratos!B:B,pratos!A:A,"não")</f>
        <v>123</v>
      </c>
      <c r="B201" s="108" t="s">
        <v>41</v>
      </c>
      <c r="C201" s="105">
        <f>_xlfn.XLOOKUP(D201,ingredientes!B:B,ingredientes!A:A,"não")</f>
        <v>77</v>
      </c>
      <c r="D201" s="141" t="s">
        <v>629</v>
      </c>
      <c r="E201" s="5">
        <v>60</v>
      </c>
      <c r="H201">
        <f t="shared" si="10"/>
        <v>123</v>
      </c>
      <c r="I201">
        <f t="shared" si="11"/>
        <v>77</v>
      </c>
      <c r="J201">
        <f t="shared" si="12"/>
        <v>60</v>
      </c>
      <c r="K201">
        <f t="shared" si="13"/>
        <v>200</v>
      </c>
    </row>
    <row r="202" spans="1:11" x14ac:dyDescent="0.2">
      <c r="A202" s="106">
        <f>_xlfn.XLOOKUP(B202,pratos!B:B,pratos!A:A,"não")</f>
        <v>123</v>
      </c>
      <c r="B202" s="120" t="s">
        <v>41</v>
      </c>
      <c r="C202" s="105">
        <f>_xlfn.XLOOKUP(D202,ingredientes!B:B,ingredientes!A:A,"não")</f>
        <v>77</v>
      </c>
      <c r="D202" s="142" t="s">
        <v>629</v>
      </c>
      <c r="E202" s="5">
        <v>60</v>
      </c>
      <c r="H202">
        <f t="shared" si="10"/>
        <v>123</v>
      </c>
      <c r="I202">
        <f t="shared" si="11"/>
        <v>77</v>
      </c>
      <c r="J202">
        <f t="shared" si="12"/>
        <v>60</v>
      </c>
      <c r="K202">
        <f t="shared" si="13"/>
        <v>200</v>
      </c>
    </row>
    <row r="203" spans="1:11" x14ac:dyDescent="0.2">
      <c r="A203" s="106">
        <f>_xlfn.XLOOKUP(B203,pratos!B:B,pratos!A:A,"não")</f>
        <v>123</v>
      </c>
      <c r="B203" s="108" t="s">
        <v>41</v>
      </c>
      <c r="C203" s="105">
        <f>_xlfn.XLOOKUP(D203,ingredientes!B:B,ingredientes!A:A,"não")</f>
        <v>177</v>
      </c>
      <c r="D203" s="141" t="s">
        <v>6</v>
      </c>
      <c r="E203" s="5">
        <v>100</v>
      </c>
      <c r="H203">
        <f t="shared" si="10"/>
        <v>123</v>
      </c>
      <c r="I203">
        <f t="shared" si="11"/>
        <v>177</v>
      </c>
      <c r="J203">
        <f t="shared" si="12"/>
        <v>100</v>
      </c>
      <c r="K203">
        <f t="shared" si="13"/>
        <v>300</v>
      </c>
    </row>
    <row r="204" spans="1:11" x14ac:dyDescent="0.2">
      <c r="A204" s="106">
        <f>_xlfn.XLOOKUP(B204,pratos!B:B,pratos!A:A,"não")</f>
        <v>124</v>
      </c>
      <c r="B204" s="108" t="s">
        <v>54</v>
      </c>
      <c r="C204" s="105">
        <f>_xlfn.XLOOKUP(D204,ingredientes!B:B,ingredientes!A:A,"não")</f>
        <v>17</v>
      </c>
      <c r="D204" s="141" t="s">
        <v>7</v>
      </c>
      <c r="E204" s="5">
        <v>6</v>
      </c>
      <c r="H204">
        <f t="shared" si="10"/>
        <v>124</v>
      </c>
      <c r="I204">
        <f t="shared" si="11"/>
        <v>17</v>
      </c>
      <c r="J204">
        <f t="shared" si="12"/>
        <v>6</v>
      </c>
      <c r="K204">
        <f t="shared" si="13"/>
        <v>141</v>
      </c>
    </row>
    <row r="205" spans="1:11" x14ac:dyDescent="0.2">
      <c r="A205" s="106">
        <f>_xlfn.XLOOKUP(B205,pratos!B:B,pratos!A:A,"não")</f>
        <v>124</v>
      </c>
      <c r="B205" s="108" t="s">
        <v>54</v>
      </c>
      <c r="C205" s="105">
        <f>_xlfn.XLOOKUP(D205,ingredientes!B:B,ingredientes!A:A,"não")</f>
        <v>77</v>
      </c>
      <c r="D205" s="141" t="s">
        <v>629</v>
      </c>
      <c r="E205" s="5">
        <v>60</v>
      </c>
      <c r="H205">
        <f t="shared" si="10"/>
        <v>124</v>
      </c>
      <c r="I205">
        <f t="shared" si="11"/>
        <v>77</v>
      </c>
      <c r="J205">
        <f t="shared" si="12"/>
        <v>60</v>
      </c>
      <c r="K205">
        <f t="shared" si="13"/>
        <v>201</v>
      </c>
    </row>
    <row r="206" spans="1:11" x14ac:dyDescent="0.2">
      <c r="A206" s="106">
        <f>_xlfn.XLOOKUP(B206,pratos!B:B,pratos!A:A,"não")</f>
        <v>124</v>
      </c>
      <c r="B206" s="108" t="s">
        <v>54</v>
      </c>
      <c r="C206" s="105">
        <f>_xlfn.XLOOKUP(D206,ingredientes!B:B,ingredientes!A:A,"não")</f>
        <v>177</v>
      </c>
      <c r="D206" s="141" t="s">
        <v>6</v>
      </c>
      <c r="E206" s="5">
        <v>100</v>
      </c>
      <c r="H206">
        <f t="shared" si="10"/>
        <v>124</v>
      </c>
      <c r="I206">
        <f t="shared" si="11"/>
        <v>177</v>
      </c>
      <c r="J206">
        <f t="shared" si="12"/>
        <v>100</v>
      </c>
      <c r="K206">
        <f t="shared" si="13"/>
        <v>301</v>
      </c>
    </row>
    <row r="207" spans="1:11" x14ac:dyDescent="0.2">
      <c r="A207" s="106">
        <f>_xlfn.XLOOKUP(B207,pratos!B:B,pratos!A:A,"não")</f>
        <v>125</v>
      </c>
      <c r="B207" s="108" t="s">
        <v>241</v>
      </c>
      <c r="C207" s="105">
        <f>_xlfn.XLOOKUP(D207,ingredientes!B:B,ingredientes!A:A,"não")</f>
        <v>77</v>
      </c>
      <c r="D207" s="141" t="s">
        <v>629</v>
      </c>
      <c r="E207" s="5">
        <v>60</v>
      </c>
      <c r="H207">
        <f t="shared" si="10"/>
        <v>125</v>
      </c>
      <c r="I207">
        <f t="shared" si="11"/>
        <v>77</v>
      </c>
      <c r="J207">
        <f t="shared" si="12"/>
        <v>60</v>
      </c>
      <c r="K207">
        <f t="shared" si="13"/>
        <v>202</v>
      </c>
    </row>
    <row r="208" spans="1:11" x14ac:dyDescent="0.2">
      <c r="A208" s="106">
        <f>_xlfn.XLOOKUP(B208,pratos!B:B,pratos!A:A,"não")</f>
        <v>126</v>
      </c>
      <c r="B208" s="108" t="s">
        <v>46</v>
      </c>
      <c r="C208" s="105">
        <f>_xlfn.XLOOKUP(D208,ingredientes!B:B,ingredientes!A:A,"não")</f>
        <v>77</v>
      </c>
      <c r="D208" s="141" t="s">
        <v>629</v>
      </c>
      <c r="E208" s="5">
        <v>60</v>
      </c>
      <c r="H208">
        <f t="shared" si="10"/>
        <v>126</v>
      </c>
      <c r="I208">
        <f t="shared" si="11"/>
        <v>77</v>
      </c>
      <c r="J208">
        <f t="shared" si="12"/>
        <v>60</v>
      </c>
      <c r="K208">
        <f t="shared" si="13"/>
        <v>203</v>
      </c>
    </row>
    <row r="209" spans="1:11" x14ac:dyDescent="0.2">
      <c r="A209" s="106">
        <f>_xlfn.XLOOKUP(B209,pratos!B:B,pratos!A:A,"não")</f>
        <v>126</v>
      </c>
      <c r="B209" s="112" t="s">
        <v>46</v>
      </c>
      <c r="C209" s="105">
        <f>_xlfn.XLOOKUP(D209,ingredientes!B:B,ingredientes!A:A,"não")</f>
        <v>77</v>
      </c>
      <c r="D209" s="156" t="s">
        <v>629</v>
      </c>
      <c r="E209" s="63">
        <v>80</v>
      </c>
      <c r="H209">
        <f t="shared" si="10"/>
        <v>126</v>
      </c>
      <c r="I209">
        <f t="shared" si="11"/>
        <v>77</v>
      </c>
      <c r="J209">
        <f t="shared" si="12"/>
        <v>80</v>
      </c>
      <c r="K209">
        <f t="shared" si="13"/>
        <v>203</v>
      </c>
    </row>
    <row r="210" spans="1:11" x14ac:dyDescent="0.2">
      <c r="A210" s="106">
        <f>_xlfn.XLOOKUP(B210,pratos!B:B,pratos!A:A,"não")</f>
        <v>126</v>
      </c>
      <c r="B210" s="108" t="s">
        <v>46</v>
      </c>
      <c r="C210" s="105">
        <f>_xlfn.XLOOKUP(D210,ingredientes!B:B,ingredientes!A:A,"não")</f>
        <v>177</v>
      </c>
      <c r="D210" s="141" t="s">
        <v>6</v>
      </c>
      <c r="E210" s="5">
        <v>100</v>
      </c>
      <c r="H210">
        <f t="shared" si="10"/>
        <v>126</v>
      </c>
      <c r="I210">
        <f t="shared" si="11"/>
        <v>177</v>
      </c>
      <c r="J210">
        <f t="shared" si="12"/>
        <v>100</v>
      </c>
      <c r="K210">
        <f t="shared" si="13"/>
        <v>303</v>
      </c>
    </row>
    <row r="211" spans="1:11" x14ac:dyDescent="0.2">
      <c r="A211" s="106">
        <f>_xlfn.XLOOKUP(B211,pratos!B:B,pratos!A:A,"não")</f>
        <v>126</v>
      </c>
      <c r="B211" s="112" t="s">
        <v>46</v>
      </c>
      <c r="C211" s="105">
        <f>_xlfn.XLOOKUP(D211,ingredientes!B:B,ingredientes!A:A,"não")</f>
        <v>177</v>
      </c>
      <c r="D211" s="156" t="s">
        <v>6</v>
      </c>
      <c r="E211" s="63">
        <v>80</v>
      </c>
      <c r="H211">
        <f t="shared" si="10"/>
        <v>126</v>
      </c>
      <c r="I211">
        <f t="shared" si="11"/>
        <v>177</v>
      </c>
      <c r="J211">
        <f t="shared" si="12"/>
        <v>80</v>
      </c>
      <c r="K211">
        <f t="shared" si="13"/>
        <v>303</v>
      </c>
    </row>
    <row r="212" spans="1:11" x14ac:dyDescent="0.2">
      <c r="A212" s="106">
        <f>_xlfn.XLOOKUP(B212,pratos!B:B,pratos!A:A,"não")</f>
        <v>127</v>
      </c>
      <c r="B212" s="108" t="s">
        <v>96</v>
      </c>
      <c r="C212" s="105">
        <f>_xlfn.XLOOKUP(D212,ingredientes!B:B,ingredientes!A:A,"não")</f>
        <v>17</v>
      </c>
      <c r="D212" s="141" t="s">
        <v>7</v>
      </c>
      <c r="E212" s="26">
        <v>10</v>
      </c>
      <c r="H212">
        <f t="shared" si="10"/>
        <v>127</v>
      </c>
      <c r="I212">
        <f t="shared" si="11"/>
        <v>17</v>
      </c>
      <c r="J212">
        <f t="shared" si="12"/>
        <v>10</v>
      </c>
      <c r="K212">
        <f t="shared" si="13"/>
        <v>144</v>
      </c>
    </row>
    <row r="213" spans="1:11" x14ac:dyDescent="0.2">
      <c r="A213" s="106">
        <f>_xlfn.XLOOKUP(B213,pratos!B:B,pratos!A:A,"não")</f>
        <v>127</v>
      </c>
      <c r="B213" s="108" t="s">
        <v>96</v>
      </c>
      <c r="C213" s="105">
        <f>_xlfn.XLOOKUP(D213,ingredientes!B:B,ingredientes!A:A,"não")</f>
        <v>17</v>
      </c>
      <c r="D213" s="141" t="s">
        <v>7</v>
      </c>
      <c r="E213" s="5">
        <v>6</v>
      </c>
      <c r="H213">
        <f t="shared" si="10"/>
        <v>127</v>
      </c>
      <c r="I213">
        <f t="shared" si="11"/>
        <v>17</v>
      </c>
      <c r="J213">
        <f t="shared" si="12"/>
        <v>6</v>
      </c>
      <c r="K213">
        <f t="shared" si="13"/>
        <v>144</v>
      </c>
    </row>
    <row r="214" spans="1:11" x14ac:dyDescent="0.2">
      <c r="A214" s="106">
        <f>_xlfn.XLOOKUP(B214,pratos!B:B,pratos!A:A,"não")</f>
        <v>127</v>
      </c>
      <c r="B214" s="108" t="s">
        <v>96</v>
      </c>
      <c r="C214" s="105">
        <f>_xlfn.XLOOKUP(D214,ingredientes!B:B,ingredientes!A:A,"não")</f>
        <v>77</v>
      </c>
      <c r="D214" s="141" t="s">
        <v>629</v>
      </c>
      <c r="E214" s="26">
        <v>100</v>
      </c>
      <c r="H214">
        <f t="shared" si="10"/>
        <v>127</v>
      </c>
      <c r="I214">
        <f t="shared" si="11"/>
        <v>77</v>
      </c>
      <c r="J214">
        <f t="shared" si="12"/>
        <v>100</v>
      </c>
      <c r="K214">
        <f t="shared" si="13"/>
        <v>204</v>
      </c>
    </row>
    <row r="215" spans="1:11" x14ac:dyDescent="0.2">
      <c r="A215" s="106">
        <f>_xlfn.XLOOKUP(B215,pratos!B:B,pratos!A:A,"não")</f>
        <v>127</v>
      </c>
      <c r="B215" s="108" t="s">
        <v>96</v>
      </c>
      <c r="C215" s="105">
        <f>_xlfn.XLOOKUP(D215,ingredientes!B:B,ingredientes!A:A,"não")</f>
        <v>77</v>
      </c>
      <c r="D215" s="141" t="s">
        <v>629</v>
      </c>
      <c r="E215" s="26">
        <v>60</v>
      </c>
      <c r="H215">
        <f t="shared" si="10"/>
        <v>127</v>
      </c>
      <c r="I215">
        <f t="shared" si="11"/>
        <v>77</v>
      </c>
      <c r="J215">
        <f t="shared" si="12"/>
        <v>60</v>
      </c>
      <c r="K215">
        <f t="shared" si="13"/>
        <v>204</v>
      </c>
    </row>
    <row r="216" spans="1:11" x14ac:dyDescent="0.2">
      <c r="A216" s="106">
        <f>_xlfn.XLOOKUP(B216,pratos!B:B,pratos!A:A,"não")</f>
        <v>127</v>
      </c>
      <c r="B216" s="119" t="s">
        <v>96</v>
      </c>
      <c r="C216" s="105">
        <f>_xlfn.XLOOKUP(D216,ingredientes!B:B,ingredientes!A:A,"não")</f>
        <v>77</v>
      </c>
      <c r="D216" s="168" t="s">
        <v>629</v>
      </c>
      <c r="E216" s="5">
        <v>100</v>
      </c>
      <c r="H216">
        <f t="shared" si="10"/>
        <v>127</v>
      </c>
      <c r="I216">
        <f t="shared" si="11"/>
        <v>77</v>
      </c>
      <c r="J216">
        <f t="shared" si="12"/>
        <v>100</v>
      </c>
      <c r="K216">
        <f t="shared" si="13"/>
        <v>204</v>
      </c>
    </row>
    <row r="217" spans="1:11" x14ac:dyDescent="0.2">
      <c r="A217" s="106">
        <f>_xlfn.XLOOKUP(B217,pratos!B:B,pratos!A:A,"não")</f>
        <v>127</v>
      </c>
      <c r="B217" s="108" t="s">
        <v>96</v>
      </c>
      <c r="C217" s="105">
        <f>_xlfn.XLOOKUP(D217,ingredientes!B:B,ingredientes!A:A,"não")</f>
        <v>177</v>
      </c>
      <c r="D217" s="141" t="s">
        <v>6</v>
      </c>
      <c r="E217" s="5">
        <v>100</v>
      </c>
      <c r="H217">
        <f t="shared" si="10"/>
        <v>127</v>
      </c>
      <c r="I217">
        <f t="shared" si="11"/>
        <v>177</v>
      </c>
      <c r="J217">
        <f t="shared" si="12"/>
        <v>100</v>
      </c>
      <c r="K217">
        <f t="shared" si="13"/>
        <v>304</v>
      </c>
    </row>
    <row r="218" spans="1:11" x14ac:dyDescent="0.2">
      <c r="A218" s="106">
        <f>_xlfn.XLOOKUP(B218,pratos!B:B,pratos!A:A,"não")</f>
        <v>128</v>
      </c>
      <c r="B218" s="128" t="s">
        <v>464</v>
      </c>
      <c r="C218" s="105">
        <f>_xlfn.XLOOKUP(D218,ingredientes!B:B,ingredientes!A:A,"não")</f>
        <v>23</v>
      </c>
      <c r="D218" t="s">
        <v>608</v>
      </c>
      <c r="E218" s="82">
        <v>90</v>
      </c>
      <c r="H218">
        <f t="shared" si="10"/>
        <v>128</v>
      </c>
      <c r="I218">
        <f t="shared" si="11"/>
        <v>23</v>
      </c>
      <c r="J218">
        <f t="shared" si="12"/>
        <v>90</v>
      </c>
      <c r="K218">
        <f t="shared" si="13"/>
        <v>151</v>
      </c>
    </row>
    <row r="219" spans="1:11" x14ac:dyDescent="0.2">
      <c r="A219" s="106">
        <f>_xlfn.XLOOKUP(B219,pratos!B:B,pratos!A:A,"não")</f>
        <v>129</v>
      </c>
      <c r="B219" s="128" t="s">
        <v>452</v>
      </c>
      <c r="C219" s="105">
        <f>_xlfn.XLOOKUP(D219,ingredientes!B:B,ingredientes!A:A,"não")</f>
        <v>23</v>
      </c>
      <c r="D219" t="s">
        <v>608</v>
      </c>
      <c r="E219" s="82">
        <v>90</v>
      </c>
      <c r="H219">
        <f t="shared" si="10"/>
        <v>129</v>
      </c>
      <c r="I219">
        <f t="shared" si="11"/>
        <v>23</v>
      </c>
      <c r="J219">
        <f t="shared" si="12"/>
        <v>90</v>
      </c>
      <c r="K219">
        <f t="shared" si="13"/>
        <v>152</v>
      </c>
    </row>
    <row r="220" spans="1:11" x14ac:dyDescent="0.2">
      <c r="A220" s="106">
        <f>_xlfn.XLOOKUP(B220,pratos!B:B,pratos!A:A,"não")</f>
        <v>129</v>
      </c>
      <c r="B220" s="128" t="s">
        <v>452</v>
      </c>
      <c r="C220" s="105">
        <f>_xlfn.XLOOKUP(D220,ingredientes!B:B,ingredientes!A:A,"não")</f>
        <v>23</v>
      </c>
      <c r="D220" t="s">
        <v>608</v>
      </c>
      <c r="E220" s="82">
        <v>105</v>
      </c>
      <c r="H220">
        <f t="shared" si="10"/>
        <v>129</v>
      </c>
      <c r="I220">
        <f t="shared" si="11"/>
        <v>23</v>
      </c>
      <c r="J220">
        <f t="shared" si="12"/>
        <v>105</v>
      </c>
      <c r="K220">
        <f t="shared" si="13"/>
        <v>152</v>
      </c>
    </row>
    <row r="221" spans="1:11" x14ac:dyDescent="0.2">
      <c r="A221" s="106">
        <f>_xlfn.XLOOKUP(B221,pratos!B:B,pratos!A:A,"não")</f>
        <v>129</v>
      </c>
      <c r="B221" s="128" t="s">
        <v>452</v>
      </c>
      <c r="C221" s="105">
        <f>_xlfn.XLOOKUP(D221,ingredientes!B:B,ingredientes!A:A,"não")</f>
        <v>242</v>
      </c>
      <c r="D221" t="s">
        <v>276</v>
      </c>
      <c r="E221" s="86">
        <v>120</v>
      </c>
      <c r="H221">
        <f t="shared" si="10"/>
        <v>129</v>
      </c>
      <c r="I221">
        <f t="shared" si="11"/>
        <v>242</v>
      </c>
      <c r="J221">
        <f t="shared" si="12"/>
        <v>120</v>
      </c>
      <c r="K221">
        <f t="shared" si="13"/>
        <v>371</v>
      </c>
    </row>
    <row r="222" spans="1:11" x14ac:dyDescent="0.2">
      <c r="A222" s="106">
        <f>_xlfn.XLOOKUP(B222,pratos!B:B,pratos!A:A,"não")</f>
        <v>130</v>
      </c>
      <c r="B222" s="52" t="s">
        <v>198</v>
      </c>
      <c r="C222" s="105">
        <f>_xlfn.XLOOKUP(D222,ingredientes!B:B,ingredientes!A:A,"não")</f>
        <v>140</v>
      </c>
      <c r="D222" t="s">
        <v>658</v>
      </c>
      <c r="E222" s="10">
        <v>100</v>
      </c>
      <c r="H222">
        <f t="shared" si="10"/>
        <v>130</v>
      </c>
      <c r="I222">
        <f t="shared" si="11"/>
        <v>140</v>
      </c>
      <c r="J222">
        <f t="shared" si="12"/>
        <v>100</v>
      </c>
      <c r="K222">
        <f t="shared" si="13"/>
        <v>270</v>
      </c>
    </row>
    <row r="223" spans="1:11" x14ac:dyDescent="0.2">
      <c r="A223" s="106">
        <f>_xlfn.XLOOKUP(B223,pratos!B:B,pratos!A:A,"não")</f>
        <v>130</v>
      </c>
      <c r="B223" s="111" t="s">
        <v>129</v>
      </c>
      <c r="C223" s="105">
        <f>_xlfn.XLOOKUP(D223,ingredientes!B:B,ingredientes!A:A,"não")</f>
        <v>141</v>
      </c>
      <c r="D223" t="s">
        <v>659</v>
      </c>
      <c r="E223" s="10">
        <v>100</v>
      </c>
      <c r="H223">
        <f t="shared" si="10"/>
        <v>130</v>
      </c>
      <c r="I223">
        <f t="shared" si="11"/>
        <v>141</v>
      </c>
      <c r="J223">
        <f t="shared" si="12"/>
        <v>100</v>
      </c>
      <c r="K223">
        <f t="shared" si="13"/>
        <v>271</v>
      </c>
    </row>
    <row r="224" spans="1:11" x14ac:dyDescent="0.2">
      <c r="A224" s="106">
        <f>_xlfn.XLOOKUP(B224,pratos!B:B,pratos!A:A,"não")</f>
        <v>131</v>
      </c>
      <c r="B224" s="111" t="s">
        <v>250</v>
      </c>
      <c r="C224" s="105">
        <f>_xlfn.XLOOKUP(D224,ingredientes!B:B,ingredientes!A:A,"não")</f>
        <v>141</v>
      </c>
      <c r="D224" t="s">
        <v>659</v>
      </c>
      <c r="E224" s="10">
        <v>100</v>
      </c>
      <c r="H224">
        <f t="shared" si="10"/>
        <v>131</v>
      </c>
      <c r="I224">
        <f t="shared" si="11"/>
        <v>141</v>
      </c>
      <c r="J224">
        <f t="shared" si="12"/>
        <v>100</v>
      </c>
      <c r="K224">
        <f t="shared" si="13"/>
        <v>272</v>
      </c>
    </row>
    <row r="225" spans="1:11" x14ac:dyDescent="0.2">
      <c r="A225" s="106">
        <f>_xlfn.XLOOKUP(B225,pratos!B:B,pratos!A:A,"não")</f>
        <v>132</v>
      </c>
      <c r="B225" s="111" t="s">
        <v>122</v>
      </c>
      <c r="C225" s="105">
        <f>_xlfn.XLOOKUP(D225,ingredientes!B:B,ingredientes!A:A,"não")</f>
        <v>141</v>
      </c>
      <c r="D225" t="s">
        <v>659</v>
      </c>
      <c r="E225" s="17">
        <v>100</v>
      </c>
      <c r="H225">
        <f t="shared" si="10"/>
        <v>132</v>
      </c>
      <c r="I225">
        <f t="shared" si="11"/>
        <v>141</v>
      </c>
      <c r="J225">
        <f t="shared" si="12"/>
        <v>100</v>
      </c>
      <c r="K225">
        <f t="shared" si="13"/>
        <v>273</v>
      </c>
    </row>
    <row r="226" spans="1:11" x14ac:dyDescent="0.2">
      <c r="A226" s="106">
        <f>_xlfn.XLOOKUP(B226,pratos!B:B,pratos!A:A,"não")</f>
        <v>133</v>
      </c>
      <c r="B226" s="52" t="s">
        <v>251</v>
      </c>
      <c r="C226" s="105">
        <f>_xlfn.XLOOKUP(D226,ingredientes!B:B,ingredientes!A:A,"não")</f>
        <v>141</v>
      </c>
      <c r="D226" t="s">
        <v>659</v>
      </c>
      <c r="E226" s="10">
        <v>100</v>
      </c>
      <c r="H226">
        <f t="shared" si="10"/>
        <v>133</v>
      </c>
      <c r="I226">
        <f t="shared" si="11"/>
        <v>141</v>
      </c>
      <c r="J226">
        <f t="shared" si="12"/>
        <v>100</v>
      </c>
      <c r="K226">
        <f t="shared" si="13"/>
        <v>274</v>
      </c>
    </row>
    <row r="227" spans="1:11" x14ac:dyDescent="0.2">
      <c r="A227" s="106">
        <f>_xlfn.XLOOKUP(B227,pratos!B:B,pratos!A:A,"não")</f>
        <v>134</v>
      </c>
      <c r="B227" s="111" t="s">
        <v>328</v>
      </c>
      <c r="C227" s="105">
        <f>_xlfn.XLOOKUP(D227,ingredientes!B:B,ingredientes!A:A,"não")</f>
        <v>34</v>
      </c>
      <c r="D227" t="s">
        <v>611</v>
      </c>
      <c r="E227" s="57">
        <v>60</v>
      </c>
      <c r="H227">
        <f t="shared" si="10"/>
        <v>134</v>
      </c>
      <c r="I227">
        <f t="shared" si="11"/>
        <v>34</v>
      </c>
      <c r="J227">
        <f t="shared" si="12"/>
        <v>60</v>
      </c>
      <c r="K227">
        <f t="shared" si="13"/>
        <v>168</v>
      </c>
    </row>
    <row r="228" spans="1:11" x14ac:dyDescent="0.2">
      <c r="A228" s="106">
        <f>_xlfn.XLOOKUP(B228,pratos!B:B,pratos!A:A,"não")</f>
        <v>134</v>
      </c>
      <c r="B228" s="111" t="s">
        <v>328</v>
      </c>
      <c r="C228" s="105">
        <f>_xlfn.XLOOKUP(D228,ingredientes!B:B,ingredientes!A:A,"não")</f>
        <v>34</v>
      </c>
      <c r="D228" t="s">
        <v>611</v>
      </c>
      <c r="E228" s="57">
        <v>70</v>
      </c>
      <c r="H228">
        <f t="shared" si="10"/>
        <v>134</v>
      </c>
      <c r="I228">
        <f t="shared" si="11"/>
        <v>34</v>
      </c>
      <c r="J228">
        <f t="shared" si="12"/>
        <v>70</v>
      </c>
      <c r="K228">
        <f t="shared" si="13"/>
        <v>168</v>
      </c>
    </row>
    <row r="229" spans="1:11" x14ac:dyDescent="0.2">
      <c r="A229" s="106">
        <f>_xlfn.XLOOKUP(B229,pratos!B:B,pratos!A:A,"não")</f>
        <v>134</v>
      </c>
      <c r="B229" s="111" t="s">
        <v>328</v>
      </c>
      <c r="C229" s="105">
        <f>_xlfn.XLOOKUP(D229,ingredientes!B:B,ingredientes!A:A,"não")</f>
        <v>96</v>
      </c>
      <c r="D229" t="s">
        <v>641</v>
      </c>
      <c r="E229" s="57">
        <v>30</v>
      </c>
      <c r="H229">
        <f t="shared" si="10"/>
        <v>134</v>
      </c>
      <c r="I229">
        <f t="shared" si="11"/>
        <v>96</v>
      </c>
      <c r="J229">
        <f t="shared" si="12"/>
        <v>30</v>
      </c>
      <c r="K229">
        <f t="shared" si="13"/>
        <v>230</v>
      </c>
    </row>
    <row r="230" spans="1:11" x14ac:dyDescent="0.2">
      <c r="A230" s="106">
        <f>_xlfn.XLOOKUP(B230,pratos!B:B,pratos!A:A,"não")</f>
        <v>134</v>
      </c>
      <c r="B230" s="111" t="s">
        <v>328</v>
      </c>
      <c r="C230" s="105">
        <f>_xlfn.XLOOKUP(D230,ingredientes!B:B,ingredientes!A:A,"não")</f>
        <v>96</v>
      </c>
      <c r="D230" t="s">
        <v>641</v>
      </c>
      <c r="E230" s="57">
        <v>35</v>
      </c>
      <c r="H230">
        <f t="shared" si="10"/>
        <v>134</v>
      </c>
      <c r="I230">
        <f t="shared" si="11"/>
        <v>96</v>
      </c>
      <c r="J230">
        <f t="shared" si="12"/>
        <v>35</v>
      </c>
      <c r="K230">
        <f t="shared" si="13"/>
        <v>230</v>
      </c>
    </row>
    <row r="231" spans="1:11" x14ac:dyDescent="0.2">
      <c r="A231" s="106">
        <f>_xlfn.XLOOKUP(B231,pratos!B:B,pratos!A:A,"não")</f>
        <v>134</v>
      </c>
      <c r="B231" s="111" t="s">
        <v>328</v>
      </c>
      <c r="C231" s="105">
        <f>_xlfn.XLOOKUP(D231,ingredientes!B:B,ingredientes!A:A,"não")</f>
        <v>167</v>
      </c>
      <c r="D231" s="169" t="s">
        <v>329</v>
      </c>
      <c r="E231" s="57">
        <v>5</v>
      </c>
      <c r="H231">
        <f t="shared" si="10"/>
        <v>134</v>
      </c>
      <c r="I231">
        <f t="shared" si="11"/>
        <v>167</v>
      </c>
      <c r="J231">
        <f t="shared" si="12"/>
        <v>5</v>
      </c>
      <c r="K231">
        <f t="shared" si="13"/>
        <v>301</v>
      </c>
    </row>
    <row r="232" spans="1:11" x14ac:dyDescent="0.2">
      <c r="A232" s="106">
        <f>_xlfn.XLOOKUP(B232,pratos!B:B,pratos!A:A,"não")</f>
        <v>134</v>
      </c>
      <c r="B232" s="111" t="s">
        <v>328</v>
      </c>
      <c r="C232" s="105">
        <f>_xlfn.XLOOKUP(D232,ingredientes!B:B,ingredientes!A:A,"não")</f>
        <v>242</v>
      </c>
      <c r="D232" t="s">
        <v>276</v>
      </c>
      <c r="E232" s="57">
        <v>60</v>
      </c>
      <c r="H232">
        <f t="shared" si="10"/>
        <v>134</v>
      </c>
      <c r="I232">
        <f t="shared" si="11"/>
        <v>242</v>
      </c>
      <c r="J232">
        <f t="shared" si="12"/>
        <v>60</v>
      </c>
      <c r="K232">
        <f t="shared" si="13"/>
        <v>376</v>
      </c>
    </row>
    <row r="233" spans="1:11" x14ac:dyDescent="0.2">
      <c r="A233" s="106">
        <f>_xlfn.XLOOKUP(B233,pratos!B:B,pratos!A:A,"não")</f>
        <v>134</v>
      </c>
      <c r="B233" s="116" t="s">
        <v>328</v>
      </c>
      <c r="C233" s="105">
        <f>_xlfn.XLOOKUP(D233,ingredientes!B:B,ingredientes!A:A,"não")</f>
        <v>242</v>
      </c>
      <c r="D233" t="s">
        <v>276</v>
      </c>
      <c r="E233" s="32">
        <v>30</v>
      </c>
      <c r="H233">
        <f t="shared" si="10"/>
        <v>134</v>
      </c>
      <c r="I233">
        <f t="shared" si="11"/>
        <v>242</v>
      </c>
      <c r="J233">
        <f t="shared" si="12"/>
        <v>30</v>
      </c>
      <c r="K233">
        <f t="shared" si="13"/>
        <v>376</v>
      </c>
    </row>
    <row r="234" spans="1:11" x14ac:dyDescent="0.2">
      <c r="A234" s="106">
        <f>_xlfn.XLOOKUP(B234,pratos!B:B,pratos!A:A,"não")</f>
        <v>135</v>
      </c>
      <c r="B234" s="52" t="s">
        <v>288</v>
      </c>
      <c r="C234" s="105">
        <f>_xlfn.XLOOKUP(D234,ingredientes!B:B,ingredientes!A:A,"não")</f>
        <v>79</v>
      </c>
      <c r="D234" t="s">
        <v>631</v>
      </c>
      <c r="E234" s="65">
        <v>100</v>
      </c>
      <c r="H234">
        <f t="shared" si="10"/>
        <v>135</v>
      </c>
      <c r="I234">
        <f t="shared" si="11"/>
        <v>79</v>
      </c>
      <c r="J234">
        <f t="shared" si="12"/>
        <v>100</v>
      </c>
      <c r="K234">
        <f t="shared" si="13"/>
        <v>214</v>
      </c>
    </row>
    <row r="235" spans="1:11" x14ac:dyDescent="0.2">
      <c r="A235" s="106">
        <f>_xlfn.XLOOKUP(B235,pratos!B:B,pratos!A:A,"não")</f>
        <v>135</v>
      </c>
      <c r="B235" s="52" t="s">
        <v>288</v>
      </c>
      <c r="C235" s="105">
        <f>_xlfn.XLOOKUP(D235,ingredientes!B:B,ingredientes!A:A,"não")</f>
        <v>182</v>
      </c>
      <c r="D235" s="155" t="s">
        <v>408</v>
      </c>
      <c r="E235" s="65">
        <v>10</v>
      </c>
      <c r="H235">
        <f t="shared" si="10"/>
        <v>135</v>
      </c>
      <c r="I235">
        <f t="shared" si="11"/>
        <v>182</v>
      </c>
      <c r="J235">
        <f t="shared" si="12"/>
        <v>10</v>
      </c>
      <c r="K235">
        <f t="shared" si="13"/>
        <v>317</v>
      </c>
    </row>
    <row r="236" spans="1:11" x14ac:dyDescent="0.2">
      <c r="A236" s="106">
        <f>_xlfn.XLOOKUP(B236,pratos!B:B,pratos!A:A,"não")</f>
        <v>135</v>
      </c>
      <c r="B236" s="52" t="s">
        <v>288</v>
      </c>
      <c r="C236" s="105">
        <f>_xlfn.XLOOKUP(D236,ingredientes!B:B,ingredientes!A:A,"não")</f>
        <v>302</v>
      </c>
      <c r="D236" s="155" t="s">
        <v>699</v>
      </c>
      <c r="E236" s="87">
        <v>100</v>
      </c>
      <c r="H236">
        <f t="shared" si="10"/>
        <v>135</v>
      </c>
      <c r="I236">
        <f t="shared" si="11"/>
        <v>302</v>
      </c>
      <c r="J236">
        <f t="shared" si="12"/>
        <v>100</v>
      </c>
      <c r="K236">
        <f t="shared" si="13"/>
        <v>437</v>
      </c>
    </row>
    <row r="237" spans="1:11" x14ac:dyDescent="0.2">
      <c r="A237" s="106">
        <f>_xlfn.XLOOKUP(B237,pratos!B:B,pratos!A:A,"não")</f>
        <v>136</v>
      </c>
      <c r="B237" s="121" t="s">
        <v>287</v>
      </c>
      <c r="C237" s="105">
        <f>_xlfn.XLOOKUP(D237,ingredientes!B:B,ingredientes!A:A,"não")</f>
        <v>19</v>
      </c>
      <c r="D237" s="140" t="s">
        <v>244</v>
      </c>
      <c r="E237" s="59">
        <v>10</v>
      </c>
      <c r="H237">
        <f t="shared" si="10"/>
        <v>136</v>
      </c>
      <c r="I237">
        <f t="shared" si="11"/>
        <v>19</v>
      </c>
      <c r="J237">
        <f t="shared" si="12"/>
        <v>10</v>
      </c>
      <c r="K237">
        <f t="shared" si="13"/>
        <v>155</v>
      </c>
    </row>
    <row r="238" spans="1:11" x14ac:dyDescent="0.2">
      <c r="A238" s="106">
        <f>_xlfn.XLOOKUP(B238,pratos!B:B,pratos!A:A,"não")</f>
        <v>136</v>
      </c>
      <c r="B238" s="114" t="s">
        <v>287</v>
      </c>
      <c r="C238" s="105">
        <f>_xlfn.XLOOKUP(D238,ingredientes!B:B,ingredientes!A:A,"não")</f>
        <v>79</v>
      </c>
      <c r="D238" t="s">
        <v>631</v>
      </c>
      <c r="E238" s="44">
        <v>20</v>
      </c>
      <c r="H238">
        <f t="shared" si="10"/>
        <v>136</v>
      </c>
      <c r="I238">
        <f t="shared" si="11"/>
        <v>79</v>
      </c>
      <c r="J238">
        <f t="shared" si="12"/>
        <v>20</v>
      </c>
      <c r="K238">
        <f t="shared" si="13"/>
        <v>215</v>
      </c>
    </row>
    <row r="239" spans="1:11" x14ac:dyDescent="0.2">
      <c r="A239" s="106">
        <f>_xlfn.XLOOKUP(B239,pratos!B:B,pratos!A:A,"não")</f>
        <v>137</v>
      </c>
      <c r="B239" s="121" t="s">
        <v>292</v>
      </c>
      <c r="C239" s="105">
        <f>_xlfn.XLOOKUP(D239,ingredientes!B:B,ingredientes!A:A,"não")</f>
        <v>19</v>
      </c>
      <c r="D239" s="140" t="s">
        <v>244</v>
      </c>
      <c r="E239" s="59">
        <v>10</v>
      </c>
      <c r="H239">
        <f t="shared" si="10"/>
        <v>137</v>
      </c>
      <c r="I239">
        <f t="shared" si="11"/>
        <v>19</v>
      </c>
      <c r="J239">
        <f t="shared" si="12"/>
        <v>10</v>
      </c>
      <c r="K239">
        <f t="shared" si="13"/>
        <v>156</v>
      </c>
    </row>
    <row r="240" spans="1:11" x14ac:dyDescent="0.2">
      <c r="A240" s="106">
        <f>_xlfn.XLOOKUP(B240,pratos!B:B,pratos!A:A,"não")</f>
        <v>137</v>
      </c>
      <c r="B240" s="114" t="s">
        <v>292</v>
      </c>
      <c r="C240" s="105">
        <f>_xlfn.XLOOKUP(D240,ingredientes!B:B,ingredientes!A:A,"não")</f>
        <v>79</v>
      </c>
      <c r="D240" t="s">
        <v>631</v>
      </c>
      <c r="E240" s="44">
        <v>20</v>
      </c>
      <c r="H240">
        <f t="shared" si="10"/>
        <v>137</v>
      </c>
      <c r="I240">
        <f t="shared" si="11"/>
        <v>79</v>
      </c>
      <c r="J240">
        <f t="shared" si="12"/>
        <v>20</v>
      </c>
      <c r="K240">
        <f t="shared" si="13"/>
        <v>216</v>
      </c>
    </row>
    <row r="241" spans="1:11" x14ac:dyDescent="0.2">
      <c r="A241" s="106">
        <f>_xlfn.XLOOKUP(B241,pratos!B:B,pratos!A:A,"não")</f>
        <v>137</v>
      </c>
      <c r="B241" s="117" t="s">
        <v>292</v>
      </c>
      <c r="C241" s="105">
        <f>_xlfn.XLOOKUP(D241,ingredientes!B:B,ingredientes!A:A,"não")</f>
        <v>79</v>
      </c>
      <c r="D241" t="s">
        <v>631</v>
      </c>
      <c r="E241" s="44">
        <v>30</v>
      </c>
      <c r="H241">
        <f t="shared" si="10"/>
        <v>137</v>
      </c>
      <c r="I241">
        <f t="shared" si="11"/>
        <v>79</v>
      </c>
      <c r="J241">
        <f t="shared" si="12"/>
        <v>30</v>
      </c>
      <c r="K241">
        <f t="shared" si="13"/>
        <v>216</v>
      </c>
    </row>
    <row r="242" spans="1:11" x14ac:dyDescent="0.2">
      <c r="A242" s="106">
        <f>_xlfn.XLOOKUP(B242,pratos!B:B,pratos!A:A,"não")</f>
        <v>138</v>
      </c>
      <c r="B242" s="111" t="s">
        <v>278</v>
      </c>
      <c r="C242" s="105">
        <f>_xlfn.XLOOKUP(D242,ingredientes!B:B,ingredientes!A:A,"não")</f>
        <v>302</v>
      </c>
      <c r="D242" s="20" t="s">
        <v>699</v>
      </c>
      <c r="E242" s="55">
        <v>100</v>
      </c>
      <c r="H242">
        <f t="shared" si="10"/>
        <v>138</v>
      </c>
      <c r="I242">
        <f t="shared" si="11"/>
        <v>302</v>
      </c>
      <c r="J242">
        <f t="shared" si="12"/>
        <v>100</v>
      </c>
      <c r="K242">
        <f t="shared" si="13"/>
        <v>440</v>
      </c>
    </row>
    <row r="243" spans="1:11" x14ac:dyDescent="0.2">
      <c r="A243" s="106">
        <f>_xlfn.XLOOKUP(B243,pratos!B:B,pratos!A:A,"não")</f>
        <v>139</v>
      </c>
      <c r="B243" s="128" t="s">
        <v>428</v>
      </c>
      <c r="C243" s="105">
        <f>_xlfn.XLOOKUP(D243,ingredientes!B:B,ingredientes!A:A,"não")</f>
        <v>79</v>
      </c>
      <c r="D243" s="30" t="s">
        <v>631</v>
      </c>
      <c r="E243" s="81">
        <v>20</v>
      </c>
      <c r="H243">
        <f t="shared" si="10"/>
        <v>139</v>
      </c>
      <c r="I243">
        <f t="shared" si="11"/>
        <v>79</v>
      </c>
      <c r="J243">
        <f t="shared" si="12"/>
        <v>20</v>
      </c>
      <c r="K243">
        <f t="shared" si="13"/>
        <v>218</v>
      </c>
    </row>
    <row r="244" spans="1:11" x14ac:dyDescent="0.2">
      <c r="A244" s="106">
        <f>_xlfn.XLOOKUP(B244,pratos!B:B,pratos!A:A,"não")</f>
        <v>139</v>
      </c>
      <c r="B244" s="128" t="s">
        <v>428</v>
      </c>
      <c r="C244" s="105">
        <f>_xlfn.XLOOKUP(D244,ingredientes!B:B,ingredientes!A:A,"não")</f>
        <v>115</v>
      </c>
      <c r="D244" s="9" t="s">
        <v>429</v>
      </c>
      <c r="E244" s="31">
        <v>10</v>
      </c>
      <c r="H244">
        <f t="shared" si="10"/>
        <v>139</v>
      </c>
      <c r="I244">
        <f t="shared" si="11"/>
        <v>115</v>
      </c>
      <c r="J244">
        <f t="shared" si="12"/>
        <v>10</v>
      </c>
      <c r="K244">
        <f t="shared" si="13"/>
        <v>254</v>
      </c>
    </row>
    <row r="245" spans="1:11" x14ac:dyDescent="0.2">
      <c r="A245" s="106">
        <f>_xlfn.XLOOKUP(B245,pratos!B:B,pratos!A:A,"não")</f>
        <v>140</v>
      </c>
      <c r="B245" s="128" t="s">
        <v>430</v>
      </c>
      <c r="C245" s="105">
        <f>_xlfn.XLOOKUP(D245,ingredientes!B:B,ingredientes!A:A,"não")</f>
        <v>79</v>
      </c>
      <c r="D245" s="30" t="s">
        <v>631</v>
      </c>
      <c r="E245" s="65">
        <v>20</v>
      </c>
      <c r="H245">
        <f t="shared" si="10"/>
        <v>140</v>
      </c>
      <c r="I245">
        <f t="shared" si="11"/>
        <v>79</v>
      </c>
      <c r="J245">
        <f t="shared" si="12"/>
        <v>20</v>
      </c>
      <c r="K245">
        <f t="shared" si="13"/>
        <v>219</v>
      </c>
    </row>
    <row r="246" spans="1:11" x14ac:dyDescent="0.2">
      <c r="A246" s="106">
        <f>_xlfn.XLOOKUP(B246,pratos!B:B,pratos!A:A,"não")</f>
        <v>140</v>
      </c>
      <c r="B246" s="128" t="s">
        <v>430</v>
      </c>
      <c r="C246" s="105">
        <f>_xlfn.XLOOKUP(D246,ingredientes!B:B,ingredientes!A:A,"não")</f>
        <v>79</v>
      </c>
      <c r="D246" s="30" t="s">
        <v>631</v>
      </c>
      <c r="E246" s="81">
        <v>30</v>
      </c>
      <c r="H246">
        <f t="shared" si="10"/>
        <v>140</v>
      </c>
      <c r="I246">
        <f t="shared" si="11"/>
        <v>79</v>
      </c>
      <c r="J246">
        <f t="shared" si="12"/>
        <v>30</v>
      </c>
      <c r="K246">
        <f t="shared" si="13"/>
        <v>219</v>
      </c>
    </row>
    <row r="247" spans="1:11" x14ac:dyDescent="0.2">
      <c r="A247" s="106">
        <f>_xlfn.XLOOKUP(B247,pratos!B:B,pratos!A:A,"não")</f>
        <v>140</v>
      </c>
      <c r="B247" s="128" t="s">
        <v>430</v>
      </c>
      <c r="C247" s="105">
        <f>_xlfn.XLOOKUP(D247,ingredientes!B:B,ingredientes!A:A,"não")</f>
        <v>115</v>
      </c>
      <c r="D247" s="138" t="s">
        <v>429</v>
      </c>
      <c r="E247" s="68">
        <v>10</v>
      </c>
      <c r="H247">
        <f t="shared" si="10"/>
        <v>140</v>
      </c>
      <c r="I247">
        <f t="shared" si="11"/>
        <v>115</v>
      </c>
      <c r="J247">
        <f t="shared" si="12"/>
        <v>10</v>
      </c>
      <c r="K247">
        <f t="shared" si="13"/>
        <v>255</v>
      </c>
    </row>
    <row r="248" spans="1:11" x14ac:dyDescent="0.2">
      <c r="A248" s="106">
        <f>_xlfn.XLOOKUP(B248,pratos!B:B,pratos!A:A,"não")</f>
        <v>140</v>
      </c>
      <c r="B248" s="128" t="s">
        <v>430</v>
      </c>
      <c r="C248" s="105">
        <f>_xlfn.XLOOKUP(D248,ingredientes!B:B,ingredientes!A:A,"não")</f>
        <v>242</v>
      </c>
      <c r="D248" t="s">
        <v>276</v>
      </c>
      <c r="E248" s="17">
        <v>60</v>
      </c>
      <c r="H248">
        <f t="shared" si="10"/>
        <v>140</v>
      </c>
      <c r="I248">
        <f t="shared" si="11"/>
        <v>242</v>
      </c>
      <c r="J248">
        <f t="shared" si="12"/>
        <v>60</v>
      </c>
      <c r="K248">
        <f t="shared" si="13"/>
        <v>382</v>
      </c>
    </row>
    <row r="249" spans="1:11" x14ac:dyDescent="0.2">
      <c r="A249" s="106">
        <f>_xlfn.XLOOKUP(B249,pratos!B:B,pratos!A:A,"não")</f>
        <v>141</v>
      </c>
      <c r="B249" s="52" t="s">
        <v>414</v>
      </c>
      <c r="C249" s="105">
        <f>_xlfn.XLOOKUP(D249,ingredientes!B:B,ingredientes!A:A,"não")</f>
        <v>79</v>
      </c>
      <c r="D249" t="s">
        <v>631</v>
      </c>
      <c r="E249" s="65">
        <v>100</v>
      </c>
      <c r="H249">
        <f t="shared" si="10"/>
        <v>141</v>
      </c>
      <c r="I249">
        <f t="shared" si="11"/>
        <v>79</v>
      </c>
      <c r="J249">
        <f t="shared" si="12"/>
        <v>100</v>
      </c>
      <c r="K249">
        <f t="shared" si="13"/>
        <v>220</v>
      </c>
    </row>
    <row r="250" spans="1:11" x14ac:dyDescent="0.2">
      <c r="A250" s="106">
        <f>_xlfn.XLOOKUP(B250,pratos!B:B,pratos!A:A,"não")</f>
        <v>142</v>
      </c>
      <c r="B250" s="52" t="s">
        <v>450</v>
      </c>
      <c r="C250" s="105">
        <f>_xlfn.XLOOKUP(D250,ingredientes!B:B,ingredientes!A:A,"não")</f>
        <v>82</v>
      </c>
      <c r="D250" s="9" t="s">
        <v>451</v>
      </c>
      <c r="E250" s="82">
        <v>120</v>
      </c>
      <c r="H250">
        <f t="shared" si="10"/>
        <v>142</v>
      </c>
      <c r="I250">
        <f t="shared" si="11"/>
        <v>82</v>
      </c>
      <c r="J250">
        <f t="shared" si="12"/>
        <v>120</v>
      </c>
      <c r="K250">
        <f t="shared" si="13"/>
        <v>224</v>
      </c>
    </row>
    <row r="251" spans="1:11" x14ac:dyDescent="0.2">
      <c r="A251" s="106">
        <f>_xlfn.XLOOKUP(B251,pratos!B:B,pratos!A:A,"não")</f>
        <v>143</v>
      </c>
      <c r="B251" s="52" t="s">
        <v>42</v>
      </c>
      <c r="C251" s="105">
        <f>_xlfn.XLOOKUP(D251,ingredientes!B:B,ingredientes!A:A,"não")</f>
        <v>81</v>
      </c>
      <c r="D251" t="s">
        <v>633</v>
      </c>
      <c r="E251" s="10">
        <v>120</v>
      </c>
      <c r="H251">
        <f t="shared" si="10"/>
        <v>143</v>
      </c>
      <c r="I251">
        <f t="shared" si="11"/>
        <v>81</v>
      </c>
      <c r="J251">
        <f t="shared" si="12"/>
        <v>120</v>
      </c>
      <c r="K251">
        <f t="shared" si="13"/>
        <v>224</v>
      </c>
    </row>
    <row r="252" spans="1:11" x14ac:dyDescent="0.2">
      <c r="A252" s="106">
        <f>_xlfn.XLOOKUP(B252,pratos!B:B,pratos!A:A,"não")</f>
        <v>143</v>
      </c>
      <c r="B252" s="52" t="s">
        <v>42</v>
      </c>
      <c r="C252" s="105">
        <f>_xlfn.XLOOKUP(D252,ingredientes!B:B,ingredientes!A:A,"não")</f>
        <v>81</v>
      </c>
      <c r="D252" t="s">
        <v>633</v>
      </c>
      <c r="E252" s="10">
        <v>50</v>
      </c>
      <c r="H252">
        <f t="shared" si="10"/>
        <v>143</v>
      </c>
      <c r="I252">
        <f t="shared" si="11"/>
        <v>81</v>
      </c>
      <c r="J252">
        <f t="shared" si="12"/>
        <v>50</v>
      </c>
      <c r="K252">
        <f t="shared" si="13"/>
        <v>224</v>
      </c>
    </row>
    <row r="253" spans="1:11" x14ac:dyDescent="0.2">
      <c r="A253" s="106">
        <f>_xlfn.XLOOKUP(B253,pratos!B:B,pratos!A:A,"não")</f>
        <v>144</v>
      </c>
      <c r="B253" s="52" t="s">
        <v>26</v>
      </c>
      <c r="C253" s="105">
        <f>_xlfn.XLOOKUP(D253,ingredientes!B:B,ingredientes!A:A,"não")</f>
        <v>81</v>
      </c>
      <c r="D253" t="s">
        <v>633</v>
      </c>
      <c r="E253" s="10">
        <v>120</v>
      </c>
      <c r="H253">
        <f t="shared" si="10"/>
        <v>144</v>
      </c>
      <c r="I253">
        <f t="shared" si="11"/>
        <v>81</v>
      </c>
      <c r="J253">
        <f t="shared" si="12"/>
        <v>120</v>
      </c>
      <c r="K253">
        <f t="shared" si="13"/>
        <v>225</v>
      </c>
    </row>
    <row r="254" spans="1:11" x14ac:dyDescent="0.2">
      <c r="A254" s="106">
        <f>_xlfn.XLOOKUP(B254,pratos!B:B,pratos!A:A,"não")</f>
        <v>144</v>
      </c>
      <c r="B254" s="52" t="s">
        <v>26</v>
      </c>
      <c r="C254" s="105">
        <f>_xlfn.XLOOKUP(D254,ingredientes!B:B,ingredientes!A:A,"não")</f>
        <v>126</v>
      </c>
      <c r="D254" s="9" t="s">
        <v>27</v>
      </c>
      <c r="E254" s="10">
        <v>5</v>
      </c>
      <c r="H254">
        <f t="shared" si="10"/>
        <v>144</v>
      </c>
      <c r="I254">
        <f t="shared" si="11"/>
        <v>126</v>
      </c>
      <c r="J254">
        <f t="shared" si="12"/>
        <v>5</v>
      </c>
      <c r="K254">
        <f t="shared" si="13"/>
        <v>270</v>
      </c>
    </row>
    <row r="255" spans="1:11" x14ac:dyDescent="0.2">
      <c r="A255" s="106">
        <f>_xlfn.XLOOKUP(B255,pratos!B:B,pratos!A:A,"não")</f>
        <v>145</v>
      </c>
      <c r="B255" s="52" t="s">
        <v>82</v>
      </c>
      <c r="C255" s="105">
        <f>_xlfn.XLOOKUP(D255,ingredientes!B:B,ingredientes!A:A,"não")</f>
        <v>81</v>
      </c>
      <c r="D255" s="30" t="s">
        <v>633</v>
      </c>
      <c r="E255" s="10">
        <v>120</v>
      </c>
      <c r="H255">
        <f t="shared" si="10"/>
        <v>145</v>
      </c>
      <c r="I255">
        <f t="shared" si="11"/>
        <v>81</v>
      </c>
      <c r="J255">
        <f t="shared" si="12"/>
        <v>120</v>
      </c>
      <c r="K255">
        <f t="shared" si="13"/>
        <v>226</v>
      </c>
    </row>
    <row r="256" spans="1:11" x14ac:dyDescent="0.2">
      <c r="A256" s="106">
        <f>_xlfn.XLOOKUP(B256,pratos!B:B,pratos!A:A,"não")</f>
        <v>146</v>
      </c>
      <c r="B256" s="111" t="s">
        <v>117</v>
      </c>
      <c r="C256" s="105">
        <f>_xlfn.XLOOKUP(D256,ingredientes!B:B,ingredientes!A:A,"não")</f>
        <v>84</v>
      </c>
      <c r="D256" s="30" t="s">
        <v>635</v>
      </c>
      <c r="E256" s="19">
        <v>120</v>
      </c>
      <c r="H256">
        <f t="shared" ref="H256:H319" si="14">A256</f>
        <v>146</v>
      </c>
      <c r="I256">
        <f t="shared" ref="I256:I319" si="15">C256</f>
        <v>84</v>
      </c>
      <c r="J256">
        <f t="shared" ref="J256:J319" si="16">E256</f>
        <v>120</v>
      </c>
      <c r="K256">
        <f t="shared" si="13"/>
        <v>230</v>
      </c>
    </row>
    <row r="257" spans="1:11" x14ac:dyDescent="0.2">
      <c r="A257" s="106">
        <f>_xlfn.XLOOKUP(B257,pratos!B:B,pratos!A:A,"não")</f>
        <v>146</v>
      </c>
      <c r="B257" s="111" t="s">
        <v>117</v>
      </c>
      <c r="C257" s="105">
        <f>_xlfn.XLOOKUP(D257,ingredientes!B:B,ingredientes!A:A,"não")</f>
        <v>83</v>
      </c>
      <c r="D257" s="11" t="s">
        <v>118</v>
      </c>
      <c r="E257" s="19">
        <v>120</v>
      </c>
      <c r="H257">
        <f t="shared" si="14"/>
        <v>146</v>
      </c>
      <c r="I257">
        <f t="shared" si="15"/>
        <v>83</v>
      </c>
      <c r="J257">
        <f t="shared" si="16"/>
        <v>120</v>
      </c>
      <c r="K257">
        <f t="shared" si="13"/>
        <v>229</v>
      </c>
    </row>
    <row r="258" spans="1:11" x14ac:dyDescent="0.2">
      <c r="A258" s="106">
        <f>_xlfn.XLOOKUP(B258,pratos!B:B,pratos!A:A,"não")</f>
        <v>146</v>
      </c>
      <c r="B258" s="116" t="s">
        <v>330</v>
      </c>
      <c r="C258" s="105">
        <f>_xlfn.XLOOKUP(D258,ingredientes!B:B,ingredientes!A:A,"não")</f>
        <v>234</v>
      </c>
      <c r="D258" s="46" t="s">
        <v>576</v>
      </c>
      <c r="E258" s="93">
        <v>120</v>
      </c>
      <c r="H258">
        <f t="shared" si="14"/>
        <v>146</v>
      </c>
      <c r="I258">
        <f t="shared" si="15"/>
        <v>234</v>
      </c>
      <c r="J258">
        <f t="shared" si="16"/>
        <v>120</v>
      </c>
      <c r="K258">
        <f t="shared" si="13"/>
        <v>380</v>
      </c>
    </row>
    <row r="259" spans="1:11" x14ac:dyDescent="0.2">
      <c r="A259" s="106">
        <f>_xlfn.XLOOKUP(B259,pratos!B:B,pratos!A:A,"não")</f>
        <v>147</v>
      </c>
      <c r="B259" s="108" t="s">
        <v>227</v>
      </c>
      <c r="C259" s="105">
        <f>_xlfn.XLOOKUP(D259,ingredientes!B:B,ingredientes!A:A,"não")</f>
        <v>84</v>
      </c>
      <c r="D259" s="30" t="s">
        <v>635</v>
      </c>
      <c r="E259" s="17">
        <v>120</v>
      </c>
      <c r="H259">
        <f t="shared" si="14"/>
        <v>147</v>
      </c>
      <c r="I259">
        <f t="shared" si="15"/>
        <v>84</v>
      </c>
      <c r="J259">
        <f t="shared" si="16"/>
        <v>120</v>
      </c>
      <c r="K259">
        <f t="shared" ref="K259:K322" si="17">H259+I259</f>
        <v>231</v>
      </c>
    </row>
    <row r="260" spans="1:11" x14ac:dyDescent="0.2">
      <c r="A260" s="106">
        <f>_xlfn.XLOOKUP(B260,pratos!B:B,pratos!A:A,"não")</f>
        <v>147</v>
      </c>
      <c r="B260" s="108" t="s">
        <v>227</v>
      </c>
      <c r="C260" s="105">
        <f>_xlfn.XLOOKUP(D260,ingredientes!B:B,ingredientes!A:A,"não")</f>
        <v>84</v>
      </c>
      <c r="D260" s="30" t="s">
        <v>635</v>
      </c>
      <c r="E260" s="10">
        <v>50</v>
      </c>
      <c r="H260">
        <f t="shared" si="14"/>
        <v>147</v>
      </c>
      <c r="I260">
        <f t="shared" si="15"/>
        <v>84</v>
      </c>
      <c r="J260">
        <f t="shared" si="16"/>
        <v>50</v>
      </c>
      <c r="K260">
        <f t="shared" si="17"/>
        <v>231</v>
      </c>
    </row>
    <row r="261" spans="1:11" x14ac:dyDescent="0.2">
      <c r="A261" s="106">
        <f>_xlfn.XLOOKUP(B261,pratos!B:B,pratos!A:A,"não")</f>
        <v>148</v>
      </c>
      <c r="B261" s="109" t="s">
        <v>405</v>
      </c>
      <c r="C261" s="105">
        <f>_xlfn.XLOOKUP(D261,ingredientes!B:B,ingredientes!A:A,"não")</f>
        <v>86</v>
      </c>
      <c r="D261" s="9" t="s">
        <v>406</v>
      </c>
      <c r="E261" s="10">
        <v>120</v>
      </c>
      <c r="H261">
        <f t="shared" si="14"/>
        <v>148</v>
      </c>
      <c r="I261">
        <f t="shared" si="15"/>
        <v>86</v>
      </c>
      <c r="J261">
        <f t="shared" si="16"/>
        <v>120</v>
      </c>
      <c r="K261">
        <f t="shared" si="17"/>
        <v>234</v>
      </c>
    </row>
    <row r="262" spans="1:11" x14ac:dyDescent="0.2">
      <c r="A262" s="106">
        <f>_xlfn.XLOOKUP(B262,pratos!B:B,pratos!A:A,"não")</f>
        <v>148</v>
      </c>
      <c r="B262" s="109" t="s">
        <v>405</v>
      </c>
      <c r="C262" s="105">
        <f>_xlfn.XLOOKUP(D262,ingredientes!B:B,ingredientes!A:A,"não")</f>
        <v>206</v>
      </c>
      <c r="D262" s="9" t="s">
        <v>407</v>
      </c>
      <c r="E262" s="10">
        <v>10</v>
      </c>
      <c r="H262">
        <f t="shared" si="14"/>
        <v>148</v>
      </c>
      <c r="I262">
        <f t="shared" si="15"/>
        <v>206</v>
      </c>
      <c r="J262">
        <f t="shared" si="16"/>
        <v>10</v>
      </c>
      <c r="K262">
        <f t="shared" si="17"/>
        <v>354</v>
      </c>
    </row>
    <row r="263" spans="1:11" x14ac:dyDescent="0.2">
      <c r="A263" s="106">
        <f>_xlfn.XLOOKUP(B263,pratos!B:B,pratos!A:A,"não")</f>
        <v>149</v>
      </c>
      <c r="B263" s="109" t="s">
        <v>138</v>
      </c>
      <c r="C263" s="105">
        <f>_xlfn.XLOOKUP(D263,ingredientes!B:B,ingredientes!A:A,"não")</f>
        <v>96</v>
      </c>
      <c r="D263" s="30" t="s">
        <v>641</v>
      </c>
      <c r="E263" s="10">
        <v>50</v>
      </c>
      <c r="H263">
        <f t="shared" si="14"/>
        <v>149</v>
      </c>
      <c r="I263">
        <f t="shared" si="15"/>
        <v>96</v>
      </c>
      <c r="J263">
        <f t="shared" si="16"/>
        <v>50</v>
      </c>
      <c r="K263">
        <f t="shared" si="17"/>
        <v>245</v>
      </c>
    </row>
    <row r="264" spans="1:11" x14ac:dyDescent="0.2">
      <c r="A264" s="106">
        <f>_xlfn.XLOOKUP(B264,pratos!B:B,pratos!A:A,"não")</f>
        <v>149</v>
      </c>
      <c r="B264" s="109" t="s">
        <v>138</v>
      </c>
      <c r="C264" s="105">
        <f>_xlfn.XLOOKUP(D264,ingredientes!B:B,ingredientes!A:A,"não")</f>
        <v>96</v>
      </c>
      <c r="D264" s="30" t="s">
        <v>641</v>
      </c>
      <c r="E264" s="10">
        <v>25</v>
      </c>
      <c r="H264">
        <f t="shared" si="14"/>
        <v>149</v>
      </c>
      <c r="I264">
        <f t="shared" si="15"/>
        <v>96</v>
      </c>
      <c r="J264">
        <f t="shared" si="16"/>
        <v>25</v>
      </c>
      <c r="K264">
        <f t="shared" si="17"/>
        <v>245</v>
      </c>
    </row>
    <row r="265" spans="1:11" x14ac:dyDescent="0.2">
      <c r="A265" s="106">
        <f>_xlfn.XLOOKUP(B265,pratos!B:B,pratos!A:A,"não")</f>
        <v>149</v>
      </c>
      <c r="B265" s="109" t="s">
        <v>138</v>
      </c>
      <c r="C265" s="105">
        <f>_xlfn.XLOOKUP(D265,ingredientes!B:B,ingredientes!A:A,"não")</f>
        <v>106</v>
      </c>
      <c r="D265" s="30" t="s">
        <v>645</v>
      </c>
      <c r="E265" s="10">
        <v>50</v>
      </c>
      <c r="H265">
        <f t="shared" si="14"/>
        <v>149</v>
      </c>
      <c r="I265">
        <f t="shared" si="15"/>
        <v>106</v>
      </c>
      <c r="J265">
        <f t="shared" si="16"/>
        <v>50</v>
      </c>
      <c r="K265">
        <f t="shared" si="17"/>
        <v>255</v>
      </c>
    </row>
    <row r="266" spans="1:11" x14ac:dyDescent="0.2">
      <c r="A266" s="106">
        <f>_xlfn.XLOOKUP(B266,pratos!B:B,pratos!A:A,"não")</f>
        <v>149</v>
      </c>
      <c r="B266" s="109" t="s">
        <v>138</v>
      </c>
      <c r="C266" s="105">
        <f>_xlfn.XLOOKUP(D266,ingredientes!B:B,ingredientes!A:A,"não")</f>
        <v>106</v>
      </c>
      <c r="D266" s="30" t="s">
        <v>645</v>
      </c>
      <c r="E266" s="10">
        <v>25</v>
      </c>
      <c r="H266">
        <f t="shared" si="14"/>
        <v>149</v>
      </c>
      <c r="I266">
        <f t="shared" si="15"/>
        <v>106</v>
      </c>
      <c r="J266">
        <f t="shared" si="16"/>
        <v>25</v>
      </c>
      <c r="K266">
        <f t="shared" si="17"/>
        <v>255</v>
      </c>
    </row>
    <row r="267" spans="1:11" x14ac:dyDescent="0.2">
      <c r="A267" s="106">
        <f>_xlfn.XLOOKUP(B267,pratos!B:B,pratos!A:A,"não")</f>
        <v>150</v>
      </c>
      <c r="B267" s="109" t="s">
        <v>237</v>
      </c>
      <c r="C267" s="105">
        <f>_xlfn.XLOOKUP(D267,ingredientes!B:B,ingredientes!A:A,"não")</f>
        <v>96</v>
      </c>
      <c r="D267" s="30" t="s">
        <v>641</v>
      </c>
      <c r="E267" s="10">
        <v>50</v>
      </c>
      <c r="H267">
        <f t="shared" si="14"/>
        <v>150</v>
      </c>
      <c r="I267">
        <f t="shared" si="15"/>
        <v>96</v>
      </c>
      <c r="J267">
        <f t="shared" si="16"/>
        <v>50</v>
      </c>
      <c r="K267">
        <f t="shared" si="17"/>
        <v>246</v>
      </c>
    </row>
    <row r="268" spans="1:11" x14ac:dyDescent="0.2">
      <c r="A268" s="106">
        <f>_xlfn.XLOOKUP(B268,pratos!B:B,pratos!A:A,"não")</f>
        <v>150</v>
      </c>
      <c r="B268" s="109" t="s">
        <v>237</v>
      </c>
      <c r="C268" s="105">
        <f>_xlfn.XLOOKUP(D268,ingredientes!B:B,ingredientes!A:A,"não")</f>
        <v>106</v>
      </c>
      <c r="D268" s="30" t="s">
        <v>645</v>
      </c>
      <c r="E268" s="10">
        <v>50</v>
      </c>
      <c r="H268">
        <f t="shared" si="14"/>
        <v>150</v>
      </c>
      <c r="I268">
        <f t="shared" si="15"/>
        <v>106</v>
      </c>
      <c r="J268">
        <f t="shared" si="16"/>
        <v>50</v>
      </c>
      <c r="K268">
        <f t="shared" si="17"/>
        <v>256</v>
      </c>
    </row>
    <row r="269" spans="1:11" x14ac:dyDescent="0.2">
      <c r="A269" s="106">
        <f>_xlfn.XLOOKUP(B269,pratos!B:B,pratos!A:A,"não")</f>
        <v>151</v>
      </c>
      <c r="B269" s="111" t="s">
        <v>78</v>
      </c>
      <c r="C269" s="105">
        <f>_xlfn.XLOOKUP(D269,ingredientes!B:B,ingredientes!A:A,"não")</f>
        <v>96</v>
      </c>
      <c r="D269" s="30" t="s">
        <v>641</v>
      </c>
      <c r="E269" s="19">
        <v>100</v>
      </c>
      <c r="H269">
        <f t="shared" si="14"/>
        <v>151</v>
      </c>
      <c r="I269">
        <f t="shared" si="15"/>
        <v>96</v>
      </c>
      <c r="J269">
        <f t="shared" si="16"/>
        <v>100</v>
      </c>
      <c r="K269">
        <f t="shared" si="17"/>
        <v>247</v>
      </c>
    </row>
    <row r="270" spans="1:11" x14ac:dyDescent="0.2">
      <c r="A270" s="106">
        <f>_xlfn.XLOOKUP(B270,pratos!B:B,pratos!A:A,"não")</f>
        <v>151</v>
      </c>
      <c r="B270" s="111" t="s">
        <v>78</v>
      </c>
      <c r="C270" s="105">
        <f>_xlfn.XLOOKUP(D270,ingredientes!B:B,ingredientes!A:A,"não")</f>
        <v>96</v>
      </c>
      <c r="D270" s="30" t="s">
        <v>641</v>
      </c>
      <c r="E270" s="10">
        <v>50</v>
      </c>
      <c r="H270">
        <f t="shared" si="14"/>
        <v>151</v>
      </c>
      <c r="I270">
        <f t="shared" si="15"/>
        <v>96</v>
      </c>
      <c r="J270">
        <f t="shared" si="16"/>
        <v>50</v>
      </c>
      <c r="K270">
        <f t="shared" si="17"/>
        <v>247</v>
      </c>
    </row>
    <row r="271" spans="1:11" x14ac:dyDescent="0.2">
      <c r="A271" s="106">
        <f>_xlfn.XLOOKUP(B271,pratos!B:B,pratos!A:A,"não")</f>
        <v>152</v>
      </c>
      <c r="B271" s="52" t="s">
        <v>550</v>
      </c>
      <c r="C271" s="105">
        <f>_xlfn.XLOOKUP(D271,ingredientes!B:B,ingredientes!A:A,"não")</f>
        <v>96</v>
      </c>
      <c r="D271" s="30" t="s">
        <v>641</v>
      </c>
      <c r="E271" s="10">
        <v>50</v>
      </c>
      <c r="H271">
        <f t="shared" si="14"/>
        <v>152</v>
      </c>
      <c r="I271">
        <f t="shared" si="15"/>
        <v>96</v>
      </c>
      <c r="J271">
        <f t="shared" si="16"/>
        <v>50</v>
      </c>
      <c r="K271">
        <f t="shared" si="17"/>
        <v>248</v>
      </c>
    </row>
    <row r="272" spans="1:11" x14ac:dyDescent="0.2">
      <c r="A272" s="106">
        <f>_xlfn.XLOOKUP(B272,pratos!B:B,pratos!A:A,"não")</f>
        <v>152</v>
      </c>
      <c r="B272" s="52" t="s">
        <v>550</v>
      </c>
      <c r="C272" s="105">
        <f>_xlfn.XLOOKUP(D272,ingredientes!B:B,ingredientes!A:A,"não")</f>
        <v>96</v>
      </c>
      <c r="D272" s="30" t="s">
        <v>641</v>
      </c>
      <c r="E272" s="93">
        <v>25</v>
      </c>
      <c r="H272">
        <f t="shared" si="14"/>
        <v>152</v>
      </c>
      <c r="I272">
        <f t="shared" si="15"/>
        <v>96</v>
      </c>
      <c r="J272">
        <f t="shared" si="16"/>
        <v>25</v>
      </c>
      <c r="K272">
        <f t="shared" si="17"/>
        <v>248</v>
      </c>
    </row>
    <row r="273" spans="1:11" x14ac:dyDescent="0.2">
      <c r="A273" s="106">
        <f>_xlfn.XLOOKUP(B273,pratos!B:B,pratos!A:A,"não")</f>
        <v>152</v>
      </c>
      <c r="B273" s="116" t="s">
        <v>550</v>
      </c>
      <c r="C273" s="105">
        <f>_xlfn.XLOOKUP(D273,ingredientes!B:B,ingredientes!A:A,"não")</f>
        <v>320</v>
      </c>
      <c r="D273" s="30" t="s">
        <v>705</v>
      </c>
      <c r="E273" s="93">
        <v>50</v>
      </c>
      <c r="H273">
        <f t="shared" si="14"/>
        <v>152</v>
      </c>
      <c r="I273">
        <f t="shared" si="15"/>
        <v>320</v>
      </c>
      <c r="J273">
        <f t="shared" si="16"/>
        <v>50</v>
      </c>
      <c r="K273">
        <f t="shared" si="17"/>
        <v>472</v>
      </c>
    </row>
    <row r="274" spans="1:11" x14ac:dyDescent="0.2">
      <c r="A274" s="106">
        <f>_xlfn.XLOOKUP(B274,pratos!B:B,pratos!A:A,"não")</f>
        <v>153</v>
      </c>
      <c r="B274" s="111" t="s">
        <v>359</v>
      </c>
      <c r="C274" s="105">
        <f>_xlfn.XLOOKUP(D274,ingredientes!B:B,ingredientes!A:A,"não")</f>
        <v>58</v>
      </c>
      <c r="D274" s="30" t="s">
        <v>618</v>
      </c>
      <c r="E274" s="19">
        <v>50</v>
      </c>
      <c r="H274">
        <f t="shared" si="14"/>
        <v>153</v>
      </c>
      <c r="I274">
        <f t="shared" si="15"/>
        <v>58</v>
      </c>
      <c r="J274">
        <f t="shared" si="16"/>
        <v>50</v>
      </c>
      <c r="K274">
        <f t="shared" si="17"/>
        <v>211</v>
      </c>
    </row>
    <row r="275" spans="1:11" x14ac:dyDescent="0.2">
      <c r="A275" s="106">
        <f>_xlfn.XLOOKUP(B275,pratos!B:B,pratos!A:A,"não")</f>
        <v>153</v>
      </c>
      <c r="B275" s="111" t="s">
        <v>359</v>
      </c>
      <c r="C275" s="105">
        <f>_xlfn.XLOOKUP(D275,ingredientes!B:B,ingredientes!A:A,"não")</f>
        <v>96</v>
      </c>
      <c r="D275" s="30" t="s">
        <v>641</v>
      </c>
      <c r="E275" s="10">
        <v>50</v>
      </c>
      <c r="H275">
        <f t="shared" si="14"/>
        <v>153</v>
      </c>
      <c r="I275">
        <f t="shared" si="15"/>
        <v>96</v>
      </c>
      <c r="J275">
        <f t="shared" si="16"/>
        <v>50</v>
      </c>
      <c r="K275">
        <f t="shared" si="17"/>
        <v>249</v>
      </c>
    </row>
    <row r="276" spans="1:11" x14ac:dyDescent="0.2">
      <c r="A276" s="106">
        <f>_xlfn.XLOOKUP(B276,pratos!B:B,pratos!A:A,"não")</f>
        <v>154</v>
      </c>
      <c r="B276" s="116" t="s">
        <v>561</v>
      </c>
      <c r="C276" s="105">
        <f>_xlfn.XLOOKUP(D276,ingredientes!B:B,ingredientes!A:A,"não")</f>
        <v>98</v>
      </c>
      <c r="D276" s="76" t="s">
        <v>24</v>
      </c>
      <c r="E276" s="87">
        <v>100</v>
      </c>
      <c r="H276">
        <f t="shared" si="14"/>
        <v>154</v>
      </c>
      <c r="I276">
        <f t="shared" si="15"/>
        <v>98</v>
      </c>
      <c r="J276">
        <f t="shared" si="16"/>
        <v>100</v>
      </c>
      <c r="K276">
        <f t="shared" si="17"/>
        <v>252</v>
      </c>
    </row>
    <row r="277" spans="1:11" x14ac:dyDescent="0.2">
      <c r="A277" s="106">
        <f>_xlfn.XLOOKUP(B277,pratos!B:B,pratos!A:A,"não")</f>
        <v>154</v>
      </c>
      <c r="B277" s="109" t="s">
        <v>166</v>
      </c>
      <c r="C277" s="105">
        <f>_xlfn.XLOOKUP(D277,ingredientes!B:B,ingredientes!A:A,"não")</f>
        <v>99</v>
      </c>
      <c r="D277" s="38" t="s">
        <v>642</v>
      </c>
      <c r="E277" s="10">
        <v>100</v>
      </c>
      <c r="H277">
        <f t="shared" si="14"/>
        <v>154</v>
      </c>
      <c r="I277">
        <f t="shared" si="15"/>
        <v>99</v>
      </c>
      <c r="J277">
        <f t="shared" si="16"/>
        <v>100</v>
      </c>
      <c r="K277">
        <f t="shared" si="17"/>
        <v>253</v>
      </c>
    </row>
    <row r="278" spans="1:11" x14ac:dyDescent="0.2">
      <c r="A278" s="106">
        <f>_xlfn.XLOOKUP(B278,pratos!B:B,pratos!A:A,"não")</f>
        <v>155</v>
      </c>
      <c r="B278" s="52" t="s">
        <v>23</v>
      </c>
      <c r="C278" s="105">
        <f>_xlfn.XLOOKUP(D278,ingredientes!B:B,ingredientes!A:A,"não")</f>
        <v>98</v>
      </c>
      <c r="D278" s="9" t="s">
        <v>24</v>
      </c>
      <c r="E278" s="13">
        <v>50</v>
      </c>
      <c r="H278">
        <f t="shared" si="14"/>
        <v>155</v>
      </c>
      <c r="I278">
        <f t="shared" si="15"/>
        <v>98</v>
      </c>
      <c r="J278">
        <f t="shared" si="16"/>
        <v>50</v>
      </c>
      <c r="K278">
        <f t="shared" si="17"/>
        <v>253</v>
      </c>
    </row>
    <row r="279" spans="1:11" x14ac:dyDescent="0.2">
      <c r="A279" s="106">
        <f>_xlfn.XLOOKUP(B279,pratos!B:B,pratos!A:A,"não")</f>
        <v>155</v>
      </c>
      <c r="B279" s="52" t="s">
        <v>23</v>
      </c>
      <c r="C279" s="105">
        <f>_xlfn.XLOOKUP(D279,ingredientes!B:B,ingredientes!A:A,"não")</f>
        <v>313</v>
      </c>
      <c r="D279" s="14" t="s">
        <v>25</v>
      </c>
      <c r="E279" s="10">
        <v>50</v>
      </c>
      <c r="H279">
        <f t="shared" si="14"/>
        <v>155</v>
      </c>
      <c r="I279">
        <f t="shared" si="15"/>
        <v>313</v>
      </c>
      <c r="J279">
        <f t="shared" si="16"/>
        <v>50</v>
      </c>
      <c r="K279">
        <f t="shared" si="17"/>
        <v>468</v>
      </c>
    </row>
    <row r="280" spans="1:11" x14ac:dyDescent="0.2">
      <c r="A280" s="106">
        <f>_xlfn.XLOOKUP(B280,pratos!B:B,pratos!A:A,"não")</f>
        <v>156</v>
      </c>
      <c r="B280" s="52" t="s">
        <v>107</v>
      </c>
      <c r="C280" s="105">
        <f>_xlfn.XLOOKUP(D280,ingredientes!B:B,ingredientes!A:A,"não")</f>
        <v>96</v>
      </c>
      <c r="D280" s="30" t="s">
        <v>641</v>
      </c>
      <c r="E280" s="17">
        <v>50</v>
      </c>
      <c r="H280">
        <f t="shared" si="14"/>
        <v>156</v>
      </c>
      <c r="I280">
        <f t="shared" si="15"/>
        <v>96</v>
      </c>
      <c r="J280">
        <f t="shared" si="16"/>
        <v>50</v>
      </c>
      <c r="K280">
        <f t="shared" si="17"/>
        <v>252</v>
      </c>
    </row>
    <row r="281" spans="1:11" x14ac:dyDescent="0.2">
      <c r="A281" s="106">
        <f>_xlfn.XLOOKUP(B281,pratos!B:B,pratos!A:A,"não")</f>
        <v>157</v>
      </c>
      <c r="B281" s="109" t="s">
        <v>315</v>
      </c>
      <c r="C281" s="105">
        <f>_xlfn.XLOOKUP(D281,ingredientes!B:B,ingredientes!A:A,"não")</f>
        <v>96</v>
      </c>
      <c r="D281" s="30" t="s">
        <v>641</v>
      </c>
      <c r="E281" s="10">
        <v>100</v>
      </c>
      <c r="H281">
        <f t="shared" si="14"/>
        <v>157</v>
      </c>
      <c r="I281">
        <f t="shared" si="15"/>
        <v>96</v>
      </c>
      <c r="J281">
        <f t="shared" si="16"/>
        <v>100</v>
      </c>
      <c r="K281">
        <f t="shared" si="17"/>
        <v>253</v>
      </c>
    </row>
    <row r="282" spans="1:11" x14ac:dyDescent="0.2">
      <c r="A282" s="106">
        <f>_xlfn.XLOOKUP(B282,pratos!B:B,pratos!A:A,"não")</f>
        <v>157</v>
      </c>
      <c r="B282" s="111" t="s">
        <v>315</v>
      </c>
      <c r="C282" s="105">
        <f>_xlfn.XLOOKUP(D282,ingredientes!B:B,ingredientes!A:A,"não")</f>
        <v>199</v>
      </c>
      <c r="D282" s="9" t="s">
        <v>95</v>
      </c>
      <c r="E282" s="5">
        <v>5</v>
      </c>
      <c r="H282">
        <f t="shared" si="14"/>
        <v>157</v>
      </c>
      <c r="I282">
        <f t="shared" si="15"/>
        <v>199</v>
      </c>
      <c r="J282">
        <f t="shared" si="16"/>
        <v>5</v>
      </c>
      <c r="K282">
        <f t="shared" si="17"/>
        <v>356</v>
      </c>
    </row>
    <row r="283" spans="1:11" x14ac:dyDescent="0.2">
      <c r="A283" s="106">
        <f>_xlfn.XLOOKUP(B283,pratos!B:B,pratos!A:A,"não")</f>
        <v>158</v>
      </c>
      <c r="B283" s="52" t="s">
        <v>351</v>
      </c>
      <c r="C283" s="105">
        <f>_xlfn.XLOOKUP(D283,ingredientes!B:B,ingredientes!A:A,"não")</f>
        <v>96</v>
      </c>
      <c r="D283" s="30" t="s">
        <v>641</v>
      </c>
      <c r="E283" s="17">
        <v>30</v>
      </c>
      <c r="H283">
        <f t="shared" si="14"/>
        <v>158</v>
      </c>
      <c r="I283">
        <f t="shared" si="15"/>
        <v>96</v>
      </c>
      <c r="J283">
        <f t="shared" si="16"/>
        <v>30</v>
      </c>
      <c r="K283">
        <f t="shared" si="17"/>
        <v>254</v>
      </c>
    </row>
    <row r="284" spans="1:11" x14ac:dyDescent="0.2">
      <c r="A284" s="106">
        <f>_xlfn.XLOOKUP(B284,pratos!B:B,pratos!A:A,"não")</f>
        <v>158</v>
      </c>
      <c r="B284" s="52" t="s">
        <v>351</v>
      </c>
      <c r="C284" s="105">
        <f>_xlfn.XLOOKUP(D284,ingredientes!B:B,ingredientes!A:A,"não")</f>
        <v>96</v>
      </c>
      <c r="D284" s="30" t="s">
        <v>641</v>
      </c>
      <c r="E284" s="17">
        <v>40</v>
      </c>
      <c r="H284">
        <f t="shared" si="14"/>
        <v>158</v>
      </c>
      <c r="I284">
        <f t="shared" si="15"/>
        <v>96</v>
      </c>
      <c r="J284">
        <f t="shared" si="16"/>
        <v>40</v>
      </c>
      <c r="K284">
        <f t="shared" si="17"/>
        <v>254</v>
      </c>
    </row>
    <row r="285" spans="1:11" x14ac:dyDescent="0.2">
      <c r="A285" s="106">
        <f>_xlfn.XLOOKUP(B285,pratos!B:B,pratos!A:A,"não")</f>
        <v>158</v>
      </c>
      <c r="B285" s="52" t="s">
        <v>351</v>
      </c>
      <c r="C285" s="105">
        <f>_xlfn.XLOOKUP(D285,ingredientes!B:B,ingredientes!A:A,"não")</f>
        <v>106</v>
      </c>
      <c r="D285" s="30" t="s">
        <v>645</v>
      </c>
      <c r="E285" s="17">
        <v>30</v>
      </c>
      <c r="H285">
        <f t="shared" si="14"/>
        <v>158</v>
      </c>
      <c r="I285">
        <f t="shared" si="15"/>
        <v>106</v>
      </c>
      <c r="J285">
        <f t="shared" si="16"/>
        <v>30</v>
      </c>
      <c r="K285">
        <f t="shared" si="17"/>
        <v>264</v>
      </c>
    </row>
    <row r="286" spans="1:11" x14ac:dyDescent="0.2">
      <c r="A286" s="106">
        <f>_xlfn.XLOOKUP(B286,pratos!B:B,pratos!A:A,"não")</f>
        <v>158</v>
      </c>
      <c r="B286" s="52" t="s">
        <v>351</v>
      </c>
      <c r="C286" s="105">
        <f>_xlfn.XLOOKUP(D286,ingredientes!B:B,ingredientes!A:A,"não")</f>
        <v>106</v>
      </c>
      <c r="D286" s="30" t="s">
        <v>645</v>
      </c>
      <c r="E286" s="10">
        <v>40</v>
      </c>
      <c r="H286">
        <f t="shared" si="14"/>
        <v>158</v>
      </c>
      <c r="I286">
        <f t="shared" si="15"/>
        <v>106</v>
      </c>
      <c r="J286">
        <f t="shared" si="16"/>
        <v>40</v>
      </c>
      <c r="K286">
        <f t="shared" si="17"/>
        <v>264</v>
      </c>
    </row>
    <row r="287" spans="1:11" x14ac:dyDescent="0.2">
      <c r="A287" s="106">
        <f>_xlfn.XLOOKUP(B287,pratos!B:B,pratos!A:A,"não")</f>
        <v>158</v>
      </c>
      <c r="B287" s="52" t="s">
        <v>351</v>
      </c>
      <c r="C287" s="105">
        <f>_xlfn.XLOOKUP(D287,ingredientes!B:B,ingredientes!A:A,"não")</f>
        <v>320</v>
      </c>
      <c r="D287" s="30" t="s">
        <v>705</v>
      </c>
      <c r="E287" s="10">
        <v>30</v>
      </c>
      <c r="H287">
        <f t="shared" si="14"/>
        <v>158</v>
      </c>
      <c r="I287">
        <f t="shared" si="15"/>
        <v>320</v>
      </c>
      <c r="J287">
        <f t="shared" si="16"/>
        <v>30</v>
      </c>
      <c r="K287">
        <f t="shared" si="17"/>
        <v>478</v>
      </c>
    </row>
    <row r="288" spans="1:11" x14ac:dyDescent="0.2">
      <c r="A288" s="106">
        <f>_xlfn.XLOOKUP(B288,pratos!B:B,pratos!A:A,"não")</f>
        <v>159</v>
      </c>
      <c r="B288" s="112" t="s">
        <v>86</v>
      </c>
      <c r="C288" s="105">
        <f>_xlfn.XLOOKUP(D288,ingredientes!B:B,ingredientes!A:A,"não")</f>
        <v>17</v>
      </c>
      <c r="D288" s="30" t="s">
        <v>7</v>
      </c>
      <c r="E288" s="63">
        <v>20</v>
      </c>
      <c r="H288">
        <f t="shared" si="14"/>
        <v>159</v>
      </c>
      <c r="I288">
        <f t="shared" si="15"/>
        <v>17</v>
      </c>
      <c r="J288">
        <f t="shared" si="16"/>
        <v>20</v>
      </c>
      <c r="K288">
        <f t="shared" si="17"/>
        <v>176</v>
      </c>
    </row>
    <row r="289" spans="1:11" x14ac:dyDescent="0.2">
      <c r="A289" s="106">
        <f>_xlfn.XLOOKUP(B289,pratos!B:B,pratos!A:A,"não")</f>
        <v>159</v>
      </c>
      <c r="B289" s="112" t="s">
        <v>86</v>
      </c>
      <c r="C289" s="105">
        <f>_xlfn.XLOOKUP(D289,ingredientes!B:B,ingredientes!A:A,"não")</f>
        <v>102</v>
      </c>
      <c r="D289" s="77" t="s">
        <v>585</v>
      </c>
      <c r="E289" s="63">
        <v>160</v>
      </c>
      <c r="H289">
        <f t="shared" si="14"/>
        <v>159</v>
      </c>
      <c r="I289">
        <f t="shared" si="15"/>
        <v>102</v>
      </c>
      <c r="J289">
        <f t="shared" si="16"/>
        <v>160</v>
      </c>
      <c r="K289">
        <f t="shared" si="17"/>
        <v>261</v>
      </c>
    </row>
    <row r="290" spans="1:11" x14ac:dyDescent="0.2">
      <c r="A290" s="106">
        <f>_xlfn.XLOOKUP(B290,pratos!B:B,pratos!A:A,"não")</f>
        <v>159</v>
      </c>
      <c r="B290" s="111" t="s">
        <v>86</v>
      </c>
      <c r="C290" s="105">
        <f>_xlfn.XLOOKUP(D290,ingredientes!B:B,ingredientes!A:A,"não")</f>
        <v>103</v>
      </c>
      <c r="D290" s="24" t="s">
        <v>87</v>
      </c>
      <c r="E290" s="25">
        <v>160</v>
      </c>
      <c r="H290">
        <f t="shared" si="14"/>
        <v>159</v>
      </c>
      <c r="I290">
        <f t="shared" si="15"/>
        <v>103</v>
      </c>
      <c r="J290">
        <f t="shared" si="16"/>
        <v>160</v>
      </c>
      <c r="K290">
        <f t="shared" si="17"/>
        <v>262</v>
      </c>
    </row>
    <row r="291" spans="1:11" x14ac:dyDescent="0.2">
      <c r="A291" s="106">
        <f>_xlfn.XLOOKUP(B291,pratos!B:B,pratos!A:A,"não")</f>
        <v>160</v>
      </c>
      <c r="B291" s="111" t="s">
        <v>172</v>
      </c>
      <c r="C291" s="105">
        <f>_xlfn.XLOOKUP(D291,ingredientes!B:B,ingredientes!A:A,"não")</f>
        <v>101</v>
      </c>
      <c r="D291" s="144" t="s">
        <v>173</v>
      </c>
      <c r="E291" s="19">
        <v>160</v>
      </c>
      <c r="H291">
        <f t="shared" si="14"/>
        <v>160</v>
      </c>
      <c r="I291">
        <f t="shared" si="15"/>
        <v>101</v>
      </c>
      <c r="J291">
        <f t="shared" si="16"/>
        <v>160</v>
      </c>
      <c r="K291">
        <f t="shared" si="17"/>
        <v>261</v>
      </c>
    </row>
    <row r="292" spans="1:11" x14ac:dyDescent="0.2">
      <c r="A292" s="106">
        <f>_xlfn.XLOOKUP(B292,pratos!B:B,pratos!A:A,"não")</f>
        <v>161</v>
      </c>
      <c r="B292" s="111" t="s">
        <v>73</v>
      </c>
      <c r="C292" s="105">
        <f>_xlfn.XLOOKUP(D292,ingredientes!B:B,ingredientes!A:A,"não")</f>
        <v>104</v>
      </c>
      <c r="D292" s="144" t="s">
        <v>74</v>
      </c>
      <c r="E292" s="19">
        <v>160</v>
      </c>
      <c r="H292">
        <f t="shared" si="14"/>
        <v>161</v>
      </c>
      <c r="I292">
        <f t="shared" si="15"/>
        <v>104</v>
      </c>
      <c r="J292">
        <f t="shared" si="16"/>
        <v>160</v>
      </c>
      <c r="K292">
        <f t="shared" si="17"/>
        <v>265</v>
      </c>
    </row>
    <row r="293" spans="1:11" x14ac:dyDescent="0.2">
      <c r="A293" s="106">
        <f>_xlfn.XLOOKUP(B293,pratos!B:B,pratos!A:A,"não")</f>
        <v>162</v>
      </c>
      <c r="B293" s="128" t="s">
        <v>421</v>
      </c>
      <c r="C293" s="105">
        <f>_xlfn.XLOOKUP(D293,ingredientes!B:B,ingredientes!A:A,"não")</f>
        <v>96</v>
      </c>
      <c r="D293" t="s">
        <v>641</v>
      </c>
      <c r="E293" s="68">
        <v>50</v>
      </c>
      <c r="H293">
        <f t="shared" si="14"/>
        <v>162</v>
      </c>
      <c r="I293">
        <f t="shared" si="15"/>
        <v>96</v>
      </c>
      <c r="J293">
        <f t="shared" si="16"/>
        <v>50</v>
      </c>
      <c r="K293">
        <f t="shared" si="17"/>
        <v>258</v>
      </c>
    </row>
    <row r="294" spans="1:11" x14ac:dyDescent="0.2">
      <c r="A294" s="106">
        <f>_xlfn.XLOOKUP(B294,pratos!B:B,pratos!A:A,"não")</f>
        <v>162</v>
      </c>
      <c r="B294" s="128" t="s">
        <v>421</v>
      </c>
      <c r="C294" s="105">
        <f>_xlfn.XLOOKUP(D294,ingredientes!B:B,ingredientes!A:A,"não")</f>
        <v>106</v>
      </c>
      <c r="D294" t="s">
        <v>645</v>
      </c>
      <c r="E294" s="10">
        <v>50</v>
      </c>
      <c r="H294">
        <f t="shared" si="14"/>
        <v>162</v>
      </c>
      <c r="I294">
        <f t="shared" si="15"/>
        <v>106</v>
      </c>
      <c r="J294">
        <f t="shared" si="16"/>
        <v>50</v>
      </c>
      <c r="K294">
        <f t="shared" si="17"/>
        <v>268</v>
      </c>
    </row>
    <row r="295" spans="1:11" x14ac:dyDescent="0.2">
      <c r="A295" s="106">
        <f>_xlfn.XLOOKUP(B295,pratos!B:B,pratos!A:A,"não")</f>
        <v>163</v>
      </c>
      <c r="B295" s="52" t="s">
        <v>520</v>
      </c>
      <c r="C295" s="105">
        <f>_xlfn.XLOOKUP(D295,ingredientes!B:B,ingredientes!A:A,"não")</f>
        <v>94</v>
      </c>
      <c r="D295" s="161" t="s">
        <v>506</v>
      </c>
      <c r="E295" s="93">
        <v>5</v>
      </c>
      <c r="H295">
        <f t="shared" si="14"/>
        <v>163</v>
      </c>
      <c r="I295">
        <f t="shared" si="15"/>
        <v>94</v>
      </c>
      <c r="J295">
        <f t="shared" si="16"/>
        <v>5</v>
      </c>
      <c r="K295">
        <f t="shared" si="17"/>
        <v>257</v>
      </c>
    </row>
    <row r="296" spans="1:11" x14ac:dyDescent="0.2">
      <c r="A296" s="106">
        <f>_xlfn.XLOOKUP(B296,pratos!B:B,pratos!A:A,"não")</f>
        <v>163</v>
      </c>
      <c r="B296" s="116" t="s">
        <v>520</v>
      </c>
      <c r="C296" s="105">
        <f>_xlfn.XLOOKUP(D296,ingredientes!B:B,ingredientes!A:A,"não")</f>
        <v>106</v>
      </c>
      <c r="D296" t="s">
        <v>645</v>
      </c>
      <c r="E296" s="93">
        <v>80</v>
      </c>
      <c r="H296">
        <f t="shared" si="14"/>
        <v>163</v>
      </c>
      <c r="I296">
        <f t="shared" si="15"/>
        <v>106</v>
      </c>
      <c r="J296">
        <f t="shared" si="16"/>
        <v>80</v>
      </c>
      <c r="K296">
        <f t="shared" si="17"/>
        <v>269</v>
      </c>
    </row>
    <row r="297" spans="1:11" x14ac:dyDescent="0.2">
      <c r="A297" s="106">
        <f>_xlfn.XLOOKUP(B297,pratos!B:B,pratos!A:A,"não")</f>
        <v>163</v>
      </c>
      <c r="B297" s="116" t="s">
        <v>520</v>
      </c>
      <c r="C297" s="105">
        <f>_xlfn.XLOOKUP(D297,ingredientes!B:B,ingredientes!A:A,"não")</f>
        <v>106</v>
      </c>
      <c r="D297" t="s">
        <v>645</v>
      </c>
      <c r="E297" s="93">
        <v>75</v>
      </c>
      <c r="H297">
        <f t="shared" si="14"/>
        <v>163</v>
      </c>
      <c r="I297">
        <f t="shared" si="15"/>
        <v>106</v>
      </c>
      <c r="J297">
        <f t="shared" si="16"/>
        <v>75</v>
      </c>
      <c r="K297">
        <f t="shared" si="17"/>
        <v>269</v>
      </c>
    </row>
    <row r="298" spans="1:11" x14ac:dyDescent="0.2">
      <c r="A298" s="106">
        <f>_xlfn.XLOOKUP(B298,pratos!B:B,pratos!A:A,"não")</f>
        <v>163</v>
      </c>
      <c r="B298" s="116" t="s">
        <v>520</v>
      </c>
      <c r="C298" s="105">
        <f>_xlfn.XLOOKUP(D298,ingredientes!B:B,ingredientes!A:A,"não")</f>
        <v>112</v>
      </c>
      <c r="D298" s="153" t="s">
        <v>521</v>
      </c>
      <c r="E298" s="93">
        <v>30</v>
      </c>
      <c r="H298">
        <f t="shared" si="14"/>
        <v>163</v>
      </c>
      <c r="I298">
        <f t="shared" si="15"/>
        <v>112</v>
      </c>
      <c r="J298">
        <f t="shared" si="16"/>
        <v>30</v>
      </c>
      <c r="K298">
        <f t="shared" si="17"/>
        <v>275</v>
      </c>
    </row>
    <row r="299" spans="1:11" x14ac:dyDescent="0.2">
      <c r="A299" s="106">
        <f>_xlfn.XLOOKUP(B299,pratos!B:B,pratos!A:A,"não")</f>
        <v>163</v>
      </c>
      <c r="B299" s="109" t="s">
        <v>520</v>
      </c>
      <c r="C299" s="105">
        <f>_xlfn.XLOOKUP(D299,ingredientes!B:B,ingredientes!A:A,"não")</f>
        <v>112</v>
      </c>
      <c r="D299" s="153" t="s">
        <v>521</v>
      </c>
      <c r="E299" s="93">
        <v>20</v>
      </c>
      <c r="H299">
        <f t="shared" si="14"/>
        <v>163</v>
      </c>
      <c r="I299">
        <f t="shared" si="15"/>
        <v>112</v>
      </c>
      <c r="J299">
        <f t="shared" si="16"/>
        <v>20</v>
      </c>
      <c r="K299">
        <f t="shared" si="17"/>
        <v>275</v>
      </c>
    </row>
    <row r="300" spans="1:11" x14ac:dyDescent="0.2">
      <c r="A300" s="106">
        <f>_xlfn.XLOOKUP(B300,pratos!B:B,pratos!A:A,"não")</f>
        <v>164</v>
      </c>
      <c r="B300" s="109" t="s">
        <v>526</v>
      </c>
      <c r="C300" s="105">
        <f>_xlfn.XLOOKUP(D300,ingredientes!B:B,ingredientes!A:A,"não")</f>
        <v>106</v>
      </c>
      <c r="D300" t="s">
        <v>645</v>
      </c>
      <c r="E300" s="87">
        <v>100</v>
      </c>
      <c r="H300">
        <f t="shared" si="14"/>
        <v>164</v>
      </c>
      <c r="I300">
        <f t="shared" si="15"/>
        <v>106</v>
      </c>
      <c r="J300">
        <f t="shared" si="16"/>
        <v>100</v>
      </c>
      <c r="K300">
        <f t="shared" si="17"/>
        <v>270</v>
      </c>
    </row>
    <row r="301" spans="1:11" x14ac:dyDescent="0.2">
      <c r="A301" s="106">
        <f>_xlfn.XLOOKUP(B301,pratos!B:B,pratos!A:A,"não")</f>
        <v>164</v>
      </c>
      <c r="B301" s="116" t="s">
        <v>528</v>
      </c>
      <c r="C301" s="105">
        <f>_xlfn.XLOOKUP(D301,ingredientes!B:B,ingredientes!A:A,"não")</f>
        <v>113</v>
      </c>
      <c r="D301" s="174" t="s">
        <v>368</v>
      </c>
      <c r="E301" s="17">
        <v>5</v>
      </c>
      <c r="H301">
        <f t="shared" si="14"/>
        <v>164</v>
      </c>
      <c r="I301">
        <f t="shared" si="15"/>
        <v>113</v>
      </c>
      <c r="J301">
        <f t="shared" si="16"/>
        <v>5</v>
      </c>
      <c r="K301">
        <f t="shared" si="17"/>
        <v>277</v>
      </c>
    </row>
    <row r="302" spans="1:11" x14ac:dyDescent="0.2">
      <c r="A302" s="106">
        <f>_xlfn.XLOOKUP(B302,pratos!B:B,pratos!A:A,"não")</f>
        <v>165</v>
      </c>
      <c r="B302" s="130" t="s">
        <v>448</v>
      </c>
      <c r="C302" s="105">
        <f>_xlfn.XLOOKUP(D302,ingredientes!B:B,ingredientes!A:A,"não")</f>
        <v>106</v>
      </c>
      <c r="D302" t="s">
        <v>645</v>
      </c>
      <c r="E302" s="10">
        <v>50</v>
      </c>
      <c r="H302">
        <f t="shared" si="14"/>
        <v>165</v>
      </c>
      <c r="I302">
        <f t="shared" si="15"/>
        <v>106</v>
      </c>
      <c r="J302">
        <f t="shared" si="16"/>
        <v>50</v>
      </c>
      <c r="K302">
        <f t="shared" si="17"/>
        <v>271</v>
      </c>
    </row>
    <row r="303" spans="1:11" x14ac:dyDescent="0.2">
      <c r="A303" s="106">
        <f>_xlfn.XLOOKUP(B303,pratos!B:B,pratos!A:A,"não")</f>
        <v>165</v>
      </c>
      <c r="B303" s="130" t="s">
        <v>448</v>
      </c>
      <c r="C303" s="105">
        <f>_xlfn.XLOOKUP(D303,ingredientes!B:B,ingredientes!A:A,"não")</f>
        <v>169</v>
      </c>
      <c r="D303" s="30" t="s">
        <v>666</v>
      </c>
      <c r="E303" s="87">
        <v>50</v>
      </c>
      <c r="H303">
        <f t="shared" si="14"/>
        <v>165</v>
      </c>
      <c r="I303">
        <f t="shared" si="15"/>
        <v>169</v>
      </c>
      <c r="J303">
        <f t="shared" si="16"/>
        <v>50</v>
      </c>
      <c r="K303">
        <f t="shared" si="17"/>
        <v>334</v>
      </c>
    </row>
    <row r="304" spans="1:11" x14ac:dyDescent="0.2">
      <c r="A304" s="106">
        <f>_xlfn.XLOOKUP(B304,pratos!B:B,pratos!A:A,"não")</f>
        <v>166</v>
      </c>
      <c r="B304" s="52" t="s">
        <v>309</v>
      </c>
      <c r="C304" s="105">
        <f>_xlfn.XLOOKUP(D304,ingredientes!B:B,ingredientes!A:A,"não")</f>
        <v>94</v>
      </c>
      <c r="D304" s="143" t="s">
        <v>506</v>
      </c>
      <c r="E304" s="87">
        <v>10</v>
      </c>
      <c r="H304">
        <f t="shared" si="14"/>
        <v>166</v>
      </c>
      <c r="I304">
        <f t="shared" si="15"/>
        <v>94</v>
      </c>
      <c r="J304">
        <f t="shared" si="16"/>
        <v>10</v>
      </c>
      <c r="K304">
        <f t="shared" si="17"/>
        <v>260</v>
      </c>
    </row>
    <row r="305" spans="1:11" x14ac:dyDescent="0.2">
      <c r="A305" s="106">
        <f>_xlfn.XLOOKUP(B305,pratos!B:B,pratos!A:A,"não")</f>
        <v>166</v>
      </c>
      <c r="B305" s="52" t="s">
        <v>309</v>
      </c>
      <c r="C305" s="105">
        <f>_xlfn.XLOOKUP(D305,ingredientes!B:B,ingredientes!A:A,"não")</f>
        <v>94</v>
      </c>
      <c r="D305" s="143" t="s">
        <v>506</v>
      </c>
      <c r="E305" s="87">
        <v>5</v>
      </c>
      <c r="H305">
        <f t="shared" si="14"/>
        <v>166</v>
      </c>
      <c r="I305">
        <f t="shared" si="15"/>
        <v>94</v>
      </c>
      <c r="J305">
        <f t="shared" si="16"/>
        <v>5</v>
      </c>
      <c r="K305">
        <f t="shared" si="17"/>
        <v>260</v>
      </c>
    </row>
    <row r="306" spans="1:11" x14ac:dyDescent="0.2">
      <c r="A306" s="106">
        <f>_xlfn.XLOOKUP(B306,pratos!B:B,pratos!A:A,"não")</f>
        <v>166</v>
      </c>
      <c r="B306" s="111" t="s">
        <v>309</v>
      </c>
      <c r="C306" s="105">
        <f>_xlfn.XLOOKUP(D306,ingredientes!B:B,ingredientes!A:A,"não")</f>
        <v>106</v>
      </c>
      <c r="D306" t="s">
        <v>645</v>
      </c>
      <c r="E306" s="10">
        <v>85</v>
      </c>
      <c r="H306">
        <f t="shared" si="14"/>
        <v>166</v>
      </c>
      <c r="I306">
        <f t="shared" si="15"/>
        <v>106</v>
      </c>
      <c r="J306">
        <f t="shared" si="16"/>
        <v>85</v>
      </c>
      <c r="K306">
        <f t="shared" si="17"/>
        <v>272</v>
      </c>
    </row>
    <row r="307" spans="1:11" x14ac:dyDescent="0.2">
      <c r="A307" s="106">
        <f>_xlfn.XLOOKUP(B307,pratos!B:B,pratos!A:A,"não")</f>
        <v>166</v>
      </c>
      <c r="B307" s="111" t="s">
        <v>309</v>
      </c>
      <c r="C307" s="105">
        <f>_xlfn.XLOOKUP(D307,ingredientes!B:B,ingredientes!A:A,"não")</f>
        <v>106</v>
      </c>
      <c r="D307" t="s">
        <v>645</v>
      </c>
      <c r="E307" s="17">
        <v>80</v>
      </c>
      <c r="H307">
        <f t="shared" si="14"/>
        <v>166</v>
      </c>
      <c r="I307">
        <f t="shared" si="15"/>
        <v>106</v>
      </c>
      <c r="J307">
        <f t="shared" si="16"/>
        <v>80</v>
      </c>
      <c r="K307">
        <f t="shared" si="17"/>
        <v>272</v>
      </c>
    </row>
    <row r="308" spans="1:11" x14ac:dyDescent="0.2">
      <c r="A308" s="106">
        <f>_xlfn.XLOOKUP(B308,pratos!B:B,pratos!A:A,"não")</f>
        <v>166</v>
      </c>
      <c r="B308" s="109" t="s">
        <v>309</v>
      </c>
      <c r="C308" s="105">
        <f>_xlfn.XLOOKUP(D308,ingredientes!B:B,ingredientes!A:A,"não")</f>
        <v>106</v>
      </c>
      <c r="D308" t="s">
        <v>645</v>
      </c>
      <c r="E308" s="87">
        <v>100</v>
      </c>
      <c r="H308">
        <f t="shared" si="14"/>
        <v>166</v>
      </c>
      <c r="I308">
        <f t="shared" si="15"/>
        <v>106</v>
      </c>
      <c r="J308">
        <f t="shared" si="16"/>
        <v>100</v>
      </c>
      <c r="K308">
        <f t="shared" si="17"/>
        <v>272</v>
      </c>
    </row>
    <row r="309" spans="1:11" x14ac:dyDescent="0.2">
      <c r="A309" s="106">
        <f>_xlfn.XLOOKUP(B309,pratos!B:B,pratos!A:A,"não")</f>
        <v>166</v>
      </c>
      <c r="B309" s="109" t="s">
        <v>309</v>
      </c>
      <c r="C309" s="105">
        <f>_xlfn.XLOOKUP(D309,ingredientes!B:B,ingredientes!A:A,"não")</f>
        <v>223</v>
      </c>
      <c r="D309" s="152" t="s">
        <v>348</v>
      </c>
      <c r="E309" s="10">
        <v>10</v>
      </c>
      <c r="H309">
        <f t="shared" si="14"/>
        <v>166</v>
      </c>
      <c r="I309">
        <f t="shared" si="15"/>
        <v>223</v>
      </c>
      <c r="J309">
        <f t="shared" si="16"/>
        <v>10</v>
      </c>
      <c r="K309">
        <f t="shared" si="17"/>
        <v>389</v>
      </c>
    </row>
    <row r="310" spans="1:11" x14ac:dyDescent="0.2">
      <c r="A310" s="106">
        <f>_xlfn.XLOOKUP(B310,pratos!B:B,pratos!A:A,"não")</f>
        <v>166</v>
      </c>
      <c r="B310" s="111" t="s">
        <v>309</v>
      </c>
      <c r="C310" s="105">
        <f>_xlfn.XLOOKUP(D310,ingredientes!B:B,ingredientes!A:A,"não")</f>
        <v>225</v>
      </c>
      <c r="D310" s="138" t="s">
        <v>310</v>
      </c>
      <c r="E310" s="10">
        <v>15</v>
      </c>
      <c r="H310">
        <f t="shared" si="14"/>
        <v>166</v>
      </c>
      <c r="I310">
        <f t="shared" si="15"/>
        <v>225</v>
      </c>
      <c r="J310">
        <f t="shared" si="16"/>
        <v>15</v>
      </c>
      <c r="K310">
        <f t="shared" si="17"/>
        <v>391</v>
      </c>
    </row>
    <row r="311" spans="1:11" x14ac:dyDescent="0.2">
      <c r="A311" s="106">
        <f>_xlfn.XLOOKUP(B311,pratos!B:B,pratos!A:A,"não")</f>
        <v>166</v>
      </c>
      <c r="B311" s="111" t="s">
        <v>309</v>
      </c>
      <c r="C311" s="105">
        <f>_xlfn.XLOOKUP(D311,ingredientes!B:B,ingredientes!A:A,"não")</f>
        <v>225</v>
      </c>
      <c r="D311" s="138" t="s">
        <v>310</v>
      </c>
      <c r="E311" s="10">
        <v>20</v>
      </c>
      <c r="H311">
        <f t="shared" si="14"/>
        <v>166</v>
      </c>
      <c r="I311">
        <f t="shared" si="15"/>
        <v>225</v>
      </c>
      <c r="J311">
        <f t="shared" si="16"/>
        <v>20</v>
      </c>
      <c r="K311">
        <f t="shared" si="17"/>
        <v>391</v>
      </c>
    </row>
    <row r="312" spans="1:11" x14ac:dyDescent="0.2">
      <c r="A312" s="106">
        <f>_xlfn.XLOOKUP(B312,pratos!B:B,pratos!A:A,"não")</f>
        <v>167</v>
      </c>
      <c r="B312" s="116" t="s">
        <v>491</v>
      </c>
      <c r="C312" s="105">
        <f>_xlfn.XLOOKUP(D312,ingredientes!B:B,ingredientes!A:A,"não")</f>
        <v>106</v>
      </c>
      <c r="D312" s="30" t="s">
        <v>645</v>
      </c>
      <c r="E312" s="10">
        <v>100</v>
      </c>
      <c r="H312">
        <f t="shared" si="14"/>
        <v>167</v>
      </c>
      <c r="I312">
        <f t="shared" si="15"/>
        <v>106</v>
      </c>
      <c r="J312">
        <f t="shared" si="16"/>
        <v>100</v>
      </c>
      <c r="K312">
        <f t="shared" si="17"/>
        <v>273</v>
      </c>
    </row>
    <row r="313" spans="1:11" x14ac:dyDescent="0.2">
      <c r="A313" s="106">
        <f>_xlfn.XLOOKUP(B313,pratos!B:B,pratos!A:A,"não")</f>
        <v>168</v>
      </c>
      <c r="B313" s="52" t="s">
        <v>68</v>
      </c>
      <c r="C313" s="105">
        <f>_xlfn.XLOOKUP(D313,ingredientes!B:B,ingredientes!A:A,"não")</f>
        <v>106</v>
      </c>
      <c r="D313" t="s">
        <v>645</v>
      </c>
      <c r="E313" s="19">
        <v>100</v>
      </c>
      <c r="H313">
        <f t="shared" si="14"/>
        <v>168</v>
      </c>
      <c r="I313">
        <f t="shared" si="15"/>
        <v>106</v>
      </c>
      <c r="J313">
        <f t="shared" si="16"/>
        <v>100</v>
      </c>
      <c r="K313">
        <f t="shared" si="17"/>
        <v>274</v>
      </c>
    </row>
    <row r="314" spans="1:11" x14ac:dyDescent="0.2">
      <c r="A314" s="106">
        <f>_xlfn.XLOOKUP(B314,pratos!B:B,pratos!A:A,"não")</f>
        <v>169</v>
      </c>
      <c r="B314" s="52" t="s">
        <v>50</v>
      </c>
      <c r="C314" s="105">
        <f>_xlfn.XLOOKUP(D314,ingredientes!B:B,ingredientes!A:A,"não")</f>
        <v>108</v>
      </c>
      <c r="D314" s="138" t="s">
        <v>50</v>
      </c>
      <c r="E314" s="10">
        <v>100</v>
      </c>
      <c r="H314">
        <f t="shared" si="14"/>
        <v>169</v>
      </c>
      <c r="I314">
        <f t="shared" si="15"/>
        <v>108</v>
      </c>
      <c r="J314">
        <f t="shared" si="16"/>
        <v>100</v>
      </c>
      <c r="K314">
        <f t="shared" si="17"/>
        <v>277</v>
      </c>
    </row>
    <row r="315" spans="1:11" x14ac:dyDescent="0.2">
      <c r="A315" s="106">
        <f>_xlfn.XLOOKUP(B315,pratos!B:B,pratos!A:A,"não")</f>
        <v>170</v>
      </c>
      <c r="B315" s="111" t="s">
        <v>305</v>
      </c>
      <c r="C315" s="105">
        <f>_xlfn.XLOOKUP(D315,ingredientes!B:B,ingredientes!A:A,"não")</f>
        <v>106</v>
      </c>
      <c r="D315" s="30" t="s">
        <v>645</v>
      </c>
      <c r="E315" s="17">
        <v>75</v>
      </c>
      <c r="H315">
        <f t="shared" si="14"/>
        <v>170</v>
      </c>
      <c r="I315">
        <f t="shared" si="15"/>
        <v>106</v>
      </c>
      <c r="J315">
        <f t="shared" si="16"/>
        <v>75</v>
      </c>
      <c r="K315">
        <f t="shared" si="17"/>
        <v>276</v>
      </c>
    </row>
    <row r="316" spans="1:11" x14ac:dyDescent="0.2">
      <c r="A316" s="106">
        <f>_xlfn.XLOOKUP(B316,pratos!B:B,pratos!A:A,"não")</f>
        <v>170</v>
      </c>
      <c r="B316" s="111" t="s">
        <v>305</v>
      </c>
      <c r="C316" s="105">
        <f>_xlfn.XLOOKUP(D316,ingredientes!B:B,ingredientes!A:A,"não")</f>
        <v>205</v>
      </c>
      <c r="D316" s="151" t="s">
        <v>141</v>
      </c>
      <c r="E316" s="17">
        <v>15</v>
      </c>
      <c r="H316">
        <f t="shared" si="14"/>
        <v>170</v>
      </c>
      <c r="I316">
        <f t="shared" si="15"/>
        <v>205</v>
      </c>
      <c r="J316">
        <f t="shared" si="16"/>
        <v>15</v>
      </c>
      <c r="K316">
        <f t="shared" si="17"/>
        <v>375</v>
      </c>
    </row>
    <row r="317" spans="1:11" x14ac:dyDescent="0.2">
      <c r="A317" s="106">
        <f>_xlfn.XLOOKUP(B317,pratos!B:B,pratos!A:A,"não")</f>
        <v>171</v>
      </c>
      <c r="B317" s="111" t="s">
        <v>320</v>
      </c>
      <c r="C317" s="105">
        <f>_xlfn.XLOOKUP(D317,ingredientes!B:B,ingredientes!A:A,"não")</f>
        <v>106</v>
      </c>
      <c r="D317" t="s">
        <v>645</v>
      </c>
      <c r="E317" s="10">
        <v>100</v>
      </c>
      <c r="H317">
        <f t="shared" si="14"/>
        <v>171</v>
      </c>
      <c r="I317">
        <f t="shared" si="15"/>
        <v>106</v>
      </c>
      <c r="J317">
        <f t="shared" si="16"/>
        <v>100</v>
      </c>
      <c r="K317">
        <f t="shared" si="17"/>
        <v>277</v>
      </c>
    </row>
    <row r="318" spans="1:11" x14ac:dyDescent="0.2">
      <c r="A318" s="106">
        <f>_xlfn.XLOOKUP(B318,pratos!B:B,pratos!A:A,"não")</f>
        <v>172</v>
      </c>
      <c r="B318" s="111" t="s">
        <v>322</v>
      </c>
      <c r="C318" s="105">
        <f>_xlfn.XLOOKUP(D318,ingredientes!B:B,ingredientes!A:A,"não")</f>
        <v>106</v>
      </c>
      <c r="D318" t="s">
        <v>645</v>
      </c>
      <c r="E318" s="10">
        <v>100</v>
      </c>
      <c r="H318">
        <f t="shared" si="14"/>
        <v>172</v>
      </c>
      <c r="I318">
        <f t="shared" si="15"/>
        <v>106</v>
      </c>
      <c r="J318">
        <f t="shared" si="16"/>
        <v>100</v>
      </c>
      <c r="K318">
        <f t="shared" si="17"/>
        <v>278</v>
      </c>
    </row>
    <row r="319" spans="1:11" x14ac:dyDescent="0.2">
      <c r="A319" s="106">
        <f>_xlfn.XLOOKUP(B319,pratos!B:B,pratos!A:A,"não")</f>
        <v>172</v>
      </c>
      <c r="B319" s="111" t="s">
        <v>327</v>
      </c>
      <c r="C319" s="105">
        <f>_xlfn.XLOOKUP(D319,ingredientes!B:B,ingredientes!A:A,"não")</f>
        <v>109</v>
      </c>
      <c r="D319" t="s">
        <v>643</v>
      </c>
      <c r="E319" s="19">
        <v>100</v>
      </c>
      <c r="H319">
        <f t="shared" si="14"/>
        <v>172</v>
      </c>
      <c r="I319">
        <f t="shared" si="15"/>
        <v>109</v>
      </c>
      <c r="J319">
        <f t="shared" si="16"/>
        <v>100</v>
      </c>
      <c r="K319">
        <f t="shared" si="17"/>
        <v>281</v>
      </c>
    </row>
    <row r="320" spans="1:11" x14ac:dyDescent="0.2">
      <c r="A320" s="106">
        <f>_xlfn.XLOOKUP(B320,pratos!B:B,pratos!A:A,"não")</f>
        <v>173</v>
      </c>
      <c r="B320" s="109" t="s">
        <v>505</v>
      </c>
      <c r="C320" s="105">
        <f>_xlfn.XLOOKUP(D320,ingredientes!B:B,ingredientes!A:A,"não")</f>
        <v>44</v>
      </c>
      <c r="D320" s="143" t="s">
        <v>261</v>
      </c>
      <c r="E320" s="10">
        <v>5</v>
      </c>
      <c r="H320">
        <f t="shared" ref="H320:H383" si="18">A320</f>
        <v>173</v>
      </c>
      <c r="I320">
        <f t="shared" ref="I320:I383" si="19">C320</f>
        <v>44</v>
      </c>
      <c r="J320">
        <f t="shared" ref="J320:J383" si="20">E320</f>
        <v>5</v>
      </c>
      <c r="K320">
        <f t="shared" si="17"/>
        <v>217</v>
      </c>
    </row>
    <row r="321" spans="1:11" x14ac:dyDescent="0.2">
      <c r="A321" s="106">
        <f>_xlfn.XLOOKUP(B321,pratos!B:B,pratos!A:A,"não")</f>
        <v>173</v>
      </c>
      <c r="B321" s="52" t="s">
        <v>505</v>
      </c>
      <c r="C321" s="105">
        <f>_xlfn.XLOOKUP(D321,ingredientes!B:B,ingredientes!A:A,"não")</f>
        <v>94</v>
      </c>
      <c r="D321" s="143" t="s">
        <v>506</v>
      </c>
      <c r="E321" s="10">
        <v>5</v>
      </c>
      <c r="H321">
        <f t="shared" si="18"/>
        <v>173</v>
      </c>
      <c r="I321">
        <f t="shared" si="19"/>
        <v>94</v>
      </c>
      <c r="J321">
        <f t="shared" si="20"/>
        <v>5</v>
      </c>
      <c r="K321">
        <f t="shared" si="17"/>
        <v>267</v>
      </c>
    </row>
    <row r="322" spans="1:11" x14ac:dyDescent="0.2">
      <c r="A322" s="106">
        <f>_xlfn.XLOOKUP(B322,pratos!B:B,pratos!A:A,"não")</f>
        <v>173</v>
      </c>
      <c r="B322" s="109" t="s">
        <v>505</v>
      </c>
      <c r="C322" s="105">
        <f>_xlfn.XLOOKUP(D322,ingredientes!B:B,ingredientes!A:A,"não")</f>
        <v>109</v>
      </c>
      <c r="D322" t="s">
        <v>643</v>
      </c>
      <c r="E322" s="82">
        <v>80</v>
      </c>
      <c r="H322">
        <f t="shared" si="18"/>
        <v>173</v>
      </c>
      <c r="I322">
        <f t="shared" si="19"/>
        <v>109</v>
      </c>
      <c r="J322">
        <f t="shared" si="20"/>
        <v>80</v>
      </c>
      <c r="K322">
        <f t="shared" si="17"/>
        <v>282</v>
      </c>
    </row>
    <row r="323" spans="1:11" x14ac:dyDescent="0.2">
      <c r="A323" s="106">
        <f>_xlfn.XLOOKUP(B323,pratos!B:B,pratos!A:A,"não")</f>
        <v>173</v>
      </c>
      <c r="B323" s="109" t="s">
        <v>505</v>
      </c>
      <c r="C323" s="105">
        <f>_xlfn.XLOOKUP(D323,ingredientes!B:B,ingredientes!A:A,"não")</f>
        <v>223</v>
      </c>
      <c r="D323" s="152" t="s">
        <v>348</v>
      </c>
      <c r="E323" s="10">
        <v>10</v>
      </c>
      <c r="H323">
        <f t="shared" si="18"/>
        <v>173</v>
      </c>
      <c r="I323">
        <f t="shared" si="19"/>
        <v>223</v>
      </c>
      <c r="J323">
        <f t="shared" si="20"/>
        <v>10</v>
      </c>
      <c r="K323">
        <f t="shared" ref="K323:K386" si="21">H323+I323</f>
        <v>396</v>
      </c>
    </row>
    <row r="324" spans="1:11" x14ac:dyDescent="0.2">
      <c r="A324" s="106">
        <f>_xlfn.XLOOKUP(B324,pratos!B:B,pratos!A:A,"não")</f>
        <v>174</v>
      </c>
      <c r="B324" s="130" t="s">
        <v>480</v>
      </c>
      <c r="C324" s="105">
        <f>_xlfn.XLOOKUP(D324,ingredientes!B:B,ingredientes!A:A,"não")</f>
        <v>109</v>
      </c>
      <c r="D324" t="s">
        <v>643</v>
      </c>
      <c r="E324" s="68">
        <v>100</v>
      </c>
      <c r="H324">
        <f t="shared" si="18"/>
        <v>174</v>
      </c>
      <c r="I324">
        <f t="shared" si="19"/>
        <v>109</v>
      </c>
      <c r="J324">
        <f t="shared" si="20"/>
        <v>100</v>
      </c>
      <c r="K324">
        <f t="shared" si="21"/>
        <v>283</v>
      </c>
    </row>
    <row r="325" spans="1:11" x14ac:dyDescent="0.2">
      <c r="A325" s="106">
        <f>_xlfn.XLOOKUP(B325,pratos!B:B,pratos!A:A,"não")</f>
        <v>174</v>
      </c>
      <c r="B325" s="52" t="s">
        <v>480</v>
      </c>
      <c r="C325" s="105">
        <f>_xlfn.XLOOKUP(D325,ingredientes!B:B,ingredientes!A:A,"não")</f>
        <v>113</v>
      </c>
      <c r="D325" s="80" t="s">
        <v>368</v>
      </c>
      <c r="E325" s="10">
        <v>5</v>
      </c>
      <c r="H325">
        <f t="shared" si="18"/>
        <v>174</v>
      </c>
      <c r="I325">
        <f t="shared" si="19"/>
        <v>113</v>
      </c>
      <c r="J325">
        <f t="shared" si="20"/>
        <v>5</v>
      </c>
      <c r="K325">
        <f t="shared" si="21"/>
        <v>287</v>
      </c>
    </row>
    <row r="326" spans="1:11" x14ac:dyDescent="0.2">
      <c r="A326" s="106">
        <f>_xlfn.XLOOKUP(B326,pratos!B:B,pratos!A:A,"não")</f>
        <v>175</v>
      </c>
      <c r="B326" s="52" t="s">
        <v>404</v>
      </c>
      <c r="C326" s="105">
        <f>_xlfn.XLOOKUP(D326,ingredientes!B:B,ingredientes!A:A,"não")</f>
        <v>116</v>
      </c>
      <c r="D326" s="9" t="s">
        <v>12</v>
      </c>
      <c r="E326" s="10">
        <v>30</v>
      </c>
      <c r="H326">
        <f t="shared" si="18"/>
        <v>175</v>
      </c>
      <c r="I326">
        <f t="shared" si="19"/>
        <v>116</v>
      </c>
      <c r="J326">
        <f t="shared" si="20"/>
        <v>30</v>
      </c>
      <c r="K326">
        <f t="shared" si="21"/>
        <v>291</v>
      </c>
    </row>
    <row r="327" spans="1:11" x14ac:dyDescent="0.2">
      <c r="A327" s="106">
        <f>_xlfn.XLOOKUP(B327,pratos!B:B,pratos!A:A,"não")</f>
        <v>175</v>
      </c>
      <c r="B327" s="52" t="s">
        <v>404</v>
      </c>
      <c r="C327" s="105">
        <f>_xlfn.XLOOKUP(D327,ingredientes!B:B,ingredientes!A:A,"não")</f>
        <v>322</v>
      </c>
      <c r="D327" s="9" t="s">
        <v>299</v>
      </c>
      <c r="E327" s="10">
        <v>70</v>
      </c>
      <c r="H327">
        <f t="shared" si="18"/>
        <v>175</v>
      </c>
      <c r="I327">
        <f t="shared" si="19"/>
        <v>322</v>
      </c>
      <c r="J327">
        <f t="shared" si="20"/>
        <v>70</v>
      </c>
      <c r="K327">
        <f t="shared" si="21"/>
        <v>497</v>
      </c>
    </row>
    <row r="328" spans="1:11" x14ac:dyDescent="0.2">
      <c r="A328" s="106">
        <f>_xlfn.XLOOKUP(B328,pratos!B:B,pratos!A:A,"não")</f>
        <v>175</v>
      </c>
      <c r="B328" s="52" t="s">
        <v>404</v>
      </c>
      <c r="C328" s="105">
        <f>_xlfn.XLOOKUP(D328,ingredientes!B:B,ingredientes!A:A,"não")</f>
        <v>322</v>
      </c>
      <c r="D328" s="9" t="s">
        <v>299</v>
      </c>
      <c r="E328" s="10">
        <v>30</v>
      </c>
      <c r="H328">
        <f t="shared" si="18"/>
        <v>175</v>
      </c>
      <c r="I328">
        <f t="shared" si="19"/>
        <v>322</v>
      </c>
      <c r="J328">
        <f t="shared" si="20"/>
        <v>30</v>
      </c>
      <c r="K328">
        <f t="shared" si="21"/>
        <v>497</v>
      </c>
    </row>
    <row r="329" spans="1:11" x14ac:dyDescent="0.2">
      <c r="A329" s="106">
        <f>_xlfn.XLOOKUP(B329,pratos!B:B,pratos!A:A,"não")</f>
        <v>176</v>
      </c>
      <c r="B329" s="111" t="s">
        <v>97</v>
      </c>
      <c r="C329" s="105">
        <f>_xlfn.XLOOKUP(D329,ingredientes!B:B,ingredientes!A:A,"não")</f>
        <v>117</v>
      </c>
      <c r="D329" s="30" t="s">
        <v>648</v>
      </c>
      <c r="E329" s="27">
        <v>100</v>
      </c>
      <c r="H329">
        <f t="shared" si="18"/>
        <v>176</v>
      </c>
      <c r="I329">
        <f t="shared" si="19"/>
        <v>117</v>
      </c>
      <c r="J329">
        <f t="shared" si="20"/>
        <v>100</v>
      </c>
      <c r="K329">
        <f t="shared" si="21"/>
        <v>293</v>
      </c>
    </row>
    <row r="330" spans="1:11" x14ac:dyDescent="0.2">
      <c r="A330" s="106">
        <f>_xlfn.XLOOKUP(B330,pratos!B:B,pratos!A:A,"não")</f>
        <v>177</v>
      </c>
      <c r="B330" s="52" t="s">
        <v>49</v>
      </c>
      <c r="C330" s="105">
        <f>_xlfn.XLOOKUP(D330,ingredientes!B:B,ingredientes!A:A,"não")</f>
        <v>119</v>
      </c>
      <c r="D330" s="9" t="s">
        <v>49</v>
      </c>
      <c r="E330" s="10">
        <v>100</v>
      </c>
      <c r="H330">
        <f t="shared" si="18"/>
        <v>177</v>
      </c>
      <c r="I330">
        <f t="shared" si="19"/>
        <v>119</v>
      </c>
      <c r="J330">
        <f t="shared" si="20"/>
        <v>100</v>
      </c>
      <c r="K330">
        <f t="shared" si="21"/>
        <v>296</v>
      </c>
    </row>
    <row r="331" spans="1:11" x14ac:dyDescent="0.2">
      <c r="A331" s="106">
        <f>_xlfn.XLOOKUP(B331,pratos!B:B,pratos!A:A,"não")</f>
        <v>178</v>
      </c>
      <c r="B331" s="134" t="s">
        <v>497</v>
      </c>
      <c r="C331" s="105">
        <f>_xlfn.XLOOKUP(D331,ingredientes!B:B,ingredientes!A:A,"não")</f>
        <v>125</v>
      </c>
      <c r="D331" s="30" t="s">
        <v>332</v>
      </c>
      <c r="E331" s="31">
        <v>55</v>
      </c>
      <c r="H331">
        <f t="shared" si="18"/>
        <v>178</v>
      </c>
      <c r="I331">
        <f t="shared" si="19"/>
        <v>125</v>
      </c>
      <c r="J331">
        <f t="shared" si="20"/>
        <v>55</v>
      </c>
      <c r="K331">
        <f t="shared" si="21"/>
        <v>303</v>
      </c>
    </row>
    <row r="332" spans="1:11" x14ac:dyDescent="0.2">
      <c r="A332" s="106">
        <f>_xlfn.XLOOKUP(B332,pratos!B:B,pratos!A:A,"não")</f>
        <v>178</v>
      </c>
      <c r="B332" s="134" t="s">
        <v>497</v>
      </c>
      <c r="C332" s="105">
        <f>_xlfn.XLOOKUP(D332,ingredientes!B:B,ingredientes!A:A,"não")</f>
        <v>177</v>
      </c>
      <c r="D332" s="33" t="s">
        <v>6</v>
      </c>
      <c r="E332" s="34">
        <v>85</v>
      </c>
      <c r="H332">
        <f t="shared" si="18"/>
        <v>178</v>
      </c>
      <c r="I332">
        <f t="shared" si="19"/>
        <v>177</v>
      </c>
      <c r="J332">
        <f t="shared" si="20"/>
        <v>85</v>
      </c>
      <c r="K332">
        <f t="shared" si="21"/>
        <v>355</v>
      </c>
    </row>
    <row r="333" spans="1:11" x14ac:dyDescent="0.2">
      <c r="A333" s="106">
        <f>_xlfn.XLOOKUP(B333,pratos!B:B,pratos!A:A,"não")</f>
        <v>179</v>
      </c>
      <c r="B333" s="111" t="s">
        <v>331</v>
      </c>
      <c r="C333" s="105">
        <f>_xlfn.XLOOKUP(D333,ingredientes!B:B,ingredientes!A:A,"não")</f>
        <v>84</v>
      </c>
      <c r="D333" s="30" t="s">
        <v>635</v>
      </c>
      <c r="E333" s="19">
        <v>60</v>
      </c>
      <c r="H333">
        <f t="shared" si="18"/>
        <v>179</v>
      </c>
      <c r="I333">
        <f t="shared" si="19"/>
        <v>84</v>
      </c>
      <c r="J333">
        <f t="shared" si="20"/>
        <v>60</v>
      </c>
      <c r="K333">
        <f t="shared" si="21"/>
        <v>263</v>
      </c>
    </row>
    <row r="334" spans="1:11" x14ac:dyDescent="0.2">
      <c r="A334" s="106">
        <f>_xlfn.XLOOKUP(B334,pratos!B:B,pratos!A:A,"não")</f>
        <v>179</v>
      </c>
      <c r="B334" s="111" t="s">
        <v>331</v>
      </c>
      <c r="C334" s="105">
        <f>_xlfn.XLOOKUP(D334,ingredientes!B:B,ingredientes!A:A,"não")</f>
        <v>125</v>
      </c>
      <c r="D334" s="30" t="s">
        <v>332</v>
      </c>
      <c r="E334" s="31">
        <v>65</v>
      </c>
      <c r="H334">
        <f t="shared" si="18"/>
        <v>179</v>
      </c>
      <c r="I334">
        <f t="shared" si="19"/>
        <v>125</v>
      </c>
      <c r="J334">
        <f t="shared" si="20"/>
        <v>65</v>
      </c>
      <c r="K334">
        <f t="shared" si="21"/>
        <v>304</v>
      </c>
    </row>
    <row r="335" spans="1:11" x14ac:dyDescent="0.2">
      <c r="A335" s="106">
        <f>_xlfn.XLOOKUP(B335,pratos!B:B,pratos!A:A,"não")</f>
        <v>179</v>
      </c>
      <c r="B335" s="111" t="s">
        <v>331</v>
      </c>
      <c r="C335" s="105">
        <f>_xlfn.XLOOKUP(D335,ingredientes!B:B,ingredientes!A:A,"não")</f>
        <v>125</v>
      </c>
      <c r="D335" s="30" t="s">
        <v>332</v>
      </c>
      <c r="E335" s="31">
        <v>90</v>
      </c>
      <c r="H335">
        <f t="shared" si="18"/>
        <v>179</v>
      </c>
      <c r="I335">
        <f t="shared" si="19"/>
        <v>125</v>
      </c>
      <c r="J335">
        <f t="shared" si="20"/>
        <v>90</v>
      </c>
      <c r="K335">
        <f t="shared" si="21"/>
        <v>304</v>
      </c>
    </row>
    <row r="336" spans="1:11" x14ac:dyDescent="0.2">
      <c r="A336" s="106">
        <f>_xlfn.XLOOKUP(B336,pratos!B:B,pratos!A:A,"não")</f>
        <v>179</v>
      </c>
      <c r="B336" s="111" t="s">
        <v>331</v>
      </c>
      <c r="C336" s="105">
        <f>_xlfn.XLOOKUP(D336,ingredientes!B:B,ingredientes!A:A,"não")</f>
        <v>177</v>
      </c>
      <c r="D336" s="33" t="s">
        <v>6</v>
      </c>
      <c r="E336" s="34">
        <v>100</v>
      </c>
      <c r="H336">
        <f t="shared" si="18"/>
        <v>179</v>
      </c>
      <c r="I336">
        <f t="shared" si="19"/>
        <v>177</v>
      </c>
      <c r="J336">
        <f t="shared" si="20"/>
        <v>100</v>
      </c>
      <c r="K336">
        <f t="shared" si="21"/>
        <v>356</v>
      </c>
    </row>
    <row r="337" spans="1:11" x14ac:dyDescent="0.2">
      <c r="A337" s="106">
        <f>_xlfn.XLOOKUP(B337,pratos!B:B,pratos!A:A,"não")</f>
        <v>179</v>
      </c>
      <c r="B337" s="111" t="s">
        <v>331</v>
      </c>
      <c r="C337" s="105">
        <f>_xlfn.XLOOKUP(D337,ingredientes!B:B,ingredientes!A:A,"não")</f>
        <v>177</v>
      </c>
      <c r="D337" s="33" t="s">
        <v>6</v>
      </c>
      <c r="E337" s="34">
        <v>135</v>
      </c>
      <c r="H337">
        <f t="shared" si="18"/>
        <v>179</v>
      </c>
      <c r="I337">
        <f t="shared" si="19"/>
        <v>177</v>
      </c>
      <c r="J337">
        <f t="shared" si="20"/>
        <v>135</v>
      </c>
      <c r="K337">
        <f t="shared" si="21"/>
        <v>356</v>
      </c>
    </row>
    <row r="338" spans="1:11" x14ac:dyDescent="0.2">
      <c r="A338" s="106">
        <f>_xlfn.XLOOKUP(B338,pratos!B:B,pratos!A:A,"não")</f>
        <v>179</v>
      </c>
      <c r="B338" s="111" t="s">
        <v>331</v>
      </c>
      <c r="C338" s="105">
        <f>_xlfn.XLOOKUP(D338,ingredientes!B:B,ingredientes!A:A,"não")</f>
        <v>197</v>
      </c>
      <c r="D338" s="30" t="s">
        <v>109</v>
      </c>
      <c r="E338" s="32">
        <v>5</v>
      </c>
      <c r="H338">
        <f t="shared" si="18"/>
        <v>179</v>
      </c>
      <c r="I338">
        <f t="shared" si="19"/>
        <v>197</v>
      </c>
      <c r="J338">
        <f t="shared" si="20"/>
        <v>5</v>
      </c>
      <c r="K338">
        <f t="shared" si="21"/>
        <v>376</v>
      </c>
    </row>
    <row r="339" spans="1:11" x14ac:dyDescent="0.2">
      <c r="A339" s="106">
        <f>_xlfn.XLOOKUP(B339,pratos!B:B,pratos!A:A,"não")</f>
        <v>179</v>
      </c>
      <c r="B339" s="111" t="s">
        <v>331</v>
      </c>
      <c r="C339" s="105">
        <f>_xlfn.XLOOKUP(D339,ingredientes!B:B,ingredientes!A:A,"não")</f>
        <v>197</v>
      </c>
      <c r="D339" s="30" t="s">
        <v>109</v>
      </c>
      <c r="E339" s="32">
        <v>6.6</v>
      </c>
      <c r="H339">
        <f t="shared" si="18"/>
        <v>179</v>
      </c>
      <c r="I339">
        <f t="shared" si="19"/>
        <v>197</v>
      </c>
      <c r="J339">
        <f t="shared" si="20"/>
        <v>6.6</v>
      </c>
      <c r="K339">
        <f t="shared" si="21"/>
        <v>376</v>
      </c>
    </row>
    <row r="340" spans="1:11" x14ac:dyDescent="0.2">
      <c r="A340" s="106">
        <f>_xlfn.XLOOKUP(B340,pratos!B:B,pratos!A:A,"não")</f>
        <v>179</v>
      </c>
      <c r="B340" s="111" t="s">
        <v>331</v>
      </c>
      <c r="C340" s="105">
        <f>_xlfn.XLOOKUP(D340,ingredientes!B:B,ingredientes!A:A,"não")</f>
        <v>315</v>
      </c>
      <c r="D340" s="30" t="s">
        <v>110</v>
      </c>
      <c r="E340" s="31">
        <v>8</v>
      </c>
      <c r="H340">
        <f t="shared" si="18"/>
        <v>179</v>
      </c>
      <c r="I340">
        <f t="shared" si="19"/>
        <v>315</v>
      </c>
      <c r="J340">
        <f t="shared" si="20"/>
        <v>8</v>
      </c>
      <c r="K340">
        <f t="shared" si="21"/>
        <v>494</v>
      </c>
    </row>
    <row r="341" spans="1:11" x14ac:dyDescent="0.2">
      <c r="A341" s="106">
        <f>_xlfn.XLOOKUP(B341,pratos!B:B,pratos!A:A,"não")</f>
        <v>179</v>
      </c>
      <c r="B341" s="111" t="s">
        <v>331</v>
      </c>
      <c r="C341" s="105">
        <f>_xlfn.XLOOKUP(D341,ingredientes!B:B,ingredientes!A:A,"não")</f>
        <v>315</v>
      </c>
      <c r="D341" s="30" t="s">
        <v>110</v>
      </c>
      <c r="E341" s="31">
        <v>11</v>
      </c>
      <c r="H341">
        <f t="shared" si="18"/>
        <v>179</v>
      </c>
      <c r="I341">
        <f t="shared" si="19"/>
        <v>315</v>
      </c>
      <c r="J341">
        <f t="shared" si="20"/>
        <v>11</v>
      </c>
      <c r="K341">
        <f t="shared" si="21"/>
        <v>494</v>
      </c>
    </row>
    <row r="342" spans="1:11" x14ac:dyDescent="0.2">
      <c r="A342" s="106">
        <f>_xlfn.XLOOKUP(B342,pratos!B:B,pratos!A:A,"não")</f>
        <v>180</v>
      </c>
      <c r="B342" s="109" t="s">
        <v>256</v>
      </c>
      <c r="C342" s="105">
        <f>_xlfn.XLOOKUP(D342,ingredientes!B:B,ingredientes!A:A,"não")</f>
        <v>301</v>
      </c>
      <c r="D342" s="30" t="s">
        <v>698</v>
      </c>
      <c r="E342" s="19">
        <v>100</v>
      </c>
      <c r="H342">
        <f t="shared" si="18"/>
        <v>180</v>
      </c>
      <c r="I342">
        <f t="shared" si="19"/>
        <v>301</v>
      </c>
      <c r="J342">
        <f t="shared" si="20"/>
        <v>100</v>
      </c>
      <c r="K342">
        <f t="shared" si="21"/>
        <v>481</v>
      </c>
    </row>
    <row r="343" spans="1:11" x14ac:dyDescent="0.2">
      <c r="A343" s="106">
        <f>_xlfn.XLOOKUP(B343,pratos!B:B,pratos!A:A,"não")</f>
        <v>181</v>
      </c>
      <c r="B343" s="111" t="s">
        <v>321</v>
      </c>
      <c r="C343" s="105">
        <f>_xlfn.XLOOKUP(D343,ingredientes!B:B,ingredientes!A:A,"não")</f>
        <v>90</v>
      </c>
      <c r="D343" s="30" t="s">
        <v>639</v>
      </c>
      <c r="E343" s="10">
        <v>120</v>
      </c>
      <c r="H343">
        <f t="shared" si="18"/>
        <v>181</v>
      </c>
      <c r="I343">
        <f t="shared" si="19"/>
        <v>90</v>
      </c>
      <c r="J343">
        <f t="shared" si="20"/>
        <v>120</v>
      </c>
      <c r="K343">
        <f t="shared" si="21"/>
        <v>271</v>
      </c>
    </row>
    <row r="344" spans="1:11" x14ac:dyDescent="0.2">
      <c r="A344" s="106">
        <f>_xlfn.XLOOKUP(B344,pratos!B:B,pratos!A:A,"não")</f>
        <v>182</v>
      </c>
      <c r="B344" s="111" t="s">
        <v>307</v>
      </c>
      <c r="C344" s="105">
        <f>_xlfn.XLOOKUP(D344,ingredientes!B:B,ingredientes!A:A,"não")</f>
        <v>90</v>
      </c>
      <c r="D344" t="s">
        <v>639</v>
      </c>
      <c r="E344" s="17">
        <v>120</v>
      </c>
      <c r="H344">
        <f t="shared" si="18"/>
        <v>182</v>
      </c>
      <c r="I344">
        <f t="shared" si="19"/>
        <v>90</v>
      </c>
      <c r="J344">
        <f t="shared" si="20"/>
        <v>120</v>
      </c>
      <c r="K344">
        <f t="shared" si="21"/>
        <v>272</v>
      </c>
    </row>
    <row r="345" spans="1:11" x14ac:dyDescent="0.2">
      <c r="A345" s="106">
        <f>_xlfn.XLOOKUP(B345,pratos!B:B,pratos!A:A,"não")</f>
        <v>182</v>
      </c>
      <c r="B345" s="111" t="s">
        <v>307</v>
      </c>
      <c r="C345" s="105">
        <f>_xlfn.XLOOKUP(D345,ingredientes!B:B,ingredientes!A:A,"não")</f>
        <v>210</v>
      </c>
      <c r="D345" t="s">
        <v>674</v>
      </c>
      <c r="E345" s="17">
        <v>20</v>
      </c>
      <c r="H345">
        <f t="shared" si="18"/>
        <v>182</v>
      </c>
      <c r="I345">
        <f t="shared" si="19"/>
        <v>210</v>
      </c>
      <c r="J345">
        <f t="shared" si="20"/>
        <v>20</v>
      </c>
      <c r="K345">
        <f t="shared" si="21"/>
        <v>392</v>
      </c>
    </row>
    <row r="346" spans="1:11" x14ac:dyDescent="0.2">
      <c r="A346" s="106">
        <f>_xlfn.XLOOKUP(B346,pratos!B:B,pratos!A:A,"não")</f>
        <v>183</v>
      </c>
      <c r="B346" s="114" t="s">
        <v>300</v>
      </c>
      <c r="C346" s="105">
        <f>_xlfn.XLOOKUP(D346,ingredientes!B:B,ingredientes!A:A,"não")</f>
        <v>90</v>
      </c>
      <c r="D346" t="s">
        <v>639</v>
      </c>
      <c r="E346" s="10">
        <v>120</v>
      </c>
      <c r="H346">
        <f t="shared" si="18"/>
        <v>183</v>
      </c>
      <c r="I346">
        <f t="shared" si="19"/>
        <v>90</v>
      </c>
      <c r="J346">
        <f t="shared" si="20"/>
        <v>120</v>
      </c>
      <c r="K346">
        <f t="shared" si="21"/>
        <v>273</v>
      </c>
    </row>
    <row r="347" spans="1:11" x14ac:dyDescent="0.2">
      <c r="A347" s="106">
        <f>_xlfn.XLOOKUP(B347,pratos!B:B,pratos!A:A,"não")</f>
        <v>183</v>
      </c>
      <c r="B347" s="111" t="s">
        <v>300</v>
      </c>
      <c r="C347" s="105">
        <f>_xlfn.XLOOKUP(D347,ingredientes!B:B,ingredientes!A:A,"não")</f>
        <v>90</v>
      </c>
      <c r="D347" t="s">
        <v>639</v>
      </c>
      <c r="E347" s="10">
        <v>50</v>
      </c>
      <c r="H347">
        <f t="shared" si="18"/>
        <v>183</v>
      </c>
      <c r="I347">
        <f t="shared" si="19"/>
        <v>90</v>
      </c>
      <c r="J347">
        <f t="shared" si="20"/>
        <v>50</v>
      </c>
      <c r="K347">
        <f t="shared" si="21"/>
        <v>273</v>
      </c>
    </row>
    <row r="348" spans="1:11" x14ac:dyDescent="0.2">
      <c r="A348" s="106">
        <f>_xlfn.XLOOKUP(B348,pratos!B:B,pratos!A:A,"não")</f>
        <v>183</v>
      </c>
      <c r="B348" s="111" t="s">
        <v>300</v>
      </c>
      <c r="C348" s="105">
        <f>_xlfn.XLOOKUP(D348,ingredientes!B:B,ingredientes!A:A,"não")</f>
        <v>90</v>
      </c>
      <c r="D348" t="s">
        <v>639</v>
      </c>
      <c r="E348" s="10">
        <v>100</v>
      </c>
      <c r="H348">
        <f t="shared" si="18"/>
        <v>183</v>
      </c>
      <c r="I348">
        <f t="shared" si="19"/>
        <v>90</v>
      </c>
      <c r="J348">
        <f t="shared" si="20"/>
        <v>100</v>
      </c>
      <c r="K348">
        <f t="shared" si="21"/>
        <v>273</v>
      </c>
    </row>
    <row r="349" spans="1:11" x14ac:dyDescent="0.2">
      <c r="A349" s="106">
        <f>_xlfn.XLOOKUP(B349,pratos!B:B,pratos!A:A,"não")</f>
        <v>183</v>
      </c>
      <c r="B349" s="111" t="s">
        <v>300</v>
      </c>
      <c r="C349" s="105">
        <f>_xlfn.XLOOKUP(D349,ingredientes!B:B,ingredientes!A:A,"não")</f>
        <v>210</v>
      </c>
      <c r="D349" t="s">
        <v>674</v>
      </c>
      <c r="E349" s="17">
        <v>20</v>
      </c>
      <c r="H349">
        <f t="shared" si="18"/>
        <v>183</v>
      </c>
      <c r="I349">
        <f t="shared" si="19"/>
        <v>210</v>
      </c>
      <c r="J349">
        <f t="shared" si="20"/>
        <v>20</v>
      </c>
      <c r="K349">
        <f t="shared" si="21"/>
        <v>393</v>
      </c>
    </row>
    <row r="350" spans="1:11" x14ac:dyDescent="0.2">
      <c r="A350" s="106">
        <f>_xlfn.XLOOKUP(B350,pratos!B:B,pratos!A:A,"não")</f>
        <v>184</v>
      </c>
      <c r="B350" s="111" t="s">
        <v>126</v>
      </c>
      <c r="C350" s="105">
        <f>_xlfn.XLOOKUP(D350,ingredientes!B:B,ingredientes!A:A,"não")</f>
        <v>122</v>
      </c>
      <c r="D350" s="149" t="s">
        <v>126</v>
      </c>
      <c r="E350" s="19">
        <v>80</v>
      </c>
      <c r="H350">
        <f t="shared" si="18"/>
        <v>184</v>
      </c>
      <c r="I350">
        <f t="shared" si="19"/>
        <v>122</v>
      </c>
      <c r="J350">
        <f t="shared" si="20"/>
        <v>80</v>
      </c>
      <c r="K350">
        <f t="shared" si="21"/>
        <v>306</v>
      </c>
    </row>
    <row r="351" spans="1:11" x14ac:dyDescent="0.2">
      <c r="A351" s="106">
        <f>_xlfn.XLOOKUP(B351,pratos!B:B,pratos!A:A,"não")</f>
        <v>185</v>
      </c>
      <c r="B351" s="52" t="s">
        <v>551</v>
      </c>
      <c r="C351" s="105">
        <f>_xlfn.XLOOKUP(D351,ingredientes!B:B,ingredientes!A:A,"não")</f>
        <v>124</v>
      </c>
      <c r="D351" t="s">
        <v>650</v>
      </c>
      <c r="E351" s="10">
        <v>180</v>
      </c>
      <c r="H351">
        <f t="shared" si="18"/>
        <v>185</v>
      </c>
      <c r="I351">
        <f t="shared" si="19"/>
        <v>124</v>
      </c>
      <c r="J351">
        <f t="shared" si="20"/>
        <v>180</v>
      </c>
      <c r="K351">
        <f t="shared" si="21"/>
        <v>309</v>
      </c>
    </row>
    <row r="352" spans="1:11" x14ac:dyDescent="0.2">
      <c r="A352" s="106">
        <f>_xlfn.XLOOKUP(B352,pratos!B:B,pratos!A:A,"não")</f>
        <v>185</v>
      </c>
      <c r="B352" s="116" t="s">
        <v>551</v>
      </c>
      <c r="C352" s="105">
        <f>_xlfn.XLOOKUP(D352,ingredientes!B:B,ingredientes!A:A,"não")</f>
        <v>124</v>
      </c>
      <c r="D352" t="s">
        <v>650</v>
      </c>
      <c r="E352" s="32">
        <v>50</v>
      </c>
      <c r="H352">
        <f t="shared" si="18"/>
        <v>185</v>
      </c>
      <c r="I352">
        <f t="shared" si="19"/>
        <v>124</v>
      </c>
      <c r="J352">
        <f t="shared" si="20"/>
        <v>50</v>
      </c>
      <c r="K352">
        <f t="shared" si="21"/>
        <v>309</v>
      </c>
    </row>
    <row r="353" spans="1:11" x14ac:dyDescent="0.2">
      <c r="A353" s="106">
        <f>_xlfn.XLOOKUP(B353,pratos!B:B,pratos!A:A,"não")</f>
        <v>185</v>
      </c>
      <c r="B353" s="52" t="s">
        <v>551</v>
      </c>
      <c r="C353" s="105">
        <f>_xlfn.XLOOKUP(D353,ingredientes!B:B,ingredientes!A:A,"não")</f>
        <v>124</v>
      </c>
      <c r="D353" t="s">
        <v>650</v>
      </c>
      <c r="E353" s="32">
        <v>100</v>
      </c>
      <c r="H353">
        <f t="shared" si="18"/>
        <v>185</v>
      </c>
      <c r="I353">
        <f t="shared" si="19"/>
        <v>124</v>
      </c>
      <c r="J353">
        <f t="shared" si="20"/>
        <v>100</v>
      </c>
      <c r="K353">
        <f t="shared" si="21"/>
        <v>309</v>
      </c>
    </row>
    <row r="354" spans="1:11" x14ac:dyDescent="0.2">
      <c r="A354" s="106">
        <f>_xlfn.XLOOKUP(B354,pratos!B:B,pratos!A:A,"não")</f>
        <v>186</v>
      </c>
      <c r="B354" s="52" t="s">
        <v>259</v>
      </c>
      <c r="C354" s="105">
        <f>_xlfn.XLOOKUP(D354,ingredientes!B:B,ingredientes!A:A,"não")</f>
        <v>23</v>
      </c>
      <c r="D354" t="s">
        <v>608</v>
      </c>
      <c r="E354" s="10">
        <v>70</v>
      </c>
      <c r="H354">
        <f t="shared" si="18"/>
        <v>186</v>
      </c>
      <c r="I354">
        <f t="shared" si="19"/>
        <v>23</v>
      </c>
      <c r="J354">
        <f t="shared" si="20"/>
        <v>70</v>
      </c>
      <c r="K354">
        <f t="shared" si="21"/>
        <v>209</v>
      </c>
    </row>
    <row r="355" spans="1:11" x14ac:dyDescent="0.2">
      <c r="A355" s="106">
        <f>_xlfn.XLOOKUP(B355,pratos!B:B,pratos!A:A,"não")</f>
        <v>186</v>
      </c>
      <c r="B355" s="52" t="s">
        <v>259</v>
      </c>
      <c r="C355" s="105">
        <f>_xlfn.XLOOKUP(D355,ingredientes!B:B,ingredientes!A:A,"não")</f>
        <v>84</v>
      </c>
      <c r="D355" t="s">
        <v>635</v>
      </c>
      <c r="E355" s="19">
        <v>70</v>
      </c>
      <c r="H355">
        <f t="shared" si="18"/>
        <v>186</v>
      </c>
      <c r="I355">
        <f t="shared" si="19"/>
        <v>84</v>
      </c>
      <c r="J355">
        <f t="shared" si="20"/>
        <v>70</v>
      </c>
      <c r="K355">
        <f t="shared" si="21"/>
        <v>270</v>
      </c>
    </row>
    <row r="356" spans="1:11" x14ac:dyDescent="0.2">
      <c r="A356" s="106">
        <f>_xlfn.XLOOKUP(B356,pratos!B:B,pratos!A:A,"não")</f>
        <v>187</v>
      </c>
      <c r="B356" s="124" t="s">
        <v>380</v>
      </c>
      <c r="C356" s="105">
        <f>_xlfn.XLOOKUP(D356,ingredientes!B:B,ingredientes!A:A,"não")</f>
        <v>130</v>
      </c>
      <c r="D356" t="s">
        <v>652</v>
      </c>
      <c r="E356" s="10">
        <v>100</v>
      </c>
      <c r="H356">
        <f t="shared" si="18"/>
        <v>187</v>
      </c>
      <c r="I356">
        <f t="shared" si="19"/>
        <v>130</v>
      </c>
      <c r="J356">
        <f t="shared" si="20"/>
        <v>100</v>
      </c>
      <c r="K356">
        <f t="shared" si="21"/>
        <v>317</v>
      </c>
    </row>
    <row r="357" spans="1:11" x14ac:dyDescent="0.2">
      <c r="A357" s="106">
        <f>_xlfn.XLOOKUP(B357,pratos!B:B,pratos!A:A,"não")</f>
        <v>188</v>
      </c>
      <c r="B357" s="116" t="s">
        <v>489</v>
      </c>
      <c r="C357" s="105">
        <f>_xlfn.XLOOKUP(D357,ingredientes!B:B,ingredientes!A:A,"não")</f>
        <v>131</v>
      </c>
      <c r="D357" s="151" t="s">
        <v>490</v>
      </c>
      <c r="E357" s="31">
        <v>100</v>
      </c>
      <c r="H357">
        <f t="shared" si="18"/>
        <v>188</v>
      </c>
      <c r="I357">
        <f t="shared" si="19"/>
        <v>131</v>
      </c>
      <c r="J357">
        <f t="shared" si="20"/>
        <v>100</v>
      </c>
      <c r="K357">
        <f t="shared" si="21"/>
        <v>319</v>
      </c>
    </row>
    <row r="358" spans="1:11" x14ac:dyDescent="0.2">
      <c r="A358" s="106">
        <f>_xlfn.XLOOKUP(B358,pratos!B:B,pratos!A:A,"não")</f>
        <v>189</v>
      </c>
      <c r="B358" s="128" t="s">
        <v>391</v>
      </c>
      <c r="C358" s="105">
        <f>_xlfn.XLOOKUP(D358,ingredientes!B:B,ingredientes!A:A,"não")</f>
        <v>128</v>
      </c>
      <c r="D358" t="s">
        <v>654</v>
      </c>
      <c r="E358" s="68">
        <v>100</v>
      </c>
      <c r="H358">
        <f t="shared" si="18"/>
        <v>189</v>
      </c>
      <c r="I358">
        <f t="shared" si="19"/>
        <v>128</v>
      </c>
      <c r="J358">
        <f t="shared" si="20"/>
        <v>100</v>
      </c>
      <c r="K358">
        <f t="shared" si="21"/>
        <v>317</v>
      </c>
    </row>
    <row r="359" spans="1:11" x14ac:dyDescent="0.2">
      <c r="A359" s="106">
        <f>_xlfn.XLOOKUP(B359,pratos!B:B,pratos!A:A,"não")</f>
        <v>189</v>
      </c>
      <c r="B359" s="128" t="s">
        <v>391</v>
      </c>
      <c r="C359" s="105">
        <f>_xlfn.XLOOKUP(D359,ingredientes!B:B,ingredientes!A:A,"não")</f>
        <v>128</v>
      </c>
      <c r="D359" t="s">
        <v>654</v>
      </c>
      <c r="E359" s="68">
        <v>100</v>
      </c>
      <c r="H359">
        <f t="shared" si="18"/>
        <v>189</v>
      </c>
      <c r="I359">
        <f t="shared" si="19"/>
        <v>128</v>
      </c>
      <c r="J359">
        <f t="shared" si="20"/>
        <v>100</v>
      </c>
      <c r="K359">
        <f t="shared" si="21"/>
        <v>317</v>
      </c>
    </row>
    <row r="360" spans="1:11" x14ac:dyDescent="0.2">
      <c r="A360" s="106">
        <f>_xlfn.XLOOKUP(B360,pratos!B:B,pratos!A:A,"não")</f>
        <v>189</v>
      </c>
      <c r="B360" s="127" t="s">
        <v>391</v>
      </c>
      <c r="C360" s="105">
        <f>_xlfn.XLOOKUP(D360,ingredientes!B:B,ingredientes!A:A,"não")</f>
        <v>208</v>
      </c>
      <c r="D360" s="138" t="s">
        <v>16</v>
      </c>
      <c r="E360" s="10">
        <v>20</v>
      </c>
      <c r="H360">
        <f t="shared" si="18"/>
        <v>189</v>
      </c>
      <c r="I360">
        <f t="shared" si="19"/>
        <v>208</v>
      </c>
      <c r="J360">
        <f t="shared" si="20"/>
        <v>20</v>
      </c>
      <c r="K360">
        <f t="shared" si="21"/>
        <v>397</v>
      </c>
    </row>
    <row r="361" spans="1:11" x14ac:dyDescent="0.2">
      <c r="A361" s="106">
        <f>_xlfn.XLOOKUP(B361,pratos!B:B,pratos!A:A,"não")</f>
        <v>190</v>
      </c>
      <c r="B361" s="116" t="s">
        <v>470</v>
      </c>
      <c r="C361" s="105">
        <f>_xlfn.XLOOKUP(D361,ingredientes!B:B,ingredientes!A:A,"não")</f>
        <v>41</v>
      </c>
      <c r="D361" s="143" t="s">
        <v>35</v>
      </c>
      <c r="E361" s="10">
        <v>5</v>
      </c>
      <c r="H361">
        <f t="shared" si="18"/>
        <v>190</v>
      </c>
      <c r="I361">
        <f t="shared" si="19"/>
        <v>41</v>
      </c>
      <c r="J361">
        <f t="shared" si="20"/>
        <v>5</v>
      </c>
      <c r="K361">
        <f t="shared" si="21"/>
        <v>231</v>
      </c>
    </row>
    <row r="362" spans="1:11" x14ac:dyDescent="0.2">
      <c r="A362" s="106">
        <f>_xlfn.XLOOKUP(B362,pratos!B:B,pratos!A:A,"não")</f>
        <v>190</v>
      </c>
      <c r="B362" s="109" t="s">
        <v>470</v>
      </c>
      <c r="C362" s="105">
        <f>_xlfn.XLOOKUP(D362,ingredientes!B:B,ingredientes!A:A,"não")</f>
        <v>128</v>
      </c>
      <c r="D362" t="s">
        <v>654</v>
      </c>
      <c r="E362" s="88">
        <v>100</v>
      </c>
      <c r="H362">
        <f t="shared" si="18"/>
        <v>190</v>
      </c>
      <c r="I362">
        <f t="shared" si="19"/>
        <v>128</v>
      </c>
      <c r="J362">
        <f t="shared" si="20"/>
        <v>100</v>
      </c>
      <c r="K362">
        <f t="shared" si="21"/>
        <v>318</v>
      </c>
    </row>
    <row r="363" spans="1:11" x14ac:dyDescent="0.2">
      <c r="A363" s="106">
        <f>_xlfn.XLOOKUP(B363,pratos!B:B,pratos!A:A,"não")</f>
        <v>190</v>
      </c>
      <c r="B363" s="116" t="s">
        <v>470</v>
      </c>
      <c r="C363" s="105">
        <f>_xlfn.XLOOKUP(D363,ingredientes!B:B,ingredientes!A:A,"não")</f>
        <v>194</v>
      </c>
      <c r="D363" s="143" t="s">
        <v>471</v>
      </c>
      <c r="E363" s="10">
        <v>5</v>
      </c>
      <c r="H363">
        <f t="shared" si="18"/>
        <v>190</v>
      </c>
      <c r="I363">
        <f t="shared" si="19"/>
        <v>194</v>
      </c>
      <c r="J363">
        <f t="shared" si="20"/>
        <v>5</v>
      </c>
      <c r="K363">
        <f t="shared" si="21"/>
        <v>384</v>
      </c>
    </row>
    <row r="364" spans="1:11" x14ac:dyDescent="0.2">
      <c r="A364" s="106">
        <f>_xlfn.XLOOKUP(B364,pratos!B:B,pratos!A:A,"não")</f>
        <v>190</v>
      </c>
      <c r="B364" s="116" t="s">
        <v>470</v>
      </c>
      <c r="C364" s="105">
        <f>_xlfn.XLOOKUP(D364,ingredientes!B:B,ingredientes!A:A,"não")</f>
        <v>279</v>
      </c>
      <c r="D364" s="143" t="s">
        <v>472</v>
      </c>
      <c r="E364" s="10">
        <v>5</v>
      </c>
      <c r="H364">
        <f t="shared" si="18"/>
        <v>190</v>
      </c>
      <c r="I364">
        <f t="shared" si="19"/>
        <v>279</v>
      </c>
      <c r="J364">
        <f t="shared" si="20"/>
        <v>5</v>
      </c>
      <c r="K364">
        <f t="shared" si="21"/>
        <v>469</v>
      </c>
    </row>
    <row r="365" spans="1:11" x14ac:dyDescent="0.2">
      <c r="A365" s="106">
        <f>_xlfn.XLOOKUP(B365,pratos!B:B,pratos!A:A,"não")</f>
        <v>191</v>
      </c>
      <c r="B365" s="109" t="s">
        <v>446</v>
      </c>
      <c r="C365" s="105">
        <f>_xlfn.XLOOKUP(D365,ingredientes!B:B,ingredientes!A:A,"não")</f>
        <v>134</v>
      </c>
      <c r="D365" t="s">
        <v>656</v>
      </c>
      <c r="E365" s="82">
        <v>100</v>
      </c>
      <c r="H365">
        <f t="shared" si="18"/>
        <v>191</v>
      </c>
      <c r="I365">
        <f t="shared" si="19"/>
        <v>134</v>
      </c>
      <c r="J365">
        <f t="shared" si="20"/>
        <v>100</v>
      </c>
      <c r="K365">
        <f t="shared" si="21"/>
        <v>325</v>
      </c>
    </row>
    <row r="366" spans="1:11" x14ac:dyDescent="0.2">
      <c r="A366" s="106">
        <f>_xlfn.XLOOKUP(B366,pratos!B:B,pratos!A:A,"não")</f>
        <v>192</v>
      </c>
      <c r="B366" s="109" t="s">
        <v>542</v>
      </c>
      <c r="C366" s="105">
        <f>_xlfn.XLOOKUP(D366,ingredientes!B:B,ingredientes!A:A,"não")</f>
        <v>2</v>
      </c>
      <c r="D366" s="144" t="s">
        <v>306</v>
      </c>
      <c r="E366" s="10">
        <v>15</v>
      </c>
      <c r="H366">
        <f t="shared" si="18"/>
        <v>192</v>
      </c>
      <c r="I366">
        <f t="shared" si="19"/>
        <v>2</v>
      </c>
      <c r="J366">
        <f t="shared" si="20"/>
        <v>15</v>
      </c>
      <c r="K366">
        <f t="shared" si="21"/>
        <v>194</v>
      </c>
    </row>
    <row r="367" spans="1:11" x14ac:dyDescent="0.2">
      <c r="A367" s="106">
        <f>_xlfn.XLOOKUP(B367,pratos!B:B,pratos!A:A,"não")</f>
        <v>192</v>
      </c>
      <c r="B367" s="109" t="s">
        <v>542</v>
      </c>
      <c r="C367" s="105">
        <f>_xlfn.XLOOKUP(D367,ingredientes!B:B,ingredientes!A:A,"não")</f>
        <v>2</v>
      </c>
      <c r="D367" s="144" t="s">
        <v>306</v>
      </c>
      <c r="E367" s="10">
        <v>10</v>
      </c>
      <c r="H367">
        <f t="shared" si="18"/>
        <v>192</v>
      </c>
      <c r="I367">
        <f t="shared" si="19"/>
        <v>2</v>
      </c>
      <c r="J367">
        <f t="shared" si="20"/>
        <v>10</v>
      </c>
      <c r="K367">
        <f t="shared" si="21"/>
        <v>194</v>
      </c>
    </row>
    <row r="368" spans="1:11" x14ac:dyDescent="0.2">
      <c r="A368" s="106">
        <f>_xlfn.XLOOKUP(B368,pratos!B:B,pratos!A:A,"não")</f>
        <v>192</v>
      </c>
      <c r="B368" s="109" t="s">
        <v>542</v>
      </c>
      <c r="C368" s="105">
        <f>_xlfn.XLOOKUP(D368,ingredientes!B:B,ingredientes!A:A,"não")</f>
        <v>2</v>
      </c>
      <c r="D368" s="144" t="s">
        <v>306</v>
      </c>
      <c r="E368" s="10">
        <v>5</v>
      </c>
      <c r="H368">
        <f t="shared" si="18"/>
        <v>192</v>
      </c>
      <c r="I368">
        <f t="shared" si="19"/>
        <v>2</v>
      </c>
      <c r="J368">
        <f t="shared" si="20"/>
        <v>5</v>
      </c>
      <c r="K368">
        <f t="shared" si="21"/>
        <v>194</v>
      </c>
    </row>
    <row r="369" spans="1:11" x14ac:dyDescent="0.2">
      <c r="A369" s="106">
        <f>_xlfn.XLOOKUP(B369,pratos!B:B,pratos!A:A,"não")</f>
        <v>192</v>
      </c>
      <c r="B369" s="109" t="s">
        <v>542</v>
      </c>
      <c r="C369" s="105">
        <f>_xlfn.XLOOKUP(D369,ingredientes!B:B,ingredientes!A:A,"não")</f>
        <v>50</v>
      </c>
      <c r="D369" s="143" t="s">
        <v>544</v>
      </c>
      <c r="E369" s="10">
        <v>15</v>
      </c>
      <c r="H369">
        <f t="shared" si="18"/>
        <v>192</v>
      </c>
      <c r="I369">
        <f t="shared" si="19"/>
        <v>50</v>
      </c>
      <c r="J369">
        <f t="shared" si="20"/>
        <v>15</v>
      </c>
      <c r="K369">
        <f t="shared" si="21"/>
        <v>242</v>
      </c>
    </row>
    <row r="370" spans="1:11" x14ac:dyDescent="0.2">
      <c r="A370" s="106">
        <f>_xlfn.XLOOKUP(B370,pratos!B:B,pratos!A:A,"não")</f>
        <v>192</v>
      </c>
      <c r="B370" s="109" t="s">
        <v>542</v>
      </c>
      <c r="C370" s="105">
        <f>_xlfn.XLOOKUP(D370,ingredientes!B:B,ingredientes!A:A,"não")</f>
        <v>50</v>
      </c>
      <c r="D370" s="143" t="s">
        <v>544</v>
      </c>
      <c r="E370" s="87">
        <v>10</v>
      </c>
      <c r="H370">
        <f t="shared" si="18"/>
        <v>192</v>
      </c>
      <c r="I370">
        <f t="shared" si="19"/>
        <v>50</v>
      </c>
      <c r="J370">
        <f t="shared" si="20"/>
        <v>10</v>
      </c>
      <c r="K370">
        <f t="shared" si="21"/>
        <v>242</v>
      </c>
    </row>
    <row r="371" spans="1:11" x14ac:dyDescent="0.2">
      <c r="A371" s="106">
        <f>_xlfn.XLOOKUP(B371,pratos!B:B,pratos!A:A,"não")</f>
        <v>192</v>
      </c>
      <c r="B371" s="109" t="s">
        <v>542</v>
      </c>
      <c r="C371" s="105">
        <f>_xlfn.XLOOKUP(D371,ingredientes!B:B,ingredientes!A:A,"não")</f>
        <v>50</v>
      </c>
      <c r="D371" s="143" t="s">
        <v>544</v>
      </c>
      <c r="E371" s="87">
        <v>5</v>
      </c>
      <c r="H371">
        <f t="shared" si="18"/>
        <v>192</v>
      </c>
      <c r="I371">
        <f t="shared" si="19"/>
        <v>50</v>
      </c>
      <c r="J371">
        <f t="shared" si="20"/>
        <v>5</v>
      </c>
      <c r="K371">
        <f t="shared" si="21"/>
        <v>242</v>
      </c>
    </row>
    <row r="372" spans="1:11" x14ac:dyDescent="0.2">
      <c r="A372" s="106">
        <f>_xlfn.XLOOKUP(B372,pratos!B:B,pratos!A:A,"não")</f>
        <v>192</v>
      </c>
      <c r="B372" s="109" t="s">
        <v>542</v>
      </c>
      <c r="C372" s="105">
        <f>_xlfn.XLOOKUP(D372,ingredientes!B:B,ingredientes!A:A,"não")</f>
        <v>135</v>
      </c>
      <c r="D372" s="143" t="s">
        <v>543</v>
      </c>
      <c r="E372" s="10">
        <v>50</v>
      </c>
      <c r="H372">
        <f t="shared" si="18"/>
        <v>192</v>
      </c>
      <c r="I372">
        <f t="shared" si="19"/>
        <v>135</v>
      </c>
      <c r="J372">
        <f t="shared" si="20"/>
        <v>50</v>
      </c>
      <c r="K372">
        <f t="shared" si="21"/>
        <v>327</v>
      </c>
    </row>
    <row r="373" spans="1:11" x14ac:dyDescent="0.2">
      <c r="A373" s="106">
        <f>_xlfn.XLOOKUP(B373,pratos!B:B,pratos!A:A,"não")</f>
        <v>192</v>
      </c>
      <c r="B373" s="52" t="s">
        <v>542</v>
      </c>
      <c r="C373" s="105">
        <f>_xlfn.XLOOKUP(D373,ingredientes!B:B,ingredientes!A:A,"não")</f>
        <v>224</v>
      </c>
      <c r="D373" s="143" t="s">
        <v>546</v>
      </c>
      <c r="E373" s="10">
        <v>10</v>
      </c>
      <c r="H373">
        <f t="shared" si="18"/>
        <v>192</v>
      </c>
      <c r="I373">
        <f t="shared" si="19"/>
        <v>224</v>
      </c>
      <c r="J373">
        <f t="shared" si="20"/>
        <v>10</v>
      </c>
      <c r="K373">
        <f t="shared" si="21"/>
        <v>416</v>
      </c>
    </row>
    <row r="374" spans="1:11" x14ac:dyDescent="0.2">
      <c r="A374" s="106">
        <f>_xlfn.XLOOKUP(B374,pratos!B:B,pratos!A:A,"não")</f>
        <v>192</v>
      </c>
      <c r="B374" s="52" t="s">
        <v>542</v>
      </c>
      <c r="C374" s="105">
        <f>_xlfn.XLOOKUP(D374,ingredientes!B:B,ingredientes!A:A,"não")</f>
        <v>224</v>
      </c>
      <c r="D374" s="143" t="s">
        <v>546</v>
      </c>
      <c r="E374" s="87">
        <v>5</v>
      </c>
      <c r="H374">
        <f t="shared" si="18"/>
        <v>192</v>
      </c>
      <c r="I374">
        <f t="shared" si="19"/>
        <v>224</v>
      </c>
      <c r="J374">
        <f t="shared" si="20"/>
        <v>5</v>
      </c>
      <c r="K374">
        <f t="shared" si="21"/>
        <v>416</v>
      </c>
    </row>
    <row r="375" spans="1:11" x14ac:dyDescent="0.2">
      <c r="A375" s="106">
        <f>_xlfn.XLOOKUP(B375,pratos!B:B,pratos!A:A,"não")</f>
        <v>192</v>
      </c>
      <c r="B375" s="109" t="s">
        <v>542</v>
      </c>
      <c r="C375" s="105">
        <f>_xlfn.XLOOKUP(D375,ingredientes!B:B,ingredientes!A:A,"não")</f>
        <v>316</v>
      </c>
      <c r="D375" s="143" t="s">
        <v>545</v>
      </c>
      <c r="E375" s="10">
        <v>5</v>
      </c>
      <c r="H375">
        <f t="shared" si="18"/>
        <v>192</v>
      </c>
      <c r="I375">
        <f t="shared" si="19"/>
        <v>316</v>
      </c>
      <c r="J375">
        <f t="shared" si="20"/>
        <v>5</v>
      </c>
      <c r="K375">
        <f t="shared" si="21"/>
        <v>508</v>
      </c>
    </row>
    <row r="376" spans="1:11" x14ac:dyDescent="0.2">
      <c r="A376" s="106">
        <f>_xlfn.XLOOKUP(B376,pratos!B:B,pratos!A:A,"não")</f>
        <v>193</v>
      </c>
      <c r="B376" s="52" t="s">
        <v>31</v>
      </c>
      <c r="C376" s="105">
        <f>_xlfn.XLOOKUP(D376,ingredientes!B:B,ingredientes!A:A,"não")</f>
        <v>140</v>
      </c>
      <c r="D376" t="s">
        <v>658</v>
      </c>
      <c r="E376" s="10">
        <v>100</v>
      </c>
      <c r="H376">
        <f t="shared" si="18"/>
        <v>193</v>
      </c>
      <c r="I376">
        <f t="shared" si="19"/>
        <v>140</v>
      </c>
      <c r="J376">
        <f t="shared" si="20"/>
        <v>100</v>
      </c>
      <c r="K376">
        <f t="shared" si="21"/>
        <v>333</v>
      </c>
    </row>
    <row r="377" spans="1:11" x14ac:dyDescent="0.2">
      <c r="A377" s="106">
        <f>_xlfn.XLOOKUP(B377,pratos!B:B,pratos!A:A,"não")</f>
        <v>193</v>
      </c>
      <c r="B377" s="52" t="s">
        <v>31</v>
      </c>
      <c r="C377" s="105">
        <f>_xlfn.XLOOKUP(D377,ingredientes!B:B,ingredientes!A:A,"não")</f>
        <v>140</v>
      </c>
      <c r="D377" t="s">
        <v>658</v>
      </c>
      <c r="E377" s="10">
        <v>40</v>
      </c>
      <c r="H377">
        <f t="shared" si="18"/>
        <v>193</v>
      </c>
      <c r="I377">
        <f t="shared" si="19"/>
        <v>140</v>
      </c>
      <c r="J377">
        <f t="shared" si="20"/>
        <v>40</v>
      </c>
      <c r="K377">
        <f t="shared" si="21"/>
        <v>333</v>
      </c>
    </row>
    <row r="378" spans="1:11" x14ac:dyDescent="0.2">
      <c r="A378" s="106">
        <f>_xlfn.XLOOKUP(B378,pratos!B:B,pratos!A:A,"não")</f>
        <v>193</v>
      </c>
      <c r="B378" s="111" t="s">
        <v>31</v>
      </c>
      <c r="C378" s="105">
        <f>_xlfn.XLOOKUP(D378,ingredientes!B:B,ingredientes!A:A,"não")</f>
        <v>144</v>
      </c>
      <c r="D378" s="151" t="s">
        <v>280</v>
      </c>
      <c r="E378" s="17">
        <v>40</v>
      </c>
      <c r="H378">
        <f t="shared" si="18"/>
        <v>193</v>
      </c>
      <c r="I378">
        <f t="shared" si="19"/>
        <v>144</v>
      </c>
      <c r="J378">
        <f t="shared" si="20"/>
        <v>40</v>
      </c>
      <c r="K378">
        <f t="shared" si="21"/>
        <v>337</v>
      </c>
    </row>
    <row r="379" spans="1:11" x14ac:dyDescent="0.2">
      <c r="A379" s="106">
        <f>_xlfn.XLOOKUP(B379,pratos!B:B,pratos!A:A,"não")</f>
        <v>193</v>
      </c>
      <c r="B379" s="52" t="s">
        <v>31</v>
      </c>
      <c r="C379" s="105">
        <f>_xlfn.XLOOKUP(D379,ingredientes!B:B,ingredientes!A:A,"não")</f>
        <v>140</v>
      </c>
      <c r="D379" t="s">
        <v>658</v>
      </c>
      <c r="E379" s="17">
        <v>40</v>
      </c>
      <c r="H379">
        <f t="shared" si="18"/>
        <v>193</v>
      </c>
      <c r="I379">
        <f t="shared" si="19"/>
        <v>140</v>
      </c>
      <c r="J379">
        <f t="shared" si="20"/>
        <v>40</v>
      </c>
      <c r="K379">
        <f t="shared" si="21"/>
        <v>333</v>
      </c>
    </row>
    <row r="380" spans="1:11" x14ac:dyDescent="0.2">
      <c r="A380" s="106">
        <f>_xlfn.XLOOKUP(B380,pratos!B:B,pratos!A:A,"não")</f>
        <v>194</v>
      </c>
      <c r="B380" s="52" t="s">
        <v>557</v>
      </c>
      <c r="C380" s="105">
        <f>_xlfn.XLOOKUP(D380,ingredientes!B:B,ingredientes!A:A,"não")</f>
        <v>140</v>
      </c>
      <c r="D380" t="s">
        <v>658</v>
      </c>
      <c r="E380" s="10">
        <v>100</v>
      </c>
      <c r="H380">
        <f t="shared" si="18"/>
        <v>194</v>
      </c>
      <c r="I380">
        <f t="shared" si="19"/>
        <v>140</v>
      </c>
      <c r="J380">
        <f t="shared" si="20"/>
        <v>100</v>
      </c>
      <c r="K380">
        <f t="shared" si="21"/>
        <v>334</v>
      </c>
    </row>
    <row r="381" spans="1:11" x14ac:dyDescent="0.2">
      <c r="A381" s="106">
        <f>_xlfn.XLOOKUP(B381,pratos!B:B,pratos!A:A,"não")</f>
        <v>195</v>
      </c>
      <c r="B381" s="52" t="s">
        <v>69</v>
      </c>
      <c r="C381" s="105">
        <f>_xlfn.XLOOKUP(D381,ingredientes!B:B,ingredientes!A:A,"não")</f>
        <v>140</v>
      </c>
      <c r="D381" t="s">
        <v>658</v>
      </c>
      <c r="E381" s="10">
        <v>100</v>
      </c>
      <c r="H381">
        <f t="shared" si="18"/>
        <v>195</v>
      </c>
      <c r="I381">
        <f t="shared" si="19"/>
        <v>140</v>
      </c>
      <c r="J381">
        <f t="shared" si="20"/>
        <v>100</v>
      </c>
      <c r="K381">
        <f t="shared" si="21"/>
        <v>335</v>
      </c>
    </row>
    <row r="382" spans="1:11" x14ac:dyDescent="0.2">
      <c r="A382" s="106">
        <f>_xlfn.XLOOKUP(B382,pratos!B:B,pratos!A:A,"não")</f>
        <v>195</v>
      </c>
      <c r="B382" s="111" t="s">
        <v>69</v>
      </c>
      <c r="C382" s="105">
        <f>_xlfn.XLOOKUP(D382,ingredientes!B:B,ingredientes!A:A,"não")</f>
        <v>141</v>
      </c>
      <c r="D382" t="s">
        <v>659</v>
      </c>
      <c r="E382" s="10">
        <v>100</v>
      </c>
      <c r="H382">
        <f t="shared" si="18"/>
        <v>195</v>
      </c>
      <c r="I382">
        <f t="shared" si="19"/>
        <v>141</v>
      </c>
      <c r="J382">
        <f t="shared" si="20"/>
        <v>100</v>
      </c>
      <c r="K382">
        <f t="shared" si="21"/>
        <v>336</v>
      </c>
    </row>
    <row r="383" spans="1:11" x14ac:dyDescent="0.2">
      <c r="A383" s="106">
        <f>_xlfn.XLOOKUP(B383,pratos!B:B,pratos!A:A,"não")</f>
        <v>196</v>
      </c>
      <c r="B383" s="116" t="s">
        <v>573</v>
      </c>
      <c r="C383" s="105">
        <f>_xlfn.XLOOKUP(D383,ingredientes!B:B,ingredientes!A:A,"não")</f>
        <v>140</v>
      </c>
      <c r="D383" t="s">
        <v>658</v>
      </c>
      <c r="E383" s="17">
        <v>40</v>
      </c>
      <c r="H383">
        <f t="shared" si="18"/>
        <v>196</v>
      </c>
      <c r="I383">
        <f t="shared" si="19"/>
        <v>140</v>
      </c>
      <c r="J383">
        <f t="shared" si="20"/>
        <v>40</v>
      </c>
      <c r="K383">
        <f t="shared" si="21"/>
        <v>336</v>
      </c>
    </row>
    <row r="384" spans="1:11" x14ac:dyDescent="0.2">
      <c r="A384" s="106">
        <f>_xlfn.XLOOKUP(B384,pratos!B:B,pratos!A:A,"não")</f>
        <v>197</v>
      </c>
      <c r="B384" s="52" t="s">
        <v>510</v>
      </c>
      <c r="C384" s="105">
        <f>_xlfn.XLOOKUP(D384,ingredientes!B:B,ingredientes!A:A,"não")</f>
        <v>146</v>
      </c>
      <c r="D384" t="s">
        <v>662</v>
      </c>
      <c r="E384" s="10">
        <v>100</v>
      </c>
      <c r="H384">
        <f t="shared" ref="H384:H447" si="22">A384</f>
        <v>197</v>
      </c>
      <c r="I384">
        <f t="shared" ref="I384:I447" si="23">C384</f>
        <v>146</v>
      </c>
      <c r="J384">
        <f t="shared" ref="J384:J447" si="24">E384</f>
        <v>100</v>
      </c>
      <c r="K384">
        <f t="shared" si="21"/>
        <v>343</v>
      </c>
    </row>
    <row r="385" spans="1:11" x14ac:dyDescent="0.2">
      <c r="A385" s="106">
        <f>_xlfn.XLOOKUP(B385,pratos!B:B,pratos!A:A,"não")</f>
        <v>197</v>
      </c>
      <c r="B385" s="52" t="s">
        <v>510</v>
      </c>
      <c r="C385" s="105">
        <f>_xlfn.XLOOKUP(D385,ingredientes!B:B,ingredientes!A:A,"não")</f>
        <v>146</v>
      </c>
      <c r="D385" t="s">
        <v>662</v>
      </c>
      <c r="E385" s="10">
        <v>40</v>
      </c>
      <c r="H385">
        <f t="shared" si="22"/>
        <v>197</v>
      </c>
      <c r="I385">
        <f t="shared" si="23"/>
        <v>146</v>
      </c>
      <c r="J385">
        <f t="shared" si="24"/>
        <v>40</v>
      </c>
      <c r="K385">
        <f t="shared" si="21"/>
        <v>343</v>
      </c>
    </row>
    <row r="386" spans="1:11" x14ac:dyDescent="0.2">
      <c r="A386" s="106">
        <f>_xlfn.XLOOKUP(B386,pratos!B:B,pratos!A:A,"não")</f>
        <v>198</v>
      </c>
      <c r="B386" s="52" t="s">
        <v>20</v>
      </c>
      <c r="C386" s="105">
        <f>_xlfn.XLOOKUP(D386,ingredientes!B:B,ingredientes!A:A,"não")</f>
        <v>144</v>
      </c>
      <c r="D386" s="138" t="s">
        <v>280</v>
      </c>
      <c r="E386" s="56">
        <v>40</v>
      </c>
      <c r="H386">
        <f t="shared" si="22"/>
        <v>198</v>
      </c>
      <c r="I386">
        <f t="shared" si="23"/>
        <v>144</v>
      </c>
      <c r="J386">
        <f t="shared" si="24"/>
        <v>40</v>
      </c>
      <c r="K386">
        <f t="shared" si="21"/>
        <v>342</v>
      </c>
    </row>
    <row r="387" spans="1:11" x14ac:dyDescent="0.2">
      <c r="A387" s="106">
        <f>_xlfn.XLOOKUP(B387,pratos!B:B,pratos!A:A,"não")</f>
        <v>198</v>
      </c>
      <c r="B387" s="52" t="s">
        <v>20</v>
      </c>
      <c r="C387" s="105">
        <f>_xlfn.XLOOKUP(D387,ingredientes!B:B,ingredientes!A:A,"não")</f>
        <v>146</v>
      </c>
      <c r="D387" t="s">
        <v>662</v>
      </c>
      <c r="E387" s="17">
        <v>40</v>
      </c>
      <c r="H387">
        <f t="shared" si="22"/>
        <v>198</v>
      </c>
      <c r="I387">
        <f t="shared" si="23"/>
        <v>146</v>
      </c>
      <c r="J387">
        <f t="shared" si="24"/>
        <v>40</v>
      </c>
      <c r="K387">
        <f t="shared" ref="K387:K450" si="25">H387+I387</f>
        <v>344</v>
      </c>
    </row>
    <row r="388" spans="1:11" x14ac:dyDescent="0.2">
      <c r="A388" s="106">
        <f>_xlfn.XLOOKUP(B388,pratos!B:B,pratos!A:A,"não")</f>
        <v>198</v>
      </c>
      <c r="B388" s="52" t="s">
        <v>20</v>
      </c>
      <c r="C388" s="105">
        <f>_xlfn.XLOOKUP(D388,ingredientes!B:B,ingredientes!A:A,"não")</f>
        <v>146</v>
      </c>
      <c r="D388" t="s">
        <v>662</v>
      </c>
      <c r="E388" s="10">
        <v>100</v>
      </c>
      <c r="H388">
        <f t="shared" si="22"/>
        <v>198</v>
      </c>
      <c r="I388">
        <f t="shared" si="23"/>
        <v>146</v>
      </c>
      <c r="J388">
        <f t="shared" si="24"/>
        <v>100</v>
      </c>
      <c r="K388">
        <f t="shared" si="25"/>
        <v>344</v>
      </c>
    </row>
    <row r="389" spans="1:11" x14ac:dyDescent="0.2">
      <c r="A389" s="106">
        <f>_xlfn.XLOOKUP(B389,pratos!B:B,pratos!A:A,"não")</f>
        <v>198</v>
      </c>
      <c r="B389" s="52" t="s">
        <v>20</v>
      </c>
      <c r="C389" s="105">
        <f>_xlfn.XLOOKUP(D389,ingredientes!B:B,ingredientes!A:A,"não")</f>
        <v>146</v>
      </c>
      <c r="D389" t="s">
        <v>662</v>
      </c>
      <c r="E389" s="10">
        <v>40</v>
      </c>
      <c r="H389">
        <f t="shared" si="22"/>
        <v>198</v>
      </c>
      <c r="I389">
        <f t="shared" si="23"/>
        <v>146</v>
      </c>
      <c r="J389">
        <f t="shared" si="24"/>
        <v>40</v>
      </c>
      <c r="K389">
        <f t="shared" si="25"/>
        <v>344</v>
      </c>
    </row>
    <row r="390" spans="1:11" x14ac:dyDescent="0.2">
      <c r="A390" s="106">
        <f>_xlfn.XLOOKUP(B390,pratos!B:B,pratos!A:A,"não")</f>
        <v>198</v>
      </c>
      <c r="B390" s="52" t="s">
        <v>20</v>
      </c>
      <c r="C390" s="105">
        <f>_xlfn.XLOOKUP(D390,ingredientes!B:B,ingredientes!A:A,"não")</f>
        <v>146</v>
      </c>
      <c r="D390" t="s">
        <v>662</v>
      </c>
      <c r="E390" s="10">
        <v>100</v>
      </c>
      <c r="H390">
        <f t="shared" si="22"/>
        <v>198</v>
      </c>
      <c r="I390">
        <f t="shared" si="23"/>
        <v>146</v>
      </c>
      <c r="J390">
        <f t="shared" si="24"/>
        <v>100</v>
      </c>
      <c r="K390">
        <f t="shared" si="25"/>
        <v>344</v>
      </c>
    </row>
    <row r="391" spans="1:11" x14ac:dyDescent="0.2">
      <c r="A391" s="106">
        <f>_xlfn.XLOOKUP(B391,pratos!B:B,pratos!A:A,"não")</f>
        <v>198</v>
      </c>
      <c r="B391" s="52" t="s">
        <v>20</v>
      </c>
      <c r="C391" s="105">
        <f>_xlfn.XLOOKUP(D391,ingredientes!B:B,ingredientes!A:A,"não")</f>
        <v>146</v>
      </c>
      <c r="D391" t="s">
        <v>662</v>
      </c>
      <c r="E391" s="10">
        <v>40</v>
      </c>
      <c r="H391">
        <f t="shared" si="22"/>
        <v>198</v>
      </c>
      <c r="I391">
        <f t="shared" si="23"/>
        <v>146</v>
      </c>
      <c r="J391">
        <f t="shared" si="24"/>
        <v>40</v>
      </c>
      <c r="K391">
        <f t="shared" si="25"/>
        <v>344</v>
      </c>
    </row>
    <row r="392" spans="1:11" x14ac:dyDescent="0.2">
      <c r="A392" s="106">
        <f>_xlfn.XLOOKUP(B392,pratos!B:B,pratos!A:A,"não")</f>
        <v>198</v>
      </c>
      <c r="B392" s="52" t="s">
        <v>20</v>
      </c>
      <c r="C392" s="105">
        <f>_xlfn.XLOOKUP(D392,ingredientes!B:B,ingredientes!A:A,"não")</f>
        <v>146</v>
      </c>
      <c r="D392" t="s">
        <v>662</v>
      </c>
      <c r="E392" s="10">
        <v>100</v>
      </c>
      <c r="H392">
        <f t="shared" si="22"/>
        <v>198</v>
      </c>
      <c r="I392">
        <f t="shared" si="23"/>
        <v>146</v>
      </c>
      <c r="J392">
        <f t="shared" si="24"/>
        <v>100</v>
      </c>
      <c r="K392">
        <f t="shared" si="25"/>
        <v>344</v>
      </c>
    </row>
    <row r="393" spans="1:11" x14ac:dyDescent="0.2">
      <c r="A393" s="106">
        <f>_xlfn.XLOOKUP(B393,pratos!B:B,pratos!A:A,"não")</f>
        <v>198</v>
      </c>
      <c r="B393" s="52" t="s">
        <v>20</v>
      </c>
      <c r="C393" s="105">
        <f>_xlfn.XLOOKUP(D393,ingredientes!B:B,ingredientes!A:A,"não")</f>
        <v>146</v>
      </c>
      <c r="D393" t="s">
        <v>662</v>
      </c>
      <c r="E393" s="10">
        <v>40</v>
      </c>
      <c r="H393">
        <f t="shared" si="22"/>
        <v>198</v>
      </c>
      <c r="I393">
        <f t="shared" si="23"/>
        <v>146</v>
      </c>
      <c r="J393">
        <f t="shared" si="24"/>
        <v>40</v>
      </c>
      <c r="K393">
        <f t="shared" si="25"/>
        <v>344</v>
      </c>
    </row>
    <row r="394" spans="1:11" x14ac:dyDescent="0.2">
      <c r="A394" s="106">
        <f>_xlfn.XLOOKUP(B394,pratos!B:B,pratos!A:A,"não")</f>
        <v>199</v>
      </c>
      <c r="B394" s="52" t="s">
        <v>66</v>
      </c>
      <c r="C394" s="105">
        <f>_xlfn.XLOOKUP(D394,ingredientes!B:B,ingredientes!A:A,"não")</f>
        <v>146</v>
      </c>
      <c r="D394" t="s">
        <v>662</v>
      </c>
      <c r="E394" s="10">
        <v>100</v>
      </c>
      <c r="H394">
        <f t="shared" si="22"/>
        <v>199</v>
      </c>
      <c r="I394">
        <f t="shared" si="23"/>
        <v>146</v>
      </c>
      <c r="J394">
        <f t="shared" si="24"/>
        <v>100</v>
      </c>
      <c r="K394">
        <f t="shared" si="25"/>
        <v>345</v>
      </c>
    </row>
    <row r="395" spans="1:11" x14ac:dyDescent="0.2">
      <c r="A395" s="106">
        <f>_xlfn.XLOOKUP(B395,pratos!B:B,pratos!A:A,"não")</f>
        <v>199</v>
      </c>
      <c r="B395" s="52" t="s">
        <v>66</v>
      </c>
      <c r="C395" s="105">
        <f>_xlfn.XLOOKUP(D395,ingredientes!B:B,ingredientes!A:A,"não")</f>
        <v>146</v>
      </c>
      <c r="D395" t="s">
        <v>662</v>
      </c>
      <c r="E395" s="10">
        <v>100</v>
      </c>
      <c r="H395">
        <f t="shared" si="22"/>
        <v>199</v>
      </c>
      <c r="I395">
        <f t="shared" si="23"/>
        <v>146</v>
      </c>
      <c r="J395">
        <f t="shared" si="24"/>
        <v>100</v>
      </c>
      <c r="K395">
        <f t="shared" si="25"/>
        <v>345</v>
      </c>
    </row>
    <row r="396" spans="1:11" x14ac:dyDescent="0.2">
      <c r="A396" s="106">
        <f>_xlfn.XLOOKUP(B396,pratos!B:B,pratos!A:A,"não")</f>
        <v>200</v>
      </c>
      <c r="B396" s="52" t="s">
        <v>357</v>
      </c>
      <c r="C396" s="105">
        <f>_xlfn.XLOOKUP(D396,ingredientes!B:B,ingredientes!A:A,"não")</f>
        <v>146</v>
      </c>
      <c r="D396" s="30" t="s">
        <v>662</v>
      </c>
      <c r="E396" s="10">
        <v>100</v>
      </c>
      <c r="H396">
        <f t="shared" si="22"/>
        <v>200</v>
      </c>
      <c r="I396">
        <f t="shared" si="23"/>
        <v>146</v>
      </c>
      <c r="J396">
        <f t="shared" si="24"/>
        <v>100</v>
      </c>
      <c r="K396">
        <f t="shared" si="25"/>
        <v>346</v>
      </c>
    </row>
    <row r="397" spans="1:11" x14ac:dyDescent="0.2">
      <c r="A397" s="106">
        <f>_xlfn.XLOOKUP(B397,pratos!B:B,pratos!A:A,"não")</f>
        <v>201</v>
      </c>
      <c r="B397" s="124" t="s">
        <v>384</v>
      </c>
      <c r="C397" s="105">
        <f>_xlfn.XLOOKUP(D397,ingredientes!B:B,ingredientes!A:A,"não")</f>
        <v>140</v>
      </c>
      <c r="D397" s="30" t="s">
        <v>658</v>
      </c>
      <c r="E397" s="10">
        <v>100</v>
      </c>
      <c r="H397">
        <f t="shared" si="22"/>
        <v>201</v>
      </c>
      <c r="I397">
        <f t="shared" si="23"/>
        <v>140</v>
      </c>
      <c r="J397">
        <f t="shared" si="24"/>
        <v>100</v>
      </c>
      <c r="K397">
        <f t="shared" si="25"/>
        <v>341</v>
      </c>
    </row>
    <row r="398" spans="1:11" x14ac:dyDescent="0.2">
      <c r="A398" s="106">
        <f>_xlfn.XLOOKUP(B398,pratos!B:B,pratos!A:A,"não")</f>
        <v>202</v>
      </c>
      <c r="B398" s="111" t="s">
        <v>275</v>
      </c>
      <c r="C398" s="105">
        <f>_xlfn.XLOOKUP(D398,ingredientes!B:B,ingredientes!A:A,"não")</f>
        <v>238</v>
      </c>
      <c r="D398" s="30" t="s">
        <v>677</v>
      </c>
      <c r="E398" s="53">
        <v>120</v>
      </c>
      <c r="H398">
        <f t="shared" si="22"/>
        <v>202</v>
      </c>
      <c r="I398">
        <f t="shared" si="23"/>
        <v>238</v>
      </c>
      <c r="J398">
        <f t="shared" si="24"/>
        <v>120</v>
      </c>
      <c r="K398">
        <f t="shared" si="25"/>
        <v>440</v>
      </c>
    </row>
    <row r="399" spans="1:11" x14ac:dyDescent="0.2">
      <c r="A399" s="106">
        <f>_xlfn.XLOOKUP(B399,pratos!B:B,pratos!A:A,"não")</f>
        <v>202</v>
      </c>
      <c r="B399" s="117" t="s">
        <v>275</v>
      </c>
      <c r="C399" s="105">
        <f>_xlfn.XLOOKUP(D399,ingredientes!B:B,ingredientes!A:A,"não")</f>
        <v>242</v>
      </c>
      <c r="D399" s="54" t="s">
        <v>276</v>
      </c>
      <c r="E399" s="53">
        <v>120</v>
      </c>
      <c r="H399">
        <f t="shared" si="22"/>
        <v>202</v>
      </c>
      <c r="I399">
        <f t="shared" si="23"/>
        <v>242</v>
      </c>
      <c r="J399">
        <f t="shared" si="24"/>
        <v>120</v>
      </c>
      <c r="K399">
        <f t="shared" si="25"/>
        <v>444</v>
      </c>
    </row>
    <row r="400" spans="1:11" x14ac:dyDescent="0.2">
      <c r="A400" s="106">
        <f>_xlfn.XLOOKUP(B400,pratos!B:B,pratos!A:A,"não")</f>
        <v>203</v>
      </c>
      <c r="B400" s="109" t="s">
        <v>264</v>
      </c>
      <c r="C400" s="105">
        <f>_xlfn.XLOOKUP(D400,ingredientes!B:B,ingredientes!A:A,"não")</f>
        <v>24</v>
      </c>
      <c r="D400" s="11" t="s">
        <v>102</v>
      </c>
      <c r="E400" s="10">
        <v>1</v>
      </c>
      <c r="H400">
        <f t="shared" si="22"/>
        <v>203</v>
      </c>
      <c r="I400">
        <f t="shared" si="23"/>
        <v>24</v>
      </c>
      <c r="J400">
        <f t="shared" si="24"/>
        <v>1</v>
      </c>
      <c r="K400">
        <f t="shared" si="25"/>
        <v>227</v>
      </c>
    </row>
    <row r="401" spans="1:11" x14ac:dyDescent="0.2">
      <c r="A401" s="106">
        <f>_xlfn.XLOOKUP(B401,pratos!B:B,pratos!A:A,"não")</f>
        <v>203</v>
      </c>
      <c r="B401" s="109" t="s">
        <v>264</v>
      </c>
      <c r="C401" s="105">
        <f>_xlfn.XLOOKUP(D401,ingredientes!B:B,ingredientes!A:A,"não")</f>
        <v>147</v>
      </c>
      <c r="D401" s="30" t="s">
        <v>664</v>
      </c>
      <c r="E401" s="10">
        <v>120</v>
      </c>
      <c r="H401">
        <f t="shared" si="22"/>
        <v>203</v>
      </c>
      <c r="I401">
        <f t="shared" si="23"/>
        <v>147</v>
      </c>
      <c r="J401">
        <f t="shared" si="24"/>
        <v>120</v>
      </c>
      <c r="K401">
        <f t="shared" si="25"/>
        <v>350</v>
      </c>
    </row>
    <row r="402" spans="1:11" x14ac:dyDescent="0.2">
      <c r="A402" s="106">
        <f>_xlfn.XLOOKUP(B402,pratos!B:B,pratos!A:A,"não")</f>
        <v>203</v>
      </c>
      <c r="B402" s="109" t="s">
        <v>264</v>
      </c>
      <c r="C402" s="105">
        <f>_xlfn.XLOOKUP(D402,ingredientes!B:B,ingredientes!A:A,"não")</f>
        <v>147</v>
      </c>
      <c r="D402" s="30" t="s">
        <v>664</v>
      </c>
      <c r="E402" s="10">
        <v>50</v>
      </c>
      <c r="H402">
        <f t="shared" si="22"/>
        <v>203</v>
      </c>
      <c r="I402">
        <f t="shared" si="23"/>
        <v>147</v>
      </c>
      <c r="J402">
        <f t="shared" si="24"/>
        <v>50</v>
      </c>
      <c r="K402">
        <f t="shared" si="25"/>
        <v>350</v>
      </c>
    </row>
    <row r="403" spans="1:11" x14ac:dyDescent="0.2">
      <c r="A403" s="106">
        <f>_xlfn.XLOOKUP(B403,pratos!B:B,pratos!A:A,"não")</f>
        <v>203</v>
      </c>
      <c r="B403" s="109" t="s">
        <v>264</v>
      </c>
      <c r="C403" s="105">
        <f>_xlfn.XLOOKUP(D403,ingredientes!B:B,ingredientes!A:A,"não")</f>
        <v>147</v>
      </c>
      <c r="D403" s="30" t="s">
        <v>664</v>
      </c>
      <c r="E403" s="10">
        <v>100</v>
      </c>
      <c r="H403">
        <f t="shared" si="22"/>
        <v>203</v>
      </c>
      <c r="I403">
        <f t="shared" si="23"/>
        <v>147</v>
      </c>
      <c r="J403">
        <f t="shared" si="24"/>
        <v>100</v>
      </c>
      <c r="K403">
        <f t="shared" si="25"/>
        <v>350</v>
      </c>
    </row>
    <row r="404" spans="1:11" x14ac:dyDescent="0.2">
      <c r="A404" s="106">
        <f>_xlfn.XLOOKUP(B404,pratos!B:B,pratos!A:A,"não")</f>
        <v>203</v>
      </c>
      <c r="B404" s="109" t="s">
        <v>264</v>
      </c>
      <c r="C404" s="105">
        <f>_xlfn.XLOOKUP(D404,ingredientes!B:B,ingredientes!A:A,"não")</f>
        <v>195</v>
      </c>
      <c r="D404" s="9" t="s">
        <v>30</v>
      </c>
      <c r="E404" s="10">
        <v>1</v>
      </c>
      <c r="H404">
        <f t="shared" si="22"/>
        <v>203</v>
      </c>
      <c r="I404">
        <f t="shared" si="23"/>
        <v>195</v>
      </c>
      <c r="J404">
        <f t="shared" si="24"/>
        <v>1</v>
      </c>
      <c r="K404">
        <f t="shared" si="25"/>
        <v>398</v>
      </c>
    </row>
    <row r="405" spans="1:11" x14ac:dyDescent="0.2">
      <c r="A405" s="106">
        <f>_xlfn.XLOOKUP(B405,pratos!B:B,pratos!A:A,"não")</f>
        <v>203</v>
      </c>
      <c r="B405" s="109" t="s">
        <v>264</v>
      </c>
      <c r="C405" s="105">
        <f>_xlfn.XLOOKUP(D405,ingredientes!B:B,ingredientes!A:A,"não")</f>
        <v>196</v>
      </c>
      <c r="D405" s="152" t="s">
        <v>265</v>
      </c>
      <c r="E405" s="10">
        <v>1</v>
      </c>
      <c r="H405">
        <f t="shared" si="22"/>
        <v>203</v>
      </c>
      <c r="I405">
        <f t="shared" si="23"/>
        <v>196</v>
      </c>
      <c r="J405">
        <f t="shared" si="24"/>
        <v>1</v>
      </c>
      <c r="K405">
        <f t="shared" si="25"/>
        <v>399</v>
      </c>
    </row>
    <row r="406" spans="1:11" x14ac:dyDescent="0.2">
      <c r="A406" s="106">
        <f>_xlfn.XLOOKUP(B406,pratos!B:B,pratos!A:A,"não")</f>
        <v>204</v>
      </c>
      <c r="B406" s="109" t="s">
        <v>255</v>
      </c>
      <c r="C406" s="105">
        <f>_xlfn.XLOOKUP(D406,ingredientes!B:B,ingredientes!A:A,"não")</f>
        <v>149</v>
      </c>
      <c r="D406" s="167" t="s">
        <v>255</v>
      </c>
      <c r="E406" s="10">
        <v>120</v>
      </c>
      <c r="H406">
        <f t="shared" si="22"/>
        <v>204</v>
      </c>
      <c r="I406">
        <f t="shared" si="23"/>
        <v>149</v>
      </c>
      <c r="J406">
        <f t="shared" si="24"/>
        <v>120</v>
      </c>
      <c r="K406">
        <f t="shared" si="25"/>
        <v>353</v>
      </c>
    </row>
    <row r="407" spans="1:11" x14ac:dyDescent="0.2">
      <c r="A407" s="106">
        <f>_xlfn.XLOOKUP(B407,pratos!B:B,pratos!A:A,"não")</f>
        <v>205</v>
      </c>
      <c r="B407" s="109" t="s">
        <v>139</v>
      </c>
      <c r="C407" s="105">
        <f>_xlfn.XLOOKUP(D407,ingredientes!B:B,ingredientes!A:A,"não")</f>
        <v>174</v>
      </c>
      <c r="D407" s="139" t="s">
        <v>137</v>
      </c>
      <c r="E407" s="5">
        <v>10</v>
      </c>
      <c r="H407">
        <f t="shared" si="22"/>
        <v>205</v>
      </c>
      <c r="I407">
        <f t="shared" si="23"/>
        <v>174</v>
      </c>
      <c r="J407">
        <f t="shared" si="24"/>
        <v>10</v>
      </c>
      <c r="K407">
        <f t="shared" si="25"/>
        <v>379</v>
      </c>
    </row>
    <row r="408" spans="1:11" x14ac:dyDescent="0.2">
      <c r="A408" s="106">
        <f>_xlfn.XLOOKUP(B408,pratos!B:B,pratos!A:A,"não")</f>
        <v>205</v>
      </c>
      <c r="B408" s="109" t="s">
        <v>139</v>
      </c>
      <c r="C408" s="105">
        <f>_xlfn.XLOOKUP(D408,ingredientes!B:B,ingredientes!A:A,"não")</f>
        <v>244</v>
      </c>
      <c r="D408" t="s">
        <v>680</v>
      </c>
      <c r="E408" s="10">
        <v>120</v>
      </c>
      <c r="H408">
        <f t="shared" si="22"/>
        <v>205</v>
      </c>
      <c r="I408">
        <f t="shared" si="23"/>
        <v>244</v>
      </c>
      <c r="J408">
        <f t="shared" si="24"/>
        <v>120</v>
      </c>
      <c r="K408">
        <f t="shared" si="25"/>
        <v>449</v>
      </c>
    </row>
    <row r="409" spans="1:11" x14ac:dyDescent="0.2">
      <c r="A409" s="106">
        <f>_xlfn.XLOOKUP(B409,pratos!B:B,pratos!A:A,"não")</f>
        <v>205</v>
      </c>
      <c r="B409" s="109" t="s">
        <v>139</v>
      </c>
      <c r="C409" s="105">
        <f>_xlfn.XLOOKUP(D409,ingredientes!B:B,ingredientes!A:A,"não")</f>
        <v>244</v>
      </c>
      <c r="D409" t="s">
        <v>680</v>
      </c>
      <c r="E409" s="10">
        <v>50</v>
      </c>
      <c r="H409">
        <f t="shared" si="22"/>
        <v>205</v>
      </c>
      <c r="I409">
        <f t="shared" si="23"/>
        <v>244</v>
      </c>
      <c r="J409">
        <f t="shared" si="24"/>
        <v>50</v>
      </c>
      <c r="K409">
        <f t="shared" si="25"/>
        <v>449</v>
      </c>
    </row>
    <row r="410" spans="1:11" x14ac:dyDescent="0.2">
      <c r="A410" s="106">
        <f>_xlfn.XLOOKUP(B410,pratos!B:B,pratos!A:A,"não")</f>
        <v>206</v>
      </c>
      <c r="B410" s="109" t="s">
        <v>177</v>
      </c>
      <c r="C410" s="105">
        <f>_xlfn.XLOOKUP(D410,ingredientes!B:B,ingredientes!A:A,"não")</f>
        <v>297</v>
      </c>
      <c r="D410" t="s">
        <v>387</v>
      </c>
      <c r="E410" s="10">
        <v>150</v>
      </c>
      <c r="H410">
        <f t="shared" si="22"/>
        <v>206</v>
      </c>
      <c r="I410">
        <f t="shared" si="23"/>
        <v>297</v>
      </c>
      <c r="J410">
        <f t="shared" si="24"/>
        <v>150</v>
      </c>
      <c r="K410">
        <f t="shared" si="25"/>
        <v>503</v>
      </c>
    </row>
    <row r="411" spans="1:11" x14ac:dyDescent="0.2">
      <c r="A411" s="106">
        <f>_xlfn.XLOOKUP(B411,pratos!B:B,pratos!A:A,"não")</f>
        <v>206</v>
      </c>
      <c r="B411" s="109" t="s">
        <v>185</v>
      </c>
      <c r="C411" s="105">
        <f>_xlfn.XLOOKUP(D411,ingredientes!B:B,ingredientes!A:A,"não")</f>
        <v>297</v>
      </c>
      <c r="D411" t="s">
        <v>387</v>
      </c>
      <c r="E411" s="10">
        <v>50</v>
      </c>
      <c r="H411">
        <f t="shared" si="22"/>
        <v>206</v>
      </c>
      <c r="I411">
        <f t="shared" si="23"/>
        <v>297</v>
      </c>
      <c r="J411">
        <f t="shared" si="24"/>
        <v>50</v>
      </c>
      <c r="K411">
        <f t="shared" si="25"/>
        <v>503</v>
      </c>
    </row>
    <row r="412" spans="1:11" x14ac:dyDescent="0.2">
      <c r="A412" s="106">
        <f>_xlfn.XLOOKUP(B412,pratos!B:B,pratos!A:A,"não")</f>
        <v>206</v>
      </c>
      <c r="B412" s="109" t="s">
        <v>185</v>
      </c>
      <c r="C412" s="105">
        <f>_xlfn.XLOOKUP(D412,ingredientes!B:B,ingredientes!A:A,"não")</f>
        <v>297</v>
      </c>
      <c r="D412" t="s">
        <v>387</v>
      </c>
      <c r="E412" s="10">
        <v>100</v>
      </c>
      <c r="H412">
        <f t="shared" si="22"/>
        <v>206</v>
      </c>
      <c r="I412">
        <f t="shared" si="23"/>
        <v>297</v>
      </c>
      <c r="J412">
        <f t="shared" si="24"/>
        <v>100</v>
      </c>
      <c r="K412">
        <f t="shared" si="25"/>
        <v>503</v>
      </c>
    </row>
    <row r="413" spans="1:11" x14ac:dyDescent="0.2">
      <c r="A413" s="106">
        <f>_xlfn.XLOOKUP(B413,pratos!B:B,pratos!A:A,"não")</f>
        <v>207</v>
      </c>
      <c r="B413" s="117" t="s">
        <v>191</v>
      </c>
      <c r="C413" s="105">
        <f>_xlfn.XLOOKUP(D413,ingredientes!B:B,ingredientes!A:A,"não")</f>
        <v>242</v>
      </c>
      <c r="D413" t="s">
        <v>276</v>
      </c>
      <c r="E413" s="10">
        <v>120</v>
      </c>
      <c r="H413">
        <f t="shared" si="22"/>
        <v>207</v>
      </c>
      <c r="I413">
        <f t="shared" si="23"/>
        <v>242</v>
      </c>
      <c r="J413">
        <f t="shared" si="24"/>
        <v>120</v>
      </c>
      <c r="K413">
        <f t="shared" si="25"/>
        <v>449</v>
      </c>
    </row>
    <row r="414" spans="1:11" x14ac:dyDescent="0.2">
      <c r="A414" s="106">
        <f>_xlfn.XLOOKUP(B414,pratos!B:B,pratos!A:A,"não")</f>
        <v>207</v>
      </c>
      <c r="B414" s="111" t="s">
        <v>286</v>
      </c>
      <c r="C414" s="105">
        <f>_xlfn.XLOOKUP(D414,ingredientes!B:B,ingredientes!A:A,"não")</f>
        <v>242</v>
      </c>
      <c r="D414" s="152" t="s">
        <v>276</v>
      </c>
      <c r="E414" s="56">
        <v>120</v>
      </c>
      <c r="H414">
        <f t="shared" si="22"/>
        <v>207</v>
      </c>
      <c r="I414">
        <f t="shared" si="23"/>
        <v>242</v>
      </c>
      <c r="J414">
        <f t="shared" si="24"/>
        <v>120</v>
      </c>
      <c r="K414">
        <f t="shared" si="25"/>
        <v>449</v>
      </c>
    </row>
    <row r="415" spans="1:11" x14ac:dyDescent="0.2">
      <c r="A415" s="106">
        <f>_xlfn.XLOOKUP(B415,pratos!B:B,pratos!A:A,"não")</f>
        <v>208</v>
      </c>
      <c r="B415" s="130" t="s">
        <v>465</v>
      </c>
      <c r="C415" s="105">
        <f>_xlfn.XLOOKUP(D415,ingredientes!B:B,ingredientes!A:A,"não")</f>
        <v>151</v>
      </c>
      <c r="D415" s="170" t="s">
        <v>191</v>
      </c>
      <c r="E415" s="82">
        <v>120</v>
      </c>
      <c r="H415">
        <f t="shared" si="22"/>
        <v>208</v>
      </c>
      <c r="I415">
        <f t="shared" si="23"/>
        <v>151</v>
      </c>
      <c r="J415">
        <f t="shared" si="24"/>
        <v>120</v>
      </c>
      <c r="K415">
        <f t="shared" si="25"/>
        <v>359</v>
      </c>
    </row>
    <row r="416" spans="1:11" x14ac:dyDescent="0.2">
      <c r="A416" s="106">
        <f>_xlfn.XLOOKUP(B416,pratos!B:B,pratos!A:A,"não")</f>
        <v>209</v>
      </c>
      <c r="B416" s="130" t="s">
        <v>453</v>
      </c>
      <c r="C416" s="105">
        <f>_xlfn.XLOOKUP(D416,ingredientes!B:B,ingredientes!A:A,"não")</f>
        <v>242</v>
      </c>
      <c r="D416" t="s">
        <v>276</v>
      </c>
      <c r="E416" s="10">
        <v>120</v>
      </c>
      <c r="H416">
        <f t="shared" si="22"/>
        <v>209</v>
      </c>
      <c r="I416">
        <f t="shared" si="23"/>
        <v>242</v>
      </c>
      <c r="J416">
        <f t="shared" si="24"/>
        <v>120</v>
      </c>
      <c r="K416">
        <f t="shared" si="25"/>
        <v>451</v>
      </c>
    </row>
    <row r="417" spans="1:11" x14ac:dyDescent="0.2">
      <c r="A417" s="106">
        <f>_xlfn.XLOOKUP(B417,pratos!B:B,pratos!A:A,"não")</f>
        <v>210</v>
      </c>
      <c r="B417" s="130" t="s">
        <v>457</v>
      </c>
      <c r="C417" s="105">
        <f>_xlfn.XLOOKUP(D417,ingredientes!B:B,ingredientes!A:A,"não")</f>
        <v>240</v>
      </c>
      <c r="D417" s="154" t="s">
        <v>458</v>
      </c>
      <c r="E417" s="10">
        <v>50</v>
      </c>
      <c r="H417">
        <f t="shared" si="22"/>
        <v>210</v>
      </c>
      <c r="I417">
        <f t="shared" si="23"/>
        <v>240</v>
      </c>
      <c r="J417">
        <f t="shared" si="24"/>
        <v>50</v>
      </c>
      <c r="K417">
        <f t="shared" si="25"/>
        <v>450</v>
      </c>
    </row>
    <row r="418" spans="1:11" x14ac:dyDescent="0.2">
      <c r="A418" s="106">
        <f>_xlfn.XLOOKUP(B418,pratos!B:B,pratos!A:A,"não")</f>
        <v>210</v>
      </c>
      <c r="B418" s="130" t="s">
        <v>457</v>
      </c>
      <c r="C418" s="105">
        <f>_xlfn.XLOOKUP(D418,ingredientes!B:B,ingredientes!A:A,"não")</f>
        <v>240</v>
      </c>
      <c r="D418" s="154" t="s">
        <v>458</v>
      </c>
      <c r="E418" s="10">
        <v>100</v>
      </c>
      <c r="H418">
        <f t="shared" si="22"/>
        <v>210</v>
      </c>
      <c r="I418">
        <f t="shared" si="23"/>
        <v>240</v>
      </c>
      <c r="J418">
        <f t="shared" si="24"/>
        <v>100</v>
      </c>
      <c r="K418">
        <f t="shared" si="25"/>
        <v>450</v>
      </c>
    </row>
    <row r="419" spans="1:11" x14ac:dyDescent="0.2">
      <c r="A419" s="106">
        <f>_xlfn.XLOOKUP(B419,pratos!B:B,pratos!A:A,"não")</f>
        <v>211</v>
      </c>
      <c r="B419" s="52" t="s">
        <v>447</v>
      </c>
      <c r="C419" s="105">
        <f>_xlfn.XLOOKUP(D419,ingredientes!B:B,ingredientes!A:A,"não")</f>
        <v>152</v>
      </c>
      <c r="D419" s="144" t="s">
        <v>447</v>
      </c>
      <c r="E419" s="10">
        <v>120</v>
      </c>
      <c r="H419">
        <f t="shared" si="22"/>
        <v>211</v>
      </c>
      <c r="I419">
        <f t="shared" si="23"/>
        <v>152</v>
      </c>
      <c r="J419">
        <f t="shared" si="24"/>
        <v>120</v>
      </c>
      <c r="K419">
        <f t="shared" si="25"/>
        <v>363</v>
      </c>
    </row>
    <row r="420" spans="1:11" x14ac:dyDescent="0.2">
      <c r="A420" s="106">
        <f>_xlfn.XLOOKUP(B420,pratos!B:B,pratos!A:A,"não")</f>
        <v>211</v>
      </c>
      <c r="B420" s="130" t="s">
        <v>447</v>
      </c>
      <c r="C420" s="105">
        <f>_xlfn.XLOOKUP(D420,ingredientes!B:B,ingredientes!A:A,"não")</f>
        <v>241</v>
      </c>
      <c r="D420" s="152" t="s">
        <v>461</v>
      </c>
      <c r="E420" s="10">
        <v>50</v>
      </c>
      <c r="H420">
        <f t="shared" si="22"/>
        <v>211</v>
      </c>
      <c r="I420">
        <f t="shared" si="23"/>
        <v>241</v>
      </c>
      <c r="J420">
        <f t="shared" si="24"/>
        <v>50</v>
      </c>
      <c r="K420">
        <f t="shared" si="25"/>
        <v>452</v>
      </c>
    </row>
    <row r="421" spans="1:11" x14ac:dyDescent="0.2">
      <c r="A421" s="106">
        <f>_xlfn.XLOOKUP(B421,pratos!B:B,pratos!A:A,"não")</f>
        <v>211</v>
      </c>
      <c r="B421" s="130" t="s">
        <v>447</v>
      </c>
      <c r="C421" s="105">
        <f>_xlfn.XLOOKUP(D421,ingredientes!B:B,ingredientes!A:A,"não")</f>
        <v>241</v>
      </c>
      <c r="D421" s="152" t="s">
        <v>461</v>
      </c>
      <c r="E421" s="10">
        <v>100</v>
      </c>
      <c r="H421">
        <f t="shared" si="22"/>
        <v>211</v>
      </c>
      <c r="I421">
        <f t="shared" si="23"/>
        <v>241</v>
      </c>
      <c r="J421">
        <f t="shared" si="24"/>
        <v>100</v>
      </c>
      <c r="K421">
        <f t="shared" si="25"/>
        <v>452</v>
      </c>
    </row>
    <row r="422" spans="1:11" x14ac:dyDescent="0.2">
      <c r="A422" s="106">
        <f>_xlfn.XLOOKUP(B422,pratos!B:B,pratos!A:A,"não")</f>
        <v>212</v>
      </c>
      <c r="B422" s="109" t="s">
        <v>587</v>
      </c>
      <c r="C422" s="105">
        <f>_xlfn.XLOOKUP(D422,ingredientes!B:B,ingredientes!A:A,"não")</f>
        <v>155</v>
      </c>
      <c r="D422" s="167" t="s">
        <v>588</v>
      </c>
      <c r="E422" s="17">
        <v>4</v>
      </c>
      <c r="H422">
        <f t="shared" si="22"/>
        <v>212</v>
      </c>
      <c r="I422">
        <f t="shared" si="23"/>
        <v>155</v>
      </c>
      <c r="J422">
        <f t="shared" si="24"/>
        <v>4</v>
      </c>
      <c r="K422">
        <f t="shared" si="25"/>
        <v>367</v>
      </c>
    </row>
    <row r="423" spans="1:11" x14ac:dyDescent="0.2">
      <c r="A423" s="106">
        <f>_xlfn.XLOOKUP(B423,pratos!B:B,pratos!A:A,"não")</f>
        <v>213</v>
      </c>
      <c r="B423" s="116" t="s">
        <v>581</v>
      </c>
      <c r="C423" s="105">
        <f>_xlfn.XLOOKUP(D423,ingredientes!B:B,ingredientes!A:A,"não")</f>
        <v>155</v>
      </c>
      <c r="D423" s="166" t="s">
        <v>581</v>
      </c>
      <c r="E423" s="17">
        <v>4</v>
      </c>
      <c r="H423">
        <f t="shared" si="22"/>
        <v>213</v>
      </c>
      <c r="I423">
        <f t="shared" si="23"/>
        <v>155</v>
      </c>
      <c r="J423">
        <f t="shared" si="24"/>
        <v>4</v>
      </c>
      <c r="K423">
        <f t="shared" si="25"/>
        <v>368</v>
      </c>
    </row>
    <row r="424" spans="1:11" x14ac:dyDescent="0.2">
      <c r="A424" s="106">
        <f>_xlfn.XLOOKUP(B424,pratos!B:B,pratos!A:A,"não")</f>
        <v>214</v>
      </c>
      <c r="B424" s="108" t="s">
        <v>213</v>
      </c>
      <c r="C424" s="105">
        <f>_xlfn.XLOOKUP(D424,ingredientes!B:B,ingredientes!A:A,"não")</f>
        <v>157</v>
      </c>
      <c r="D424" s="141" t="s">
        <v>213</v>
      </c>
      <c r="E424" s="17">
        <v>4</v>
      </c>
      <c r="H424">
        <f t="shared" si="22"/>
        <v>214</v>
      </c>
      <c r="I424">
        <f t="shared" si="23"/>
        <v>157</v>
      </c>
      <c r="J424">
        <f t="shared" si="24"/>
        <v>4</v>
      </c>
      <c r="K424">
        <f t="shared" si="25"/>
        <v>371</v>
      </c>
    </row>
    <row r="425" spans="1:11" x14ac:dyDescent="0.2">
      <c r="A425" s="106">
        <f>_xlfn.XLOOKUP(B425,pratos!B:B,pratos!A:A,"não")</f>
        <v>215</v>
      </c>
      <c r="B425" s="111" t="s">
        <v>358</v>
      </c>
      <c r="C425" s="105">
        <f>_xlfn.XLOOKUP(D425,ingredientes!B:B,ingredientes!A:A,"não")</f>
        <v>158</v>
      </c>
      <c r="D425" s="141" t="s">
        <v>358</v>
      </c>
      <c r="E425" s="17">
        <v>4</v>
      </c>
      <c r="H425">
        <f t="shared" si="22"/>
        <v>215</v>
      </c>
      <c r="I425">
        <f t="shared" si="23"/>
        <v>158</v>
      </c>
      <c r="J425">
        <f t="shared" si="24"/>
        <v>4</v>
      </c>
      <c r="K425">
        <f t="shared" si="25"/>
        <v>373</v>
      </c>
    </row>
    <row r="426" spans="1:11" x14ac:dyDescent="0.2">
      <c r="A426" s="106">
        <f>_xlfn.XLOOKUP(B426,pratos!B:B,pratos!A:A,"não")</f>
        <v>216</v>
      </c>
      <c r="B426" s="112" t="s">
        <v>67</v>
      </c>
      <c r="C426" s="105">
        <f>_xlfn.XLOOKUP(D426,ingredientes!B:B,ingredientes!A:A,"não")</f>
        <v>159</v>
      </c>
      <c r="D426" s="160" t="s">
        <v>67</v>
      </c>
      <c r="E426" s="17">
        <v>4</v>
      </c>
      <c r="H426">
        <f t="shared" si="22"/>
        <v>216</v>
      </c>
      <c r="I426">
        <f t="shared" si="23"/>
        <v>159</v>
      </c>
      <c r="J426">
        <f t="shared" si="24"/>
        <v>4</v>
      </c>
      <c r="K426">
        <f t="shared" si="25"/>
        <v>375</v>
      </c>
    </row>
    <row r="427" spans="1:11" x14ac:dyDescent="0.2">
      <c r="A427" s="106">
        <f>_xlfn.XLOOKUP(B427,pratos!B:B,pratos!A:A,"não")</f>
        <v>217</v>
      </c>
      <c r="B427" s="124" t="s">
        <v>377</v>
      </c>
      <c r="C427" s="105">
        <f>_xlfn.XLOOKUP(D427,ingredientes!B:B,ingredientes!A:A,"não")</f>
        <v>160</v>
      </c>
      <c r="D427" s="157" t="s">
        <v>377</v>
      </c>
      <c r="E427" s="17">
        <v>4</v>
      </c>
      <c r="H427">
        <f t="shared" si="22"/>
        <v>217</v>
      </c>
      <c r="I427">
        <f t="shared" si="23"/>
        <v>160</v>
      </c>
      <c r="J427">
        <f t="shared" si="24"/>
        <v>4</v>
      </c>
      <c r="K427">
        <f t="shared" si="25"/>
        <v>377</v>
      </c>
    </row>
    <row r="428" spans="1:11" x14ac:dyDescent="0.2">
      <c r="A428" s="106">
        <f>_xlfn.XLOOKUP(B428,pratos!B:B,pratos!A:A,"não")</f>
        <v>218</v>
      </c>
      <c r="B428" s="116" t="s">
        <v>567</v>
      </c>
      <c r="C428" s="105">
        <f>_xlfn.XLOOKUP(D428,ingredientes!B:B,ingredientes!A:A,"não")</f>
        <v>164</v>
      </c>
      <c r="D428" s="138" t="s">
        <v>568</v>
      </c>
      <c r="E428" s="10">
        <v>80</v>
      </c>
      <c r="H428">
        <f t="shared" si="22"/>
        <v>218</v>
      </c>
      <c r="I428">
        <f t="shared" si="23"/>
        <v>164</v>
      </c>
      <c r="J428">
        <f t="shared" si="24"/>
        <v>80</v>
      </c>
      <c r="K428">
        <f t="shared" si="25"/>
        <v>382</v>
      </c>
    </row>
    <row r="429" spans="1:11" x14ac:dyDescent="0.2">
      <c r="A429" s="106">
        <f>_xlfn.XLOOKUP(B429,pratos!B:B,pratos!A:A,"não")</f>
        <v>219</v>
      </c>
      <c r="B429" s="52" t="s">
        <v>230</v>
      </c>
      <c r="C429" s="105">
        <f>_xlfn.XLOOKUP(D429,ingredientes!B:B,ingredientes!A:A,"não")</f>
        <v>32</v>
      </c>
      <c r="D429" s="138" t="s">
        <v>483</v>
      </c>
      <c r="E429" s="10">
        <v>8</v>
      </c>
      <c r="H429">
        <f t="shared" si="22"/>
        <v>219</v>
      </c>
      <c r="I429">
        <f t="shared" si="23"/>
        <v>32</v>
      </c>
      <c r="J429">
        <f t="shared" si="24"/>
        <v>8</v>
      </c>
      <c r="K429">
        <f t="shared" si="25"/>
        <v>251</v>
      </c>
    </row>
    <row r="430" spans="1:11" x14ac:dyDescent="0.2">
      <c r="A430" s="106">
        <f>_xlfn.XLOOKUP(B430,pratos!B:B,pratos!A:A,"não")</f>
        <v>219</v>
      </c>
      <c r="B430" s="52" t="s">
        <v>230</v>
      </c>
      <c r="C430" s="105">
        <f>_xlfn.XLOOKUP(D430,ingredientes!B:B,ingredientes!A:A,"não")</f>
        <v>161</v>
      </c>
      <c r="D430" s="138" t="s">
        <v>230</v>
      </c>
      <c r="E430" s="10">
        <v>80</v>
      </c>
      <c r="H430">
        <f t="shared" si="22"/>
        <v>219</v>
      </c>
      <c r="I430">
        <f t="shared" si="23"/>
        <v>161</v>
      </c>
      <c r="J430">
        <f t="shared" si="24"/>
        <v>80</v>
      </c>
      <c r="K430">
        <f t="shared" si="25"/>
        <v>380</v>
      </c>
    </row>
    <row r="431" spans="1:11" x14ac:dyDescent="0.2">
      <c r="A431" s="106">
        <f>_xlfn.XLOOKUP(B431,pratos!B:B,pratos!A:A,"não")</f>
        <v>220</v>
      </c>
      <c r="B431" s="52" t="s">
        <v>352</v>
      </c>
      <c r="C431" s="105">
        <f>_xlfn.XLOOKUP(D431,ingredientes!B:B,ingredientes!A:A,"não")</f>
        <v>162</v>
      </c>
      <c r="D431" s="138" t="s">
        <v>352</v>
      </c>
      <c r="E431" s="17">
        <v>80</v>
      </c>
      <c r="H431">
        <f t="shared" si="22"/>
        <v>220</v>
      </c>
      <c r="I431">
        <f t="shared" si="23"/>
        <v>162</v>
      </c>
      <c r="J431">
        <f t="shared" si="24"/>
        <v>80</v>
      </c>
      <c r="K431">
        <f t="shared" si="25"/>
        <v>382</v>
      </c>
    </row>
    <row r="432" spans="1:11" x14ac:dyDescent="0.2">
      <c r="A432" s="106">
        <f>_xlfn.XLOOKUP(B432,pratos!B:B,pratos!A:A,"não")</f>
        <v>221</v>
      </c>
      <c r="B432" s="52" t="s">
        <v>316</v>
      </c>
      <c r="C432" s="105">
        <f>_xlfn.XLOOKUP(D432,ingredientes!B:B,ingredientes!A:A,"não")</f>
        <v>163</v>
      </c>
      <c r="D432" s="138" t="s">
        <v>316</v>
      </c>
      <c r="E432" s="10">
        <v>80</v>
      </c>
      <c r="H432">
        <f t="shared" si="22"/>
        <v>221</v>
      </c>
      <c r="I432">
        <f t="shared" si="23"/>
        <v>163</v>
      </c>
      <c r="J432">
        <f t="shared" si="24"/>
        <v>80</v>
      </c>
      <c r="K432">
        <f t="shared" si="25"/>
        <v>384</v>
      </c>
    </row>
    <row r="433" spans="1:11" x14ac:dyDescent="0.2">
      <c r="A433" s="106">
        <f>_xlfn.XLOOKUP(B433,pratos!B:B,pratos!A:A,"não")</f>
        <v>222</v>
      </c>
      <c r="B433" s="116" t="s">
        <v>535</v>
      </c>
      <c r="C433" s="105">
        <f>_xlfn.XLOOKUP(D433,ingredientes!B:B,ingredientes!A:A,"não")</f>
        <v>165</v>
      </c>
      <c r="D433" s="155" t="s">
        <v>196</v>
      </c>
      <c r="E433" s="88">
        <v>80</v>
      </c>
      <c r="H433">
        <f t="shared" si="22"/>
        <v>222</v>
      </c>
      <c r="I433">
        <f t="shared" si="23"/>
        <v>165</v>
      </c>
      <c r="J433">
        <f t="shared" si="24"/>
        <v>80</v>
      </c>
      <c r="K433">
        <f t="shared" si="25"/>
        <v>387</v>
      </c>
    </row>
    <row r="434" spans="1:11" x14ac:dyDescent="0.2">
      <c r="A434" s="106">
        <f>_xlfn.XLOOKUP(B434,pratos!B:B,pratos!A:A,"não")</f>
        <v>223</v>
      </c>
      <c r="B434" s="111" t="s">
        <v>195</v>
      </c>
      <c r="C434" s="105">
        <f>_xlfn.XLOOKUP(D434,ingredientes!B:B,ingredientes!A:A,"não")</f>
        <v>165</v>
      </c>
      <c r="D434" s="145" t="s">
        <v>196</v>
      </c>
      <c r="E434" s="19">
        <v>80</v>
      </c>
      <c r="H434">
        <f t="shared" si="22"/>
        <v>223</v>
      </c>
      <c r="I434">
        <f t="shared" si="23"/>
        <v>165</v>
      </c>
      <c r="J434">
        <f t="shared" si="24"/>
        <v>80</v>
      </c>
      <c r="K434">
        <f t="shared" si="25"/>
        <v>388</v>
      </c>
    </row>
    <row r="435" spans="1:11" x14ac:dyDescent="0.2">
      <c r="A435" s="106">
        <f>_xlfn.XLOOKUP(B435,pratos!B:B,pratos!A:A,"não")</f>
        <v>224</v>
      </c>
      <c r="B435" s="131" t="s">
        <v>418</v>
      </c>
      <c r="C435" s="105">
        <f>_xlfn.XLOOKUP(D435,ingredientes!B:B,ingredientes!A:A,"não")</f>
        <v>17</v>
      </c>
      <c r="D435" s="160" t="s">
        <v>7</v>
      </c>
      <c r="E435" s="32">
        <v>6</v>
      </c>
      <c r="H435">
        <f t="shared" si="22"/>
        <v>224</v>
      </c>
      <c r="I435">
        <f t="shared" si="23"/>
        <v>17</v>
      </c>
      <c r="J435">
        <f t="shared" si="24"/>
        <v>6</v>
      </c>
      <c r="K435">
        <f t="shared" si="25"/>
        <v>241</v>
      </c>
    </row>
    <row r="436" spans="1:11" x14ac:dyDescent="0.2">
      <c r="A436" s="106">
        <f>_xlfn.XLOOKUP(B436,pratos!B:B,pratos!A:A,"não")</f>
        <v>224</v>
      </c>
      <c r="B436" s="116" t="s">
        <v>418</v>
      </c>
      <c r="C436" s="105">
        <f>_xlfn.XLOOKUP(D436,ingredientes!B:B,ingredientes!A:A,"não")</f>
        <v>165</v>
      </c>
      <c r="D436" s="155" t="s">
        <v>196</v>
      </c>
      <c r="E436" s="68">
        <v>80</v>
      </c>
      <c r="H436">
        <f t="shared" si="22"/>
        <v>224</v>
      </c>
      <c r="I436">
        <f t="shared" si="23"/>
        <v>165</v>
      </c>
      <c r="J436">
        <f t="shared" si="24"/>
        <v>80</v>
      </c>
      <c r="K436">
        <f t="shared" si="25"/>
        <v>389</v>
      </c>
    </row>
    <row r="437" spans="1:11" x14ac:dyDescent="0.2">
      <c r="A437" s="106">
        <f>_xlfn.XLOOKUP(B437,pratos!B:B,pratos!A:A,"não")</f>
        <v>225</v>
      </c>
      <c r="B437" s="111" t="s">
        <v>179</v>
      </c>
      <c r="C437" s="105">
        <f>_xlfn.XLOOKUP(D437,ingredientes!B:B,ingredientes!A:A,"não")</f>
        <v>166</v>
      </c>
      <c r="D437" s="148" t="s">
        <v>180</v>
      </c>
      <c r="E437" s="19">
        <v>180</v>
      </c>
      <c r="H437">
        <f t="shared" si="22"/>
        <v>225</v>
      </c>
      <c r="I437">
        <f t="shared" si="23"/>
        <v>166</v>
      </c>
      <c r="J437">
        <f t="shared" si="24"/>
        <v>180</v>
      </c>
      <c r="K437">
        <f t="shared" si="25"/>
        <v>391</v>
      </c>
    </row>
    <row r="438" spans="1:11" x14ac:dyDescent="0.2">
      <c r="A438" s="106">
        <f>_xlfn.XLOOKUP(B438,pratos!B:B,pratos!A:A,"não")</f>
        <v>226</v>
      </c>
      <c r="B438" s="109" t="s">
        <v>403</v>
      </c>
      <c r="C438" s="105">
        <f>_xlfn.XLOOKUP(D438,ingredientes!B:B,ingredientes!A:A,"não")</f>
        <v>74</v>
      </c>
      <c r="D438" s="171" t="s">
        <v>15</v>
      </c>
      <c r="E438" s="10">
        <v>150</v>
      </c>
      <c r="H438">
        <f t="shared" si="22"/>
        <v>226</v>
      </c>
      <c r="I438">
        <f t="shared" si="23"/>
        <v>74</v>
      </c>
      <c r="J438">
        <f t="shared" si="24"/>
        <v>150</v>
      </c>
      <c r="K438">
        <f t="shared" si="25"/>
        <v>300</v>
      </c>
    </row>
    <row r="439" spans="1:11" x14ac:dyDescent="0.2">
      <c r="A439" s="106">
        <f>_xlfn.XLOOKUP(B439,pratos!B:B,pratos!A:A,"não")</f>
        <v>227</v>
      </c>
      <c r="B439" s="111" t="s">
        <v>239</v>
      </c>
      <c r="C439" s="105">
        <f>_xlfn.XLOOKUP(D439,ingredientes!B:B,ingredientes!A:A,"não")</f>
        <v>169</v>
      </c>
      <c r="D439" t="s">
        <v>666</v>
      </c>
      <c r="E439" s="19">
        <v>50</v>
      </c>
      <c r="H439">
        <f t="shared" si="22"/>
        <v>227</v>
      </c>
      <c r="I439">
        <f t="shared" si="23"/>
        <v>169</v>
      </c>
      <c r="J439">
        <f t="shared" si="24"/>
        <v>50</v>
      </c>
      <c r="K439">
        <f t="shared" si="25"/>
        <v>396</v>
      </c>
    </row>
    <row r="440" spans="1:11" x14ac:dyDescent="0.2">
      <c r="A440" s="106">
        <f>_xlfn.XLOOKUP(B440,pratos!B:B,pratos!A:A,"não")</f>
        <v>228</v>
      </c>
      <c r="B440" s="111" t="s">
        <v>356</v>
      </c>
      <c r="C440" s="105">
        <f>_xlfn.XLOOKUP(D440,ingredientes!B:B,ingredientes!A:A,"não")</f>
        <v>169</v>
      </c>
      <c r="D440" t="s">
        <v>666</v>
      </c>
      <c r="E440" s="19">
        <v>100</v>
      </c>
      <c r="H440">
        <f t="shared" si="22"/>
        <v>228</v>
      </c>
      <c r="I440">
        <f t="shared" si="23"/>
        <v>169</v>
      </c>
      <c r="J440">
        <f t="shared" si="24"/>
        <v>100</v>
      </c>
      <c r="K440">
        <f t="shared" si="25"/>
        <v>397</v>
      </c>
    </row>
    <row r="441" spans="1:11" x14ac:dyDescent="0.2">
      <c r="A441" s="106">
        <f>_xlfn.XLOOKUP(B441,pratos!B:B,pratos!A:A,"não")</f>
        <v>229</v>
      </c>
      <c r="B441" s="111" t="s">
        <v>363</v>
      </c>
      <c r="C441" s="105">
        <f>_xlfn.XLOOKUP(D441,ingredientes!B:B,ingredientes!A:A,"não")</f>
        <v>52</v>
      </c>
      <c r="D441" t="s">
        <v>614</v>
      </c>
      <c r="E441" s="19">
        <v>50</v>
      </c>
      <c r="H441">
        <f t="shared" si="22"/>
        <v>229</v>
      </c>
      <c r="I441">
        <f t="shared" si="23"/>
        <v>52</v>
      </c>
      <c r="J441">
        <f t="shared" si="24"/>
        <v>50</v>
      </c>
      <c r="K441">
        <f t="shared" si="25"/>
        <v>281</v>
      </c>
    </row>
    <row r="442" spans="1:11" x14ac:dyDescent="0.2">
      <c r="A442" s="106">
        <f>_xlfn.XLOOKUP(B442,pratos!B:B,pratos!A:A,"não")</f>
        <v>229</v>
      </c>
      <c r="B442" s="111" t="s">
        <v>363</v>
      </c>
      <c r="C442" s="105">
        <f>_xlfn.XLOOKUP(D442,ingredientes!B:B,ingredientes!A:A,"não")</f>
        <v>169</v>
      </c>
      <c r="D442" t="s">
        <v>666</v>
      </c>
      <c r="E442" s="19">
        <v>50</v>
      </c>
      <c r="H442">
        <f t="shared" si="22"/>
        <v>229</v>
      </c>
      <c r="I442">
        <f t="shared" si="23"/>
        <v>169</v>
      </c>
      <c r="J442">
        <f t="shared" si="24"/>
        <v>50</v>
      </c>
      <c r="K442">
        <f t="shared" si="25"/>
        <v>398</v>
      </c>
    </row>
    <row r="443" spans="1:11" x14ac:dyDescent="0.2">
      <c r="A443" s="106">
        <f>_xlfn.XLOOKUP(B443,pratos!B:B,pratos!A:A,"não")</f>
        <v>230</v>
      </c>
      <c r="B443" s="127" t="s">
        <v>389</v>
      </c>
      <c r="C443" s="105">
        <f>_xlfn.XLOOKUP(D443,ingredientes!B:B,ingredientes!A:A,"não")</f>
        <v>169</v>
      </c>
      <c r="D443" t="s">
        <v>666</v>
      </c>
      <c r="E443" s="65">
        <v>100</v>
      </c>
      <c r="H443">
        <f t="shared" si="22"/>
        <v>230</v>
      </c>
      <c r="I443">
        <f t="shared" si="23"/>
        <v>169</v>
      </c>
      <c r="J443">
        <f t="shared" si="24"/>
        <v>100</v>
      </c>
      <c r="K443">
        <f t="shared" si="25"/>
        <v>399</v>
      </c>
    </row>
    <row r="444" spans="1:11" x14ac:dyDescent="0.2">
      <c r="A444" s="106">
        <f>_xlfn.XLOOKUP(B444,pratos!B:B,pratos!A:A,"não")</f>
        <v>231</v>
      </c>
      <c r="B444" s="52" t="s">
        <v>360</v>
      </c>
      <c r="C444" s="105">
        <f>_xlfn.XLOOKUP(D444,ingredientes!B:B,ingredientes!A:A,"não")</f>
        <v>238</v>
      </c>
      <c r="D444" t="s">
        <v>677</v>
      </c>
      <c r="E444" s="19">
        <v>120</v>
      </c>
      <c r="H444">
        <f t="shared" si="22"/>
        <v>231</v>
      </c>
      <c r="I444">
        <f t="shared" si="23"/>
        <v>238</v>
      </c>
      <c r="J444">
        <f t="shared" si="24"/>
        <v>120</v>
      </c>
      <c r="K444">
        <f t="shared" si="25"/>
        <v>469</v>
      </c>
    </row>
    <row r="445" spans="1:11" x14ac:dyDescent="0.2">
      <c r="A445" s="106">
        <f>_xlfn.XLOOKUP(B445,pratos!B:B,pratos!A:A,"não")</f>
        <v>231</v>
      </c>
      <c r="B445" s="52" t="s">
        <v>360</v>
      </c>
      <c r="C445" s="105">
        <f>_xlfn.XLOOKUP(D445,ingredientes!B:B,ingredientes!A:A,"não")</f>
        <v>311</v>
      </c>
      <c r="D445" s="154" t="s">
        <v>217</v>
      </c>
      <c r="E445" s="19">
        <v>10</v>
      </c>
      <c r="H445">
        <f t="shared" si="22"/>
        <v>231</v>
      </c>
      <c r="I445">
        <f t="shared" si="23"/>
        <v>311</v>
      </c>
      <c r="J445">
        <f t="shared" si="24"/>
        <v>10</v>
      </c>
      <c r="K445">
        <f t="shared" si="25"/>
        <v>542</v>
      </c>
    </row>
    <row r="446" spans="1:11" x14ac:dyDescent="0.2">
      <c r="A446" s="106">
        <f>_xlfn.XLOOKUP(B446,pratos!B:B,pratos!A:A,"não")</f>
        <v>232</v>
      </c>
      <c r="B446" s="52" t="s">
        <v>345</v>
      </c>
      <c r="C446" s="105">
        <f>_xlfn.XLOOKUP(D446,ingredientes!B:B,ingredientes!A:A,"não")</f>
        <v>91</v>
      </c>
      <c r="D446" s="154" t="s">
        <v>147</v>
      </c>
      <c r="E446" s="19">
        <v>10</v>
      </c>
      <c r="H446">
        <f t="shared" si="22"/>
        <v>232</v>
      </c>
      <c r="I446">
        <f t="shared" si="23"/>
        <v>91</v>
      </c>
      <c r="J446">
        <f t="shared" si="24"/>
        <v>10</v>
      </c>
      <c r="K446">
        <f t="shared" si="25"/>
        <v>323</v>
      </c>
    </row>
    <row r="447" spans="1:11" x14ac:dyDescent="0.2">
      <c r="A447" s="106">
        <f>_xlfn.XLOOKUP(B447,pratos!B:B,pratos!A:A,"não")</f>
        <v>232</v>
      </c>
      <c r="B447" s="52" t="s">
        <v>345</v>
      </c>
      <c r="C447" s="105">
        <f>_xlfn.XLOOKUP(D447,ingredientes!B:B,ingredientes!A:A,"não")</f>
        <v>238</v>
      </c>
      <c r="D447" t="s">
        <v>677</v>
      </c>
      <c r="E447" s="19">
        <v>120</v>
      </c>
      <c r="H447">
        <f t="shared" si="22"/>
        <v>232</v>
      </c>
      <c r="I447">
        <f t="shared" si="23"/>
        <v>238</v>
      </c>
      <c r="J447">
        <f t="shared" si="24"/>
        <v>120</v>
      </c>
      <c r="K447">
        <f t="shared" si="25"/>
        <v>470</v>
      </c>
    </row>
    <row r="448" spans="1:11" x14ac:dyDescent="0.2">
      <c r="A448" s="106">
        <f>_xlfn.XLOOKUP(B448,pratos!B:B,pratos!A:A,"não")</f>
        <v>232</v>
      </c>
      <c r="B448" s="52" t="s">
        <v>345</v>
      </c>
      <c r="C448" s="105">
        <f>_xlfn.XLOOKUP(D448,ingredientes!B:B,ingredientes!A:A,"não")</f>
        <v>238</v>
      </c>
      <c r="D448" t="s">
        <v>677</v>
      </c>
      <c r="E448" s="27">
        <v>50</v>
      </c>
      <c r="H448">
        <f t="shared" ref="H448:H511" si="26">A448</f>
        <v>232</v>
      </c>
      <c r="I448">
        <f t="shared" ref="I448:I511" si="27">C448</f>
        <v>238</v>
      </c>
      <c r="J448">
        <f t="shared" ref="J448:J511" si="28">E448</f>
        <v>50</v>
      </c>
      <c r="K448">
        <f t="shared" si="25"/>
        <v>470</v>
      </c>
    </row>
    <row r="449" spans="1:11" x14ac:dyDescent="0.2">
      <c r="A449" s="106">
        <f>_xlfn.XLOOKUP(B449,pratos!B:B,pratos!A:A,"não")</f>
        <v>232</v>
      </c>
      <c r="B449" s="52" t="s">
        <v>345</v>
      </c>
      <c r="C449" s="105">
        <f>_xlfn.XLOOKUP(D449,ingredientes!B:B,ingredientes!A:A,"não")</f>
        <v>238</v>
      </c>
      <c r="D449" s="30" t="s">
        <v>677</v>
      </c>
      <c r="E449" s="19">
        <v>100</v>
      </c>
      <c r="H449">
        <f t="shared" si="26"/>
        <v>232</v>
      </c>
      <c r="I449">
        <f t="shared" si="27"/>
        <v>238</v>
      </c>
      <c r="J449">
        <f t="shared" si="28"/>
        <v>100</v>
      </c>
      <c r="K449">
        <f t="shared" si="25"/>
        <v>470</v>
      </c>
    </row>
    <row r="450" spans="1:11" x14ac:dyDescent="0.2">
      <c r="A450" s="106">
        <f>_xlfn.XLOOKUP(B450,pratos!B:B,pratos!A:A,"não")</f>
        <v>232</v>
      </c>
      <c r="B450" s="52" t="s">
        <v>345</v>
      </c>
      <c r="C450" s="105">
        <f>_xlfn.XLOOKUP(D450,ingredientes!B:B,ingredientes!A:A,"não")</f>
        <v>252</v>
      </c>
      <c r="D450" s="154" t="s">
        <v>312</v>
      </c>
      <c r="E450" s="19">
        <v>10</v>
      </c>
      <c r="H450">
        <f t="shared" si="26"/>
        <v>232</v>
      </c>
      <c r="I450">
        <f t="shared" si="27"/>
        <v>252</v>
      </c>
      <c r="J450">
        <f t="shared" si="28"/>
        <v>10</v>
      </c>
      <c r="K450">
        <f t="shared" si="25"/>
        <v>484</v>
      </c>
    </row>
    <row r="451" spans="1:11" x14ac:dyDescent="0.2">
      <c r="A451" s="106">
        <f>_xlfn.XLOOKUP(B451,pratos!B:B,pratos!A:A,"não")</f>
        <v>232</v>
      </c>
      <c r="B451" s="52" t="s">
        <v>345</v>
      </c>
      <c r="C451" s="105">
        <f>_xlfn.XLOOKUP(D451,ingredientes!B:B,ingredientes!A:A,"não")</f>
        <v>311</v>
      </c>
      <c r="D451" s="154" t="s">
        <v>217</v>
      </c>
      <c r="E451" s="19">
        <v>10</v>
      </c>
      <c r="H451">
        <f t="shared" si="26"/>
        <v>232</v>
      </c>
      <c r="I451">
        <f t="shared" si="27"/>
        <v>311</v>
      </c>
      <c r="J451">
        <f t="shared" si="28"/>
        <v>10</v>
      </c>
      <c r="K451">
        <f t="shared" ref="K451:K514" si="29">H451+I451</f>
        <v>543</v>
      </c>
    </row>
    <row r="452" spans="1:11" x14ac:dyDescent="0.2">
      <c r="A452" s="106">
        <f>_xlfn.XLOOKUP(B452,pratos!B:B,pratos!A:A,"não")</f>
        <v>233</v>
      </c>
      <c r="B452" s="111" t="s">
        <v>364</v>
      </c>
      <c r="C452" s="105">
        <f>_xlfn.XLOOKUP(D452,ingredientes!B:B,ingredientes!A:A,"não")</f>
        <v>244</v>
      </c>
      <c r="D452" t="s">
        <v>680</v>
      </c>
      <c r="E452" s="10">
        <v>120</v>
      </c>
      <c r="H452">
        <f t="shared" si="26"/>
        <v>233</v>
      </c>
      <c r="I452">
        <f t="shared" si="27"/>
        <v>244</v>
      </c>
      <c r="J452">
        <f t="shared" si="28"/>
        <v>120</v>
      </c>
      <c r="K452">
        <f t="shared" si="29"/>
        <v>477</v>
      </c>
    </row>
    <row r="453" spans="1:11" x14ac:dyDescent="0.2">
      <c r="A453" s="106">
        <f>_xlfn.XLOOKUP(B453,pratos!B:B,pratos!A:A,"não")</f>
        <v>234</v>
      </c>
      <c r="B453" s="116" t="s">
        <v>555</v>
      </c>
      <c r="C453" s="105">
        <f>_xlfn.XLOOKUP(D453,ingredientes!B:B,ingredientes!A:A,"não")</f>
        <v>88</v>
      </c>
      <c r="D453" s="30" t="s">
        <v>637</v>
      </c>
      <c r="E453" s="100">
        <v>120</v>
      </c>
      <c r="H453">
        <f t="shared" si="26"/>
        <v>234</v>
      </c>
      <c r="I453">
        <f t="shared" si="27"/>
        <v>88</v>
      </c>
      <c r="J453">
        <f t="shared" si="28"/>
        <v>120</v>
      </c>
      <c r="K453">
        <f t="shared" si="29"/>
        <v>322</v>
      </c>
    </row>
    <row r="454" spans="1:11" x14ac:dyDescent="0.2">
      <c r="A454" s="106">
        <f>_xlfn.XLOOKUP(B454,pratos!B:B,pratos!A:A,"não")</f>
        <v>234</v>
      </c>
      <c r="B454" s="116" t="s">
        <v>555</v>
      </c>
      <c r="C454" s="105">
        <f>_xlfn.XLOOKUP(D454,ingredientes!B:B,ingredientes!A:A,"não")</f>
        <v>88</v>
      </c>
      <c r="D454" s="30" t="s">
        <v>637</v>
      </c>
      <c r="E454" s="101">
        <v>50</v>
      </c>
      <c r="H454">
        <f t="shared" si="26"/>
        <v>234</v>
      </c>
      <c r="I454">
        <f t="shared" si="27"/>
        <v>88</v>
      </c>
      <c r="J454">
        <f t="shared" si="28"/>
        <v>50</v>
      </c>
      <c r="K454">
        <f t="shared" si="29"/>
        <v>322</v>
      </c>
    </row>
    <row r="455" spans="1:11" x14ac:dyDescent="0.2">
      <c r="A455" s="106">
        <f>_xlfn.XLOOKUP(B455,pratos!B:B,pratos!A:A,"não")</f>
        <v>234</v>
      </c>
      <c r="B455" s="116" t="s">
        <v>555</v>
      </c>
      <c r="C455" s="105">
        <f>_xlfn.XLOOKUP(D455,ingredientes!B:B,ingredientes!A:A,"não")</f>
        <v>91</v>
      </c>
      <c r="D455" s="76" t="s">
        <v>147</v>
      </c>
      <c r="E455" s="87">
        <v>10</v>
      </c>
      <c r="H455">
        <f t="shared" si="26"/>
        <v>234</v>
      </c>
      <c r="I455">
        <f t="shared" si="27"/>
        <v>91</v>
      </c>
      <c r="J455">
        <f t="shared" si="28"/>
        <v>10</v>
      </c>
      <c r="K455">
        <f t="shared" si="29"/>
        <v>325</v>
      </c>
    </row>
    <row r="456" spans="1:11" x14ac:dyDescent="0.2">
      <c r="A456" s="106">
        <f>_xlfn.XLOOKUP(B456,pratos!B:B,pratos!A:A,"não")</f>
        <v>234</v>
      </c>
      <c r="B456" s="116" t="s">
        <v>555</v>
      </c>
      <c r="C456" s="105">
        <f>_xlfn.XLOOKUP(D456,ingredientes!B:B,ingredientes!A:A,"não")</f>
        <v>91</v>
      </c>
      <c r="D456" s="76" t="s">
        <v>147</v>
      </c>
      <c r="E456" s="87">
        <v>5</v>
      </c>
      <c r="H456">
        <f t="shared" si="26"/>
        <v>234</v>
      </c>
      <c r="I456">
        <f t="shared" si="27"/>
        <v>91</v>
      </c>
      <c r="J456">
        <f t="shared" si="28"/>
        <v>5</v>
      </c>
      <c r="K456">
        <f t="shared" si="29"/>
        <v>325</v>
      </c>
    </row>
    <row r="457" spans="1:11" x14ac:dyDescent="0.2">
      <c r="A457" s="106">
        <f>_xlfn.XLOOKUP(B457,pratos!B:B,pratos!A:A,"não")</f>
        <v>234</v>
      </c>
      <c r="B457" s="116" t="s">
        <v>555</v>
      </c>
      <c r="C457" s="105">
        <f>_xlfn.XLOOKUP(D457,ingredientes!B:B,ingredientes!A:A,"não")</f>
        <v>252</v>
      </c>
      <c r="D457" s="30" t="s">
        <v>312</v>
      </c>
      <c r="E457" s="87">
        <v>10</v>
      </c>
      <c r="H457">
        <f t="shared" si="26"/>
        <v>234</v>
      </c>
      <c r="I457">
        <f t="shared" si="27"/>
        <v>252</v>
      </c>
      <c r="J457">
        <f t="shared" si="28"/>
        <v>10</v>
      </c>
      <c r="K457">
        <f t="shared" si="29"/>
        <v>486</v>
      </c>
    </row>
    <row r="458" spans="1:11" x14ac:dyDescent="0.2">
      <c r="A458" s="106">
        <f>_xlfn.XLOOKUP(B458,pratos!B:B,pratos!A:A,"não")</f>
        <v>234</v>
      </c>
      <c r="B458" s="116" t="s">
        <v>555</v>
      </c>
      <c r="C458" s="105">
        <f>_xlfn.XLOOKUP(D458,ingredientes!B:B,ingredientes!A:A,"não")</f>
        <v>310</v>
      </c>
      <c r="D458" s="76" t="s">
        <v>150</v>
      </c>
      <c r="E458" s="10">
        <v>10</v>
      </c>
      <c r="H458">
        <f t="shared" si="26"/>
        <v>234</v>
      </c>
      <c r="I458">
        <f t="shared" si="27"/>
        <v>310</v>
      </c>
      <c r="J458">
        <f t="shared" si="28"/>
        <v>10</v>
      </c>
      <c r="K458">
        <f t="shared" si="29"/>
        <v>544</v>
      </c>
    </row>
    <row r="459" spans="1:11" x14ac:dyDescent="0.2">
      <c r="A459" s="106">
        <f>_xlfn.XLOOKUP(B459,pratos!B:B,pratos!A:A,"não")</f>
        <v>234</v>
      </c>
      <c r="B459" s="116" t="s">
        <v>555</v>
      </c>
      <c r="C459" s="105">
        <f>_xlfn.XLOOKUP(D459,ingredientes!B:B,ingredientes!A:A,"não")</f>
        <v>310</v>
      </c>
      <c r="D459" s="76" t="s">
        <v>150</v>
      </c>
      <c r="E459" s="10">
        <v>5</v>
      </c>
      <c r="H459">
        <f t="shared" si="26"/>
        <v>234</v>
      </c>
      <c r="I459">
        <f t="shared" si="27"/>
        <v>310</v>
      </c>
      <c r="J459">
        <f t="shared" si="28"/>
        <v>5</v>
      </c>
      <c r="K459">
        <f t="shared" si="29"/>
        <v>544</v>
      </c>
    </row>
    <row r="460" spans="1:11" x14ac:dyDescent="0.2">
      <c r="A460" s="106">
        <f>_xlfn.XLOOKUP(B460,pratos!B:B,pratos!A:A,"não")</f>
        <v>235</v>
      </c>
      <c r="B460" s="116" t="s">
        <v>565</v>
      </c>
      <c r="C460" s="105">
        <f>_xlfn.XLOOKUP(D460,ingredientes!B:B,ingredientes!A:A,"não")</f>
        <v>88</v>
      </c>
      <c r="D460" s="30" t="s">
        <v>637</v>
      </c>
      <c r="E460" s="102">
        <v>120</v>
      </c>
      <c r="H460">
        <f t="shared" si="26"/>
        <v>235</v>
      </c>
      <c r="I460">
        <f t="shared" si="27"/>
        <v>88</v>
      </c>
      <c r="J460">
        <f t="shared" si="28"/>
        <v>120</v>
      </c>
      <c r="K460">
        <f t="shared" si="29"/>
        <v>323</v>
      </c>
    </row>
    <row r="461" spans="1:11" x14ac:dyDescent="0.2">
      <c r="A461" s="106">
        <f>_xlfn.XLOOKUP(B461,pratos!B:B,pratos!A:A,"não")</f>
        <v>236</v>
      </c>
      <c r="B461" s="116" t="s">
        <v>569</v>
      </c>
      <c r="C461" s="105">
        <f>_xlfn.XLOOKUP(D461,ingredientes!B:B,ingredientes!A:A,"não")</f>
        <v>242</v>
      </c>
      <c r="D461" s="30" t="s">
        <v>276</v>
      </c>
      <c r="E461" s="17">
        <v>120</v>
      </c>
      <c r="H461">
        <f t="shared" si="26"/>
        <v>236</v>
      </c>
      <c r="I461">
        <f t="shared" si="27"/>
        <v>242</v>
      </c>
      <c r="J461">
        <f t="shared" si="28"/>
        <v>120</v>
      </c>
      <c r="K461">
        <f t="shared" si="29"/>
        <v>478</v>
      </c>
    </row>
    <row r="462" spans="1:11" x14ac:dyDescent="0.2">
      <c r="A462" s="106">
        <f>_xlfn.XLOOKUP(B462,pratos!B:B,pratos!A:A,"não")</f>
        <v>237</v>
      </c>
      <c r="B462" s="116" t="s">
        <v>571</v>
      </c>
      <c r="C462" s="105">
        <f>_xlfn.XLOOKUP(D462,ingredientes!B:B,ingredientes!A:A,"não")</f>
        <v>91</v>
      </c>
      <c r="D462" s="76" t="s">
        <v>147</v>
      </c>
      <c r="E462" s="87">
        <v>5</v>
      </c>
      <c r="H462">
        <f t="shared" si="26"/>
        <v>237</v>
      </c>
      <c r="I462">
        <f t="shared" si="27"/>
        <v>91</v>
      </c>
      <c r="J462">
        <f t="shared" si="28"/>
        <v>5</v>
      </c>
      <c r="K462">
        <f t="shared" si="29"/>
        <v>328</v>
      </c>
    </row>
    <row r="463" spans="1:11" x14ac:dyDescent="0.2">
      <c r="A463" s="106">
        <f>_xlfn.XLOOKUP(B463,pratos!B:B,pratos!A:A,"não")</f>
        <v>237</v>
      </c>
      <c r="B463" s="116" t="s">
        <v>571</v>
      </c>
      <c r="C463" s="105">
        <f>_xlfn.XLOOKUP(D463,ingredientes!B:B,ingredientes!A:A,"não")</f>
        <v>238</v>
      </c>
      <c r="D463" s="30" t="s">
        <v>677</v>
      </c>
      <c r="E463" s="93">
        <v>50</v>
      </c>
      <c r="H463">
        <f t="shared" si="26"/>
        <v>237</v>
      </c>
      <c r="I463">
        <f t="shared" si="27"/>
        <v>238</v>
      </c>
      <c r="J463">
        <f t="shared" si="28"/>
        <v>50</v>
      </c>
      <c r="K463">
        <f t="shared" si="29"/>
        <v>475</v>
      </c>
    </row>
    <row r="464" spans="1:11" x14ac:dyDescent="0.2">
      <c r="A464" s="106">
        <f>_xlfn.XLOOKUP(B464,pratos!B:B,pratos!A:A,"não")</f>
        <v>237</v>
      </c>
      <c r="B464" s="116" t="s">
        <v>571</v>
      </c>
      <c r="C464" s="105">
        <f>_xlfn.XLOOKUP(D464,ingredientes!B:B,ingredientes!A:A,"não")</f>
        <v>238</v>
      </c>
      <c r="D464" s="30" t="s">
        <v>677</v>
      </c>
      <c r="E464" s="93">
        <v>100</v>
      </c>
      <c r="H464">
        <f t="shared" si="26"/>
        <v>237</v>
      </c>
      <c r="I464">
        <f t="shared" si="27"/>
        <v>238</v>
      </c>
      <c r="J464">
        <f t="shared" si="28"/>
        <v>100</v>
      </c>
      <c r="K464">
        <f t="shared" si="29"/>
        <v>475</v>
      </c>
    </row>
    <row r="465" spans="1:11" x14ac:dyDescent="0.2">
      <c r="A465" s="106">
        <f>_xlfn.XLOOKUP(B465,pratos!B:B,pratos!A:A,"não")</f>
        <v>237</v>
      </c>
      <c r="B465" s="116" t="s">
        <v>571</v>
      </c>
      <c r="C465" s="105">
        <f>_xlfn.XLOOKUP(D465,ingredientes!B:B,ingredientes!A:A,"não")</f>
        <v>252</v>
      </c>
      <c r="D465" s="76" t="s">
        <v>312</v>
      </c>
      <c r="E465" s="87">
        <v>5</v>
      </c>
      <c r="H465">
        <f t="shared" si="26"/>
        <v>237</v>
      </c>
      <c r="I465">
        <f t="shared" si="27"/>
        <v>252</v>
      </c>
      <c r="J465">
        <f t="shared" si="28"/>
        <v>5</v>
      </c>
      <c r="K465">
        <f t="shared" si="29"/>
        <v>489</v>
      </c>
    </row>
    <row r="466" spans="1:11" x14ac:dyDescent="0.2">
      <c r="A466" s="106">
        <f>_xlfn.XLOOKUP(B466,pratos!B:B,pratos!A:A,"não")</f>
        <v>237</v>
      </c>
      <c r="B466" s="116" t="s">
        <v>571</v>
      </c>
      <c r="C466" s="105">
        <f>_xlfn.XLOOKUP(D466,ingredientes!B:B,ingredientes!A:A,"não")</f>
        <v>310</v>
      </c>
      <c r="D466" s="76" t="s">
        <v>150</v>
      </c>
      <c r="E466" s="10">
        <v>5</v>
      </c>
      <c r="H466">
        <f t="shared" si="26"/>
        <v>237</v>
      </c>
      <c r="I466">
        <f t="shared" si="27"/>
        <v>310</v>
      </c>
      <c r="J466">
        <f t="shared" si="28"/>
        <v>5</v>
      </c>
      <c r="K466">
        <f t="shared" si="29"/>
        <v>547</v>
      </c>
    </row>
    <row r="467" spans="1:11" x14ac:dyDescent="0.2">
      <c r="A467" s="106">
        <f>_xlfn.XLOOKUP(B467,pratos!B:B,pratos!A:A,"não")</f>
        <v>238</v>
      </c>
      <c r="B467" s="116" t="s">
        <v>560</v>
      </c>
      <c r="C467" s="105">
        <f>_xlfn.XLOOKUP(D467,ingredientes!B:B,ingredientes!A:A,"não")</f>
        <v>91</v>
      </c>
      <c r="D467" s="30" t="s">
        <v>147</v>
      </c>
      <c r="E467" s="93">
        <v>10</v>
      </c>
      <c r="H467">
        <f t="shared" si="26"/>
        <v>238</v>
      </c>
      <c r="I467">
        <f t="shared" si="27"/>
        <v>91</v>
      </c>
      <c r="J467">
        <f t="shared" si="28"/>
        <v>10</v>
      </c>
      <c r="K467">
        <f t="shared" si="29"/>
        <v>329</v>
      </c>
    </row>
    <row r="468" spans="1:11" x14ac:dyDescent="0.2">
      <c r="A468" s="106">
        <f>_xlfn.XLOOKUP(B468,pratos!B:B,pratos!A:A,"não")</f>
        <v>238</v>
      </c>
      <c r="B468" s="116" t="s">
        <v>560</v>
      </c>
      <c r="C468" s="105">
        <f>_xlfn.XLOOKUP(D468,ingredientes!B:B,ingredientes!A:A,"não")</f>
        <v>242</v>
      </c>
      <c r="D468" s="30" t="s">
        <v>276</v>
      </c>
      <c r="E468" s="17">
        <v>120</v>
      </c>
      <c r="H468">
        <f t="shared" si="26"/>
        <v>238</v>
      </c>
      <c r="I468">
        <f t="shared" si="27"/>
        <v>242</v>
      </c>
      <c r="J468">
        <f t="shared" si="28"/>
        <v>120</v>
      </c>
      <c r="K468">
        <f t="shared" si="29"/>
        <v>480</v>
      </c>
    </row>
    <row r="469" spans="1:11" x14ac:dyDescent="0.2">
      <c r="A469" s="106">
        <f>_xlfn.XLOOKUP(B469,pratos!B:B,pratos!A:A,"não")</f>
        <v>238</v>
      </c>
      <c r="B469" s="116" t="s">
        <v>560</v>
      </c>
      <c r="C469" s="105">
        <f>_xlfn.XLOOKUP(D469,ingredientes!B:B,ingredientes!A:A,"não")</f>
        <v>242</v>
      </c>
      <c r="D469" s="30" t="s">
        <v>276</v>
      </c>
      <c r="E469" s="17">
        <v>50</v>
      </c>
      <c r="H469">
        <f t="shared" si="26"/>
        <v>238</v>
      </c>
      <c r="I469">
        <f t="shared" si="27"/>
        <v>242</v>
      </c>
      <c r="J469">
        <f t="shared" si="28"/>
        <v>50</v>
      </c>
      <c r="K469">
        <f t="shared" si="29"/>
        <v>480</v>
      </c>
    </row>
    <row r="470" spans="1:11" x14ac:dyDescent="0.2">
      <c r="A470" s="106">
        <f>_xlfn.XLOOKUP(B470,pratos!B:B,pratos!A:A,"não")</f>
        <v>238</v>
      </c>
      <c r="B470" s="116" t="s">
        <v>560</v>
      </c>
      <c r="C470" s="105">
        <f>_xlfn.XLOOKUP(D470,ingredientes!B:B,ingredientes!A:A,"não")</f>
        <v>242</v>
      </c>
      <c r="D470" s="30" t="s">
        <v>276</v>
      </c>
      <c r="E470" s="17">
        <v>100</v>
      </c>
      <c r="H470">
        <f t="shared" si="26"/>
        <v>238</v>
      </c>
      <c r="I470">
        <f t="shared" si="27"/>
        <v>242</v>
      </c>
      <c r="J470">
        <f t="shared" si="28"/>
        <v>100</v>
      </c>
      <c r="K470">
        <f t="shared" si="29"/>
        <v>480</v>
      </c>
    </row>
    <row r="471" spans="1:11" x14ac:dyDescent="0.2">
      <c r="A471" s="106">
        <f>_xlfn.XLOOKUP(B471,pratos!B:B,pratos!A:A,"não")</f>
        <v>239</v>
      </c>
      <c r="B471" s="116" t="s">
        <v>485</v>
      </c>
      <c r="C471" s="105">
        <f>_xlfn.XLOOKUP(D471,ingredientes!B:B,ingredientes!A:A,"não")</f>
        <v>170</v>
      </c>
      <c r="D471" s="67" t="s">
        <v>236</v>
      </c>
      <c r="E471" s="65">
        <v>100</v>
      </c>
      <c r="H471">
        <f t="shared" si="26"/>
        <v>239</v>
      </c>
      <c r="I471">
        <f t="shared" si="27"/>
        <v>170</v>
      </c>
      <c r="J471">
        <f t="shared" si="28"/>
        <v>100</v>
      </c>
      <c r="K471">
        <f t="shared" si="29"/>
        <v>409</v>
      </c>
    </row>
    <row r="472" spans="1:11" x14ac:dyDescent="0.2">
      <c r="A472" s="106">
        <f>_xlfn.XLOOKUP(B472,pratos!B:B,pratos!A:A,"não")</f>
        <v>240</v>
      </c>
      <c r="B472" s="108" t="s">
        <v>236</v>
      </c>
      <c r="C472" s="105">
        <f>_xlfn.XLOOKUP(D472,ingredientes!B:B,ingredientes!A:A,"não")</f>
        <v>170</v>
      </c>
      <c r="D472" s="4" t="s">
        <v>236</v>
      </c>
      <c r="E472" s="19">
        <v>100</v>
      </c>
      <c r="H472">
        <f t="shared" si="26"/>
        <v>240</v>
      </c>
      <c r="I472">
        <f t="shared" si="27"/>
        <v>170</v>
      </c>
      <c r="J472">
        <f t="shared" si="28"/>
        <v>100</v>
      </c>
      <c r="K472">
        <f t="shared" si="29"/>
        <v>410</v>
      </c>
    </row>
    <row r="473" spans="1:11" x14ac:dyDescent="0.2">
      <c r="A473" s="106">
        <f>_xlfn.XLOOKUP(B473,pratos!B:B,pratos!A:A,"não")</f>
        <v>241</v>
      </c>
      <c r="B473" s="111" t="s">
        <v>308</v>
      </c>
      <c r="C473" s="105">
        <f>_xlfn.XLOOKUP(D473,ingredientes!B:B,ingredientes!A:A,"não")</f>
        <v>172</v>
      </c>
      <c r="D473" s="30" t="s">
        <v>669</v>
      </c>
      <c r="E473" s="17">
        <v>120</v>
      </c>
      <c r="H473">
        <f t="shared" si="26"/>
        <v>241</v>
      </c>
      <c r="I473">
        <f t="shared" si="27"/>
        <v>172</v>
      </c>
      <c r="J473">
        <f t="shared" si="28"/>
        <v>120</v>
      </c>
      <c r="K473">
        <f t="shared" si="29"/>
        <v>413</v>
      </c>
    </row>
    <row r="474" spans="1:11" x14ac:dyDescent="0.2">
      <c r="A474" s="106">
        <f>_xlfn.XLOOKUP(B474,pratos!B:B,pratos!A:A,"não")</f>
        <v>241</v>
      </c>
      <c r="B474" s="111" t="s">
        <v>308</v>
      </c>
      <c r="C474" s="105">
        <f>_xlfn.XLOOKUP(D474,ingredientes!B:B,ingredientes!A:A,"não")</f>
        <v>172</v>
      </c>
      <c r="D474" t="s">
        <v>669</v>
      </c>
      <c r="E474" s="17">
        <v>50</v>
      </c>
      <c r="H474">
        <f t="shared" si="26"/>
        <v>241</v>
      </c>
      <c r="I474">
        <f t="shared" si="27"/>
        <v>172</v>
      </c>
      <c r="J474">
        <f t="shared" si="28"/>
        <v>50</v>
      </c>
      <c r="K474">
        <f t="shared" si="29"/>
        <v>413</v>
      </c>
    </row>
    <row r="475" spans="1:11" x14ac:dyDescent="0.2">
      <c r="A475" s="106">
        <f>_xlfn.XLOOKUP(B475,pratos!B:B,pratos!A:A,"não")</f>
        <v>242</v>
      </c>
      <c r="B475" s="109" t="s">
        <v>361</v>
      </c>
      <c r="C475" s="105">
        <f>_xlfn.XLOOKUP(D475,ingredientes!B:B,ingredientes!A:A,"não")</f>
        <v>172</v>
      </c>
      <c r="D475" t="s">
        <v>669</v>
      </c>
      <c r="E475" s="10">
        <v>120</v>
      </c>
      <c r="H475">
        <f t="shared" si="26"/>
        <v>242</v>
      </c>
      <c r="I475">
        <f t="shared" si="27"/>
        <v>172</v>
      </c>
      <c r="J475">
        <f t="shared" si="28"/>
        <v>120</v>
      </c>
      <c r="K475">
        <f t="shared" si="29"/>
        <v>414</v>
      </c>
    </row>
    <row r="476" spans="1:11" x14ac:dyDescent="0.2">
      <c r="A476" s="106">
        <f>_xlfn.XLOOKUP(B476,pratos!B:B,pratos!A:A,"não")</f>
        <v>243</v>
      </c>
      <c r="B476" s="109" t="s">
        <v>339</v>
      </c>
      <c r="C476" s="105">
        <f>_xlfn.XLOOKUP(D476,ingredientes!B:B,ingredientes!A:A,"não")</f>
        <v>172</v>
      </c>
      <c r="D476" t="s">
        <v>669</v>
      </c>
      <c r="E476" s="10">
        <v>120</v>
      </c>
      <c r="H476">
        <f t="shared" si="26"/>
        <v>243</v>
      </c>
      <c r="I476">
        <f t="shared" si="27"/>
        <v>172</v>
      </c>
      <c r="J476">
        <f t="shared" si="28"/>
        <v>120</v>
      </c>
      <c r="K476">
        <f t="shared" si="29"/>
        <v>415</v>
      </c>
    </row>
    <row r="477" spans="1:11" x14ac:dyDescent="0.2">
      <c r="A477" s="106">
        <f>_xlfn.XLOOKUP(B477,pratos!B:B,pratos!A:A,"não")</f>
        <v>243</v>
      </c>
      <c r="B477" s="109" t="s">
        <v>339</v>
      </c>
      <c r="C477" s="105">
        <f>_xlfn.XLOOKUP(D477,ingredientes!B:B,ingredientes!A:A,"não")</f>
        <v>172</v>
      </c>
      <c r="D477" t="s">
        <v>669</v>
      </c>
      <c r="E477" s="17">
        <v>50</v>
      </c>
      <c r="H477">
        <f t="shared" si="26"/>
        <v>243</v>
      </c>
      <c r="I477">
        <f t="shared" si="27"/>
        <v>172</v>
      </c>
      <c r="J477">
        <f t="shared" si="28"/>
        <v>50</v>
      </c>
      <c r="K477">
        <f t="shared" si="29"/>
        <v>415</v>
      </c>
    </row>
    <row r="478" spans="1:11" x14ac:dyDescent="0.2">
      <c r="A478" s="106">
        <f>_xlfn.XLOOKUP(B478,pratos!B:B,pratos!A:A,"não")</f>
        <v>244</v>
      </c>
      <c r="B478" s="111" t="s">
        <v>303</v>
      </c>
      <c r="C478" s="105">
        <f>_xlfn.XLOOKUP(D478,ingredientes!B:B,ingredientes!A:A,"não")</f>
        <v>96</v>
      </c>
      <c r="D478" t="s">
        <v>641</v>
      </c>
      <c r="E478" s="17">
        <v>10</v>
      </c>
      <c r="H478">
        <f t="shared" si="26"/>
        <v>244</v>
      </c>
      <c r="I478">
        <f t="shared" si="27"/>
        <v>96</v>
      </c>
      <c r="J478">
        <f t="shared" si="28"/>
        <v>10</v>
      </c>
      <c r="K478">
        <f t="shared" si="29"/>
        <v>340</v>
      </c>
    </row>
    <row r="479" spans="1:11" x14ac:dyDescent="0.2">
      <c r="A479" s="106">
        <f>_xlfn.XLOOKUP(B479,pratos!B:B,pratos!A:A,"não")</f>
        <v>244</v>
      </c>
      <c r="B479" s="111" t="s">
        <v>303</v>
      </c>
      <c r="C479" s="105">
        <f>_xlfn.XLOOKUP(D479,ingredientes!B:B,ingredientes!A:A,"não")</f>
        <v>172</v>
      </c>
      <c r="D479" t="s">
        <v>669</v>
      </c>
      <c r="E479" s="17">
        <v>120</v>
      </c>
      <c r="H479">
        <f t="shared" si="26"/>
        <v>244</v>
      </c>
      <c r="I479">
        <f t="shared" si="27"/>
        <v>172</v>
      </c>
      <c r="J479">
        <f t="shared" si="28"/>
        <v>120</v>
      </c>
      <c r="K479">
        <f t="shared" si="29"/>
        <v>416</v>
      </c>
    </row>
    <row r="480" spans="1:11" x14ac:dyDescent="0.2">
      <c r="A480" s="106">
        <f>_xlfn.XLOOKUP(B480,pratos!B:B,pratos!A:A,"não")</f>
        <v>244</v>
      </c>
      <c r="B480" s="111" t="s">
        <v>303</v>
      </c>
      <c r="C480" s="105">
        <f>_xlfn.XLOOKUP(D480,ingredientes!B:B,ingredientes!A:A,"não")</f>
        <v>181</v>
      </c>
      <c r="D480" s="151" t="s">
        <v>304</v>
      </c>
      <c r="E480" s="17">
        <v>10</v>
      </c>
      <c r="H480">
        <f t="shared" si="26"/>
        <v>244</v>
      </c>
      <c r="I480">
        <f t="shared" si="27"/>
        <v>181</v>
      </c>
      <c r="J480">
        <f t="shared" si="28"/>
        <v>10</v>
      </c>
      <c r="K480">
        <f t="shared" si="29"/>
        <v>425</v>
      </c>
    </row>
    <row r="481" spans="1:11" x14ac:dyDescent="0.2">
      <c r="A481" s="106">
        <f>_xlfn.XLOOKUP(B481,pratos!B:B,pratos!A:A,"não")</f>
        <v>245</v>
      </c>
      <c r="B481" s="111" t="s">
        <v>336</v>
      </c>
      <c r="C481" s="105">
        <f>_xlfn.XLOOKUP(D481,ingredientes!B:B,ingredientes!A:A,"não")</f>
        <v>174</v>
      </c>
      <c r="D481" s="175" t="s">
        <v>137</v>
      </c>
      <c r="E481" s="5">
        <v>200</v>
      </c>
      <c r="H481">
        <f t="shared" si="26"/>
        <v>245</v>
      </c>
      <c r="I481">
        <f t="shared" si="27"/>
        <v>174</v>
      </c>
      <c r="J481">
        <f t="shared" si="28"/>
        <v>200</v>
      </c>
      <c r="K481">
        <f t="shared" si="29"/>
        <v>419</v>
      </c>
    </row>
    <row r="482" spans="1:11" x14ac:dyDescent="0.2">
      <c r="A482" s="106">
        <f>_xlfn.XLOOKUP(B482,pratos!B:B,pratos!A:A,"não")</f>
        <v>246</v>
      </c>
      <c r="B482" s="52" t="s">
        <v>153</v>
      </c>
      <c r="C482" s="105">
        <f>_xlfn.XLOOKUP(D482,ingredientes!B:B,ingredientes!A:A,"não")</f>
        <v>174</v>
      </c>
      <c r="D482" s="175" t="s">
        <v>137</v>
      </c>
      <c r="E482" s="5">
        <v>200</v>
      </c>
      <c r="H482">
        <f t="shared" si="26"/>
        <v>246</v>
      </c>
      <c r="I482">
        <f t="shared" si="27"/>
        <v>174</v>
      </c>
      <c r="J482">
        <f t="shared" si="28"/>
        <v>200</v>
      </c>
      <c r="K482">
        <f t="shared" si="29"/>
        <v>420</v>
      </c>
    </row>
    <row r="483" spans="1:11" x14ac:dyDescent="0.2">
      <c r="A483" s="106">
        <f>_xlfn.XLOOKUP(B483,pratos!B:B,pratos!A:A,"não")</f>
        <v>247</v>
      </c>
      <c r="B483" s="52" t="s">
        <v>170</v>
      </c>
      <c r="C483" s="105">
        <f>_xlfn.XLOOKUP(D483,ingredientes!B:B,ingredientes!A:A,"não")</f>
        <v>32</v>
      </c>
      <c r="D483" s="138" t="s">
        <v>483</v>
      </c>
      <c r="E483" s="10">
        <v>8</v>
      </c>
      <c r="H483">
        <f t="shared" si="26"/>
        <v>247</v>
      </c>
      <c r="I483">
        <f t="shared" si="27"/>
        <v>32</v>
      </c>
      <c r="J483">
        <f t="shared" si="28"/>
        <v>8</v>
      </c>
      <c r="K483">
        <f t="shared" si="29"/>
        <v>279</v>
      </c>
    </row>
    <row r="484" spans="1:11" x14ac:dyDescent="0.2">
      <c r="A484" s="106">
        <f>_xlfn.XLOOKUP(B484,pratos!B:B,pratos!A:A,"não")</f>
        <v>247</v>
      </c>
      <c r="B484" s="52" t="s">
        <v>170</v>
      </c>
      <c r="C484" s="105">
        <f>_xlfn.XLOOKUP(D484,ingredientes!B:B,ingredientes!A:A,"não")</f>
        <v>173</v>
      </c>
      <c r="D484" s="138" t="s">
        <v>170</v>
      </c>
      <c r="E484" s="10">
        <v>150</v>
      </c>
      <c r="H484">
        <f t="shared" si="26"/>
        <v>247</v>
      </c>
      <c r="I484">
        <f t="shared" si="27"/>
        <v>173</v>
      </c>
      <c r="J484">
        <f t="shared" si="28"/>
        <v>150</v>
      </c>
      <c r="K484">
        <f t="shared" si="29"/>
        <v>420</v>
      </c>
    </row>
    <row r="485" spans="1:11" x14ac:dyDescent="0.2">
      <c r="A485" s="106">
        <f>_xlfn.XLOOKUP(B485,pratos!B:B,pratos!A:A,"não")</f>
        <v>247</v>
      </c>
      <c r="B485" s="52" t="s">
        <v>370</v>
      </c>
      <c r="C485" s="105">
        <f>_xlfn.XLOOKUP(D485,ingredientes!B:B,ingredientes!A:A,"não")</f>
        <v>173</v>
      </c>
      <c r="D485" s="145" t="s">
        <v>170</v>
      </c>
      <c r="E485" s="10">
        <v>200</v>
      </c>
      <c r="H485">
        <f t="shared" si="26"/>
        <v>247</v>
      </c>
      <c r="I485">
        <f t="shared" si="27"/>
        <v>173</v>
      </c>
      <c r="J485">
        <f t="shared" si="28"/>
        <v>200</v>
      </c>
      <c r="K485">
        <f t="shared" si="29"/>
        <v>420</v>
      </c>
    </row>
    <row r="486" spans="1:11" x14ac:dyDescent="0.2">
      <c r="A486" s="106">
        <f>_xlfn.XLOOKUP(B486,pratos!B:B,pratos!A:A,"não")</f>
        <v>248</v>
      </c>
      <c r="B486" s="111" t="s">
        <v>137</v>
      </c>
      <c r="C486" s="105">
        <f>_xlfn.XLOOKUP(D486,ingredientes!B:B,ingredientes!A:A,"não")</f>
        <v>174</v>
      </c>
      <c r="D486" s="37" t="s">
        <v>137</v>
      </c>
      <c r="E486" s="5">
        <v>200</v>
      </c>
      <c r="H486">
        <f t="shared" si="26"/>
        <v>248</v>
      </c>
      <c r="I486">
        <f t="shared" si="27"/>
        <v>174</v>
      </c>
      <c r="J486">
        <f t="shared" si="28"/>
        <v>200</v>
      </c>
      <c r="K486">
        <f t="shared" si="29"/>
        <v>422</v>
      </c>
    </row>
    <row r="487" spans="1:11" x14ac:dyDescent="0.2">
      <c r="A487" s="106">
        <f>_xlfn.XLOOKUP(B487,pratos!B:B,pratos!A:A,"não")</f>
        <v>249</v>
      </c>
      <c r="B487" s="108" t="s">
        <v>210</v>
      </c>
      <c r="C487" s="105">
        <f>_xlfn.XLOOKUP(D487,ingredientes!B:B,ingredientes!A:A,"não")</f>
        <v>175</v>
      </c>
      <c r="D487" s="3" t="s">
        <v>211</v>
      </c>
      <c r="E487" s="10">
        <v>50</v>
      </c>
      <c r="H487">
        <f t="shared" si="26"/>
        <v>249</v>
      </c>
      <c r="I487">
        <f t="shared" si="27"/>
        <v>175</v>
      </c>
      <c r="J487">
        <f t="shared" si="28"/>
        <v>50</v>
      </c>
      <c r="K487">
        <f t="shared" si="29"/>
        <v>424</v>
      </c>
    </row>
    <row r="488" spans="1:11" x14ac:dyDescent="0.2">
      <c r="A488" s="106">
        <f>_xlfn.XLOOKUP(B488,pratos!B:B,pratos!A:A,"não")</f>
        <v>249</v>
      </c>
      <c r="B488" s="108" t="s">
        <v>222</v>
      </c>
      <c r="C488" s="105">
        <f>_xlfn.XLOOKUP(D488,ingredientes!B:B,ingredientes!A:A,"não")</f>
        <v>175</v>
      </c>
      <c r="D488" s="3" t="s">
        <v>211</v>
      </c>
      <c r="E488" s="17">
        <v>180</v>
      </c>
      <c r="H488">
        <f t="shared" si="26"/>
        <v>249</v>
      </c>
      <c r="I488">
        <f t="shared" si="27"/>
        <v>175</v>
      </c>
      <c r="J488">
        <f t="shared" si="28"/>
        <v>180</v>
      </c>
      <c r="K488">
        <f t="shared" si="29"/>
        <v>424</v>
      </c>
    </row>
    <row r="489" spans="1:11" x14ac:dyDescent="0.2">
      <c r="A489" s="106">
        <f>_xlfn.XLOOKUP(B489,pratos!B:B,pratos!A:A,"não")</f>
        <v>250</v>
      </c>
      <c r="B489" s="135" t="s">
        <v>513</v>
      </c>
      <c r="C489" s="105">
        <f>_xlfn.XLOOKUP(D489,ingredientes!B:B,ingredientes!A:A,"não")</f>
        <v>58</v>
      </c>
      <c r="D489" s="30" t="s">
        <v>618</v>
      </c>
      <c r="E489" s="65">
        <v>40</v>
      </c>
      <c r="H489">
        <f t="shared" si="26"/>
        <v>250</v>
      </c>
      <c r="I489">
        <f t="shared" si="27"/>
        <v>58</v>
      </c>
      <c r="J489">
        <f t="shared" si="28"/>
        <v>40</v>
      </c>
      <c r="K489">
        <f t="shared" si="29"/>
        <v>308</v>
      </c>
    </row>
    <row r="490" spans="1:11" x14ac:dyDescent="0.2">
      <c r="A490" s="106">
        <f>_xlfn.XLOOKUP(B490,pratos!B:B,pratos!A:A,"não")</f>
        <v>250</v>
      </c>
      <c r="B490" s="135" t="s">
        <v>513</v>
      </c>
      <c r="C490" s="105">
        <f>_xlfn.XLOOKUP(D490,ingredientes!B:B,ingredientes!A:A,"não")</f>
        <v>96</v>
      </c>
      <c r="D490" s="30" t="s">
        <v>641</v>
      </c>
      <c r="E490" s="87">
        <v>50</v>
      </c>
      <c r="H490">
        <f t="shared" si="26"/>
        <v>250</v>
      </c>
      <c r="I490">
        <f t="shared" si="27"/>
        <v>96</v>
      </c>
      <c r="J490">
        <f t="shared" si="28"/>
        <v>50</v>
      </c>
      <c r="K490">
        <f t="shared" si="29"/>
        <v>346</v>
      </c>
    </row>
    <row r="491" spans="1:11" x14ac:dyDescent="0.2">
      <c r="A491" s="106">
        <f>_xlfn.XLOOKUP(B491,pratos!B:B,pratos!A:A,"não")</f>
        <v>250</v>
      </c>
      <c r="B491" s="116" t="s">
        <v>513</v>
      </c>
      <c r="C491" s="105">
        <f>_xlfn.XLOOKUP(D491,ingredientes!B:B,ingredientes!A:A,"não")</f>
        <v>96</v>
      </c>
      <c r="D491" s="30" t="s">
        <v>641</v>
      </c>
      <c r="E491" s="87">
        <v>30</v>
      </c>
      <c r="H491">
        <f t="shared" si="26"/>
        <v>250</v>
      </c>
      <c r="I491">
        <f t="shared" si="27"/>
        <v>96</v>
      </c>
      <c r="J491">
        <f t="shared" si="28"/>
        <v>30</v>
      </c>
      <c r="K491">
        <f t="shared" si="29"/>
        <v>346</v>
      </c>
    </row>
    <row r="492" spans="1:11" x14ac:dyDescent="0.2">
      <c r="A492" s="106">
        <f>_xlfn.XLOOKUP(B492,pratos!B:B,pratos!A:A,"não")</f>
        <v>250</v>
      </c>
      <c r="B492" s="116" t="s">
        <v>513</v>
      </c>
      <c r="C492" s="105">
        <f>_xlfn.XLOOKUP(D492,ingredientes!B:B,ingredientes!A:A,"não")</f>
        <v>106</v>
      </c>
      <c r="D492" t="s">
        <v>645</v>
      </c>
      <c r="E492" s="87">
        <v>50</v>
      </c>
      <c r="H492">
        <f t="shared" si="26"/>
        <v>250</v>
      </c>
      <c r="I492">
        <f t="shared" si="27"/>
        <v>106</v>
      </c>
      <c r="J492">
        <f t="shared" si="28"/>
        <v>50</v>
      </c>
      <c r="K492">
        <f t="shared" si="29"/>
        <v>356</v>
      </c>
    </row>
    <row r="493" spans="1:11" x14ac:dyDescent="0.2">
      <c r="A493" s="106">
        <f>_xlfn.XLOOKUP(B493,pratos!B:B,pratos!A:A,"não")</f>
        <v>250</v>
      </c>
      <c r="B493" s="116" t="s">
        <v>513</v>
      </c>
      <c r="C493" s="105">
        <f>_xlfn.XLOOKUP(D493,ingredientes!B:B,ingredientes!A:A,"não")</f>
        <v>320</v>
      </c>
      <c r="D493" t="s">
        <v>705</v>
      </c>
      <c r="E493" s="87">
        <v>30</v>
      </c>
      <c r="H493">
        <f t="shared" si="26"/>
        <v>250</v>
      </c>
      <c r="I493">
        <f t="shared" si="27"/>
        <v>320</v>
      </c>
      <c r="J493">
        <f t="shared" si="28"/>
        <v>30</v>
      </c>
      <c r="K493">
        <f t="shared" si="29"/>
        <v>570</v>
      </c>
    </row>
    <row r="494" spans="1:11" x14ac:dyDescent="0.2">
      <c r="A494" s="106">
        <f>_xlfn.XLOOKUP(B494,pratos!B:B,pratos!A:A,"não")</f>
        <v>251</v>
      </c>
      <c r="B494" s="135" t="s">
        <v>522</v>
      </c>
      <c r="C494" s="105">
        <f>_xlfn.XLOOKUP(D494,ingredientes!B:B,ingredientes!A:A,"não")</f>
        <v>58</v>
      </c>
      <c r="D494" t="s">
        <v>618</v>
      </c>
      <c r="E494" s="81">
        <v>40</v>
      </c>
      <c r="H494">
        <f t="shared" si="26"/>
        <v>251</v>
      </c>
      <c r="I494">
        <f t="shared" si="27"/>
        <v>58</v>
      </c>
      <c r="J494">
        <f t="shared" si="28"/>
        <v>40</v>
      </c>
      <c r="K494">
        <f t="shared" si="29"/>
        <v>309</v>
      </c>
    </row>
    <row r="495" spans="1:11" x14ac:dyDescent="0.2">
      <c r="A495" s="106">
        <f>_xlfn.XLOOKUP(B495,pratos!B:B,pratos!A:A,"não")</f>
        <v>251</v>
      </c>
      <c r="B495" s="135" t="s">
        <v>522</v>
      </c>
      <c r="C495" s="105">
        <f>_xlfn.XLOOKUP(D495,ingredientes!B:B,ingredientes!A:A,"não")</f>
        <v>58</v>
      </c>
      <c r="D495" s="30" t="s">
        <v>618</v>
      </c>
      <c r="E495" s="65">
        <v>20</v>
      </c>
      <c r="H495">
        <f t="shared" si="26"/>
        <v>251</v>
      </c>
      <c r="I495">
        <f t="shared" si="27"/>
        <v>58</v>
      </c>
      <c r="J495">
        <f t="shared" si="28"/>
        <v>20</v>
      </c>
      <c r="K495">
        <f t="shared" si="29"/>
        <v>309</v>
      </c>
    </row>
    <row r="496" spans="1:11" x14ac:dyDescent="0.2">
      <c r="A496" s="106">
        <f>_xlfn.XLOOKUP(B496,pratos!B:B,pratos!A:A,"não")</f>
        <v>251</v>
      </c>
      <c r="B496" s="135" t="s">
        <v>522</v>
      </c>
      <c r="C496" s="105">
        <f>_xlfn.XLOOKUP(D496,ingredientes!B:B,ingredientes!A:A,"não")</f>
        <v>96</v>
      </c>
      <c r="D496" s="30" t="s">
        <v>641</v>
      </c>
      <c r="E496" s="93">
        <v>30</v>
      </c>
      <c r="H496">
        <f t="shared" si="26"/>
        <v>251</v>
      </c>
      <c r="I496">
        <f t="shared" si="27"/>
        <v>96</v>
      </c>
      <c r="J496">
        <f t="shared" si="28"/>
        <v>30</v>
      </c>
      <c r="K496">
        <f t="shared" si="29"/>
        <v>347</v>
      </c>
    </row>
    <row r="497" spans="1:11" x14ac:dyDescent="0.2">
      <c r="A497" s="106">
        <f>_xlfn.XLOOKUP(B497,pratos!B:B,pratos!A:A,"não")</f>
        <v>251</v>
      </c>
      <c r="B497" s="135" t="s">
        <v>522</v>
      </c>
      <c r="C497" s="105">
        <f>_xlfn.XLOOKUP(D497,ingredientes!B:B,ingredientes!A:A,"não")</f>
        <v>96</v>
      </c>
      <c r="D497" s="30" t="s">
        <v>641</v>
      </c>
      <c r="E497" s="87">
        <v>20</v>
      </c>
      <c r="H497">
        <f t="shared" si="26"/>
        <v>251</v>
      </c>
      <c r="I497">
        <f t="shared" si="27"/>
        <v>96</v>
      </c>
      <c r="J497">
        <f t="shared" si="28"/>
        <v>20</v>
      </c>
      <c r="K497">
        <f t="shared" si="29"/>
        <v>347</v>
      </c>
    </row>
    <row r="498" spans="1:11" x14ac:dyDescent="0.2">
      <c r="A498" s="106">
        <f>_xlfn.XLOOKUP(B498,pratos!B:B,pratos!A:A,"não")</f>
        <v>251</v>
      </c>
      <c r="B498" s="135" t="s">
        <v>522</v>
      </c>
      <c r="C498" s="105">
        <f>_xlfn.XLOOKUP(D498,ingredientes!B:B,ingredientes!A:A,"não")</f>
        <v>106</v>
      </c>
      <c r="D498" s="30" t="s">
        <v>645</v>
      </c>
      <c r="E498" s="93">
        <v>30</v>
      </c>
      <c r="H498">
        <f t="shared" si="26"/>
        <v>251</v>
      </c>
      <c r="I498">
        <f t="shared" si="27"/>
        <v>106</v>
      </c>
      <c r="J498">
        <f t="shared" si="28"/>
        <v>30</v>
      </c>
      <c r="K498">
        <f t="shared" si="29"/>
        <v>357</v>
      </c>
    </row>
    <row r="499" spans="1:11" x14ac:dyDescent="0.2">
      <c r="A499" s="106">
        <f>_xlfn.XLOOKUP(B499,pratos!B:B,pratos!A:A,"não")</f>
        <v>251</v>
      </c>
      <c r="B499" s="135" t="s">
        <v>522</v>
      </c>
      <c r="C499" s="105">
        <f>_xlfn.XLOOKUP(D499,ingredientes!B:B,ingredientes!A:A,"não")</f>
        <v>106</v>
      </c>
      <c r="D499" s="30" t="s">
        <v>645</v>
      </c>
      <c r="E499" s="87">
        <v>10</v>
      </c>
      <c r="H499">
        <f t="shared" si="26"/>
        <v>251</v>
      </c>
      <c r="I499">
        <f t="shared" si="27"/>
        <v>106</v>
      </c>
      <c r="J499">
        <f t="shared" si="28"/>
        <v>10</v>
      </c>
      <c r="K499">
        <f t="shared" si="29"/>
        <v>357</v>
      </c>
    </row>
    <row r="500" spans="1:11" x14ac:dyDescent="0.2">
      <c r="A500" s="106">
        <f>_xlfn.XLOOKUP(B500,pratos!B:B,pratos!A:A,"não")</f>
        <v>252</v>
      </c>
      <c r="B500" s="52" t="s">
        <v>511</v>
      </c>
      <c r="C500" s="105">
        <f>_xlfn.XLOOKUP(D500,ingredientes!B:B,ingredientes!A:A,"não")</f>
        <v>58</v>
      </c>
      <c r="D500" t="s">
        <v>618</v>
      </c>
      <c r="E500" s="65">
        <v>40</v>
      </c>
      <c r="H500">
        <f t="shared" si="26"/>
        <v>252</v>
      </c>
      <c r="I500">
        <f t="shared" si="27"/>
        <v>58</v>
      </c>
      <c r="J500">
        <f t="shared" si="28"/>
        <v>40</v>
      </c>
      <c r="K500">
        <f t="shared" si="29"/>
        <v>310</v>
      </c>
    </row>
    <row r="501" spans="1:11" x14ac:dyDescent="0.2">
      <c r="A501" s="106">
        <f>_xlfn.XLOOKUP(B501,pratos!B:B,pratos!A:A,"não")</f>
        <v>252</v>
      </c>
      <c r="B501" s="52" t="s">
        <v>511</v>
      </c>
      <c r="C501" s="105">
        <f>_xlfn.XLOOKUP(D501,ingredientes!B:B,ingredientes!A:A,"não")</f>
        <v>94</v>
      </c>
      <c r="D501" s="138" t="s">
        <v>506</v>
      </c>
      <c r="E501" s="10">
        <v>5</v>
      </c>
      <c r="H501">
        <f t="shared" si="26"/>
        <v>252</v>
      </c>
      <c r="I501">
        <f t="shared" si="27"/>
        <v>94</v>
      </c>
      <c r="J501">
        <f t="shared" si="28"/>
        <v>5</v>
      </c>
      <c r="K501">
        <f t="shared" si="29"/>
        <v>346</v>
      </c>
    </row>
    <row r="502" spans="1:11" x14ac:dyDescent="0.2">
      <c r="A502" s="106">
        <f>_xlfn.XLOOKUP(B502,pratos!B:B,pratos!A:A,"não")</f>
        <v>252</v>
      </c>
      <c r="B502" s="52" t="s">
        <v>511</v>
      </c>
      <c r="C502" s="105">
        <f>_xlfn.XLOOKUP(D502,ingredientes!B:B,ingredientes!A:A,"não")</f>
        <v>96</v>
      </c>
      <c r="D502" t="s">
        <v>641</v>
      </c>
      <c r="E502" s="10">
        <v>30</v>
      </c>
      <c r="H502">
        <f t="shared" si="26"/>
        <v>252</v>
      </c>
      <c r="I502">
        <f t="shared" si="27"/>
        <v>96</v>
      </c>
      <c r="J502">
        <f t="shared" si="28"/>
        <v>30</v>
      </c>
      <c r="K502">
        <f t="shared" si="29"/>
        <v>348</v>
      </c>
    </row>
    <row r="503" spans="1:11" x14ac:dyDescent="0.2">
      <c r="A503" s="106">
        <f>_xlfn.XLOOKUP(B503,pratos!B:B,pratos!A:A,"não")</f>
        <v>252</v>
      </c>
      <c r="B503" s="52" t="s">
        <v>511</v>
      </c>
      <c r="C503" s="105">
        <f>_xlfn.XLOOKUP(D503,ingredientes!B:B,ingredientes!A:A,"não")</f>
        <v>320</v>
      </c>
      <c r="D503" t="s">
        <v>705</v>
      </c>
      <c r="E503" s="10">
        <v>30</v>
      </c>
      <c r="H503">
        <f t="shared" si="26"/>
        <v>252</v>
      </c>
      <c r="I503">
        <f t="shared" si="27"/>
        <v>320</v>
      </c>
      <c r="J503">
        <f t="shared" si="28"/>
        <v>30</v>
      </c>
      <c r="K503">
        <f t="shared" si="29"/>
        <v>572</v>
      </c>
    </row>
    <row r="504" spans="1:11" x14ac:dyDescent="0.2">
      <c r="A504" s="106">
        <f>_xlfn.XLOOKUP(B504,pratos!B:B,pratos!A:A,"não")</f>
        <v>253</v>
      </c>
      <c r="B504" s="135" t="s">
        <v>529</v>
      </c>
      <c r="C504" s="105">
        <f>_xlfn.XLOOKUP(D504,ingredientes!B:B,ingredientes!A:A,"não")</f>
        <v>96</v>
      </c>
      <c r="D504" s="30" t="s">
        <v>641</v>
      </c>
      <c r="E504" s="93">
        <v>25</v>
      </c>
      <c r="H504">
        <f t="shared" si="26"/>
        <v>253</v>
      </c>
      <c r="I504">
        <f t="shared" si="27"/>
        <v>96</v>
      </c>
      <c r="J504">
        <f t="shared" si="28"/>
        <v>25</v>
      </c>
      <c r="K504">
        <f t="shared" si="29"/>
        <v>349</v>
      </c>
    </row>
    <row r="505" spans="1:11" x14ac:dyDescent="0.2">
      <c r="A505" s="106">
        <f>_xlfn.XLOOKUP(B505,pratos!B:B,pratos!A:A,"não")</f>
        <v>253</v>
      </c>
      <c r="B505" s="135" t="s">
        <v>529</v>
      </c>
      <c r="C505" s="105">
        <f>_xlfn.XLOOKUP(D505,ingredientes!B:B,ingredientes!A:A,"não")</f>
        <v>106</v>
      </c>
      <c r="D505" s="30" t="s">
        <v>645</v>
      </c>
      <c r="E505" s="93">
        <v>25</v>
      </c>
      <c r="H505">
        <f t="shared" si="26"/>
        <v>253</v>
      </c>
      <c r="I505">
        <f t="shared" si="27"/>
        <v>106</v>
      </c>
      <c r="J505">
        <f t="shared" si="28"/>
        <v>25</v>
      </c>
      <c r="K505">
        <f t="shared" si="29"/>
        <v>359</v>
      </c>
    </row>
    <row r="506" spans="1:11" x14ac:dyDescent="0.2">
      <c r="A506" s="106">
        <f>_xlfn.XLOOKUP(B506,pratos!B:B,pratos!A:A,"não")</f>
        <v>254</v>
      </c>
      <c r="B506" s="122" t="s">
        <v>362</v>
      </c>
      <c r="C506" s="105">
        <f>_xlfn.XLOOKUP(D506,ingredientes!B:B,ingredientes!A:A,"não")</f>
        <v>58</v>
      </c>
      <c r="D506" s="30" t="s">
        <v>618</v>
      </c>
      <c r="E506" s="19">
        <v>40</v>
      </c>
      <c r="H506">
        <f t="shared" si="26"/>
        <v>254</v>
      </c>
      <c r="I506">
        <f t="shared" si="27"/>
        <v>58</v>
      </c>
      <c r="J506">
        <f t="shared" si="28"/>
        <v>40</v>
      </c>
      <c r="K506">
        <f t="shared" si="29"/>
        <v>312</v>
      </c>
    </row>
    <row r="507" spans="1:11" x14ac:dyDescent="0.2">
      <c r="A507" s="106">
        <f>_xlfn.XLOOKUP(B507,pratos!B:B,pratos!A:A,"não")</f>
        <v>254</v>
      </c>
      <c r="B507" s="122" t="s">
        <v>362</v>
      </c>
      <c r="C507" s="105">
        <f>_xlfn.XLOOKUP(D507,ingredientes!B:B,ingredientes!A:A,"não")</f>
        <v>96</v>
      </c>
      <c r="D507" s="30" t="s">
        <v>641</v>
      </c>
      <c r="E507" s="10">
        <v>40</v>
      </c>
      <c r="H507">
        <f t="shared" si="26"/>
        <v>254</v>
      </c>
      <c r="I507">
        <f t="shared" si="27"/>
        <v>96</v>
      </c>
      <c r="J507">
        <f t="shared" si="28"/>
        <v>40</v>
      </c>
      <c r="K507">
        <f t="shared" si="29"/>
        <v>350</v>
      </c>
    </row>
    <row r="508" spans="1:11" x14ac:dyDescent="0.2">
      <c r="A508" s="106">
        <f>_xlfn.XLOOKUP(B508,pratos!B:B,pratos!A:A,"não")</f>
        <v>254</v>
      </c>
      <c r="B508" s="122" t="s">
        <v>362</v>
      </c>
      <c r="C508" s="105">
        <f>_xlfn.XLOOKUP(D508,ingredientes!B:B,ingredientes!A:A,"não")</f>
        <v>96</v>
      </c>
      <c r="D508" s="30" t="s">
        <v>641</v>
      </c>
      <c r="E508" s="10">
        <v>30</v>
      </c>
      <c r="H508">
        <f t="shared" si="26"/>
        <v>254</v>
      </c>
      <c r="I508">
        <f t="shared" si="27"/>
        <v>96</v>
      </c>
      <c r="J508">
        <f t="shared" si="28"/>
        <v>30</v>
      </c>
      <c r="K508">
        <f t="shared" si="29"/>
        <v>350</v>
      </c>
    </row>
    <row r="509" spans="1:11" x14ac:dyDescent="0.2">
      <c r="A509" s="106">
        <f>_xlfn.XLOOKUP(B509,pratos!B:B,pratos!A:A,"não")</f>
        <v>254</v>
      </c>
      <c r="B509" s="122" t="s">
        <v>362</v>
      </c>
      <c r="C509" s="105">
        <f>_xlfn.XLOOKUP(D509,ingredientes!B:B,ingredientes!A:A,"não")</f>
        <v>106</v>
      </c>
      <c r="D509" s="30" t="s">
        <v>645</v>
      </c>
      <c r="E509" s="10">
        <v>20</v>
      </c>
      <c r="H509">
        <f t="shared" si="26"/>
        <v>254</v>
      </c>
      <c r="I509">
        <f t="shared" si="27"/>
        <v>106</v>
      </c>
      <c r="J509">
        <f t="shared" si="28"/>
        <v>20</v>
      </c>
      <c r="K509">
        <f t="shared" si="29"/>
        <v>360</v>
      </c>
    </row>
    <row r="510" spans="1:11" x14ac:dyDescent="0.2">
      <c r="A510" s="106">
        <f>_xlfn.XLOOKUP(B510,pratos!B:B,pratos!A:A,"não")</f>
        <v>254</v>
      </c>
      <c r="B510" s="122" t="s">
        <v>362</v>
      </c>
      <c r="C510" s="105">
        <f>_xlfn.XLOOKUP(D510,ingredientes!B:B,ingredientes!A:A,"não")</f>
        <v>106</v>
      </c>
      <c r="D510" t="s">
        <v>645</v>
      </c>
      <c r="E510" s="10">
        <v>30</v>
      </c>
      <c r="H510">
        <f t="shared" si="26"/>
        <v>254</v>
      </c>
      <c r="I510">
        <f t="shared" si="27"/>
        <v>106</v>
      </c>
      <c r="J510">
        <f t="shared" si="28"/>
        <v>30</v>
      </c>
      <c r="K510">
        <f t="shared" si="29"/>
        <v>360</v>
      </c>
    </row>
    <row r="511" spans="1:11" x14ac:dyDescent="0.2">
      <c r="A511" s="106">
        <f>_xlfn.XLOOKUP(B511,pratos!B:B,pratos!A:A,"não")</f>
        <v>255</v>
      </c>
      <c r="B511" s="119" t="s">
        <v>212</v>
      </c>
      <c r="C511" s="105">
        <f>_xlfn.XLOOKUP(D511,ingredientes!B:B,ingredientes!A:A,"não")</f>
        <v>96</v>
      </c>
      <c r="D511" s="30" t="s">
        <v>641</v>
      </c>
      <c r="E511" s="10">
        <v>30</v>
      </c>
      <c r="H511">
        <f t="shared" si="26"/>
        <v>255</v>
      </c>
      <c r="I511">
        <f t="shared" si="27"/>
        <v>96</v>
      </c>
      <c r="J511">
        <f t="shared" si="28"/>
        <v>30</v>
      </c>
      <c r="K511">
        <f t="shared" si="29"/>
        <v>351</v>
      </c>
    </row>
    <row r="512" spans="1:11" x14ac:dyDescent="0.2">
      <c r="A512" s="106">
        <f>_xlfn.XLOOKUP(B512,pratos!B:B,pratos!A:A,"não")</f>
        <v>255</v>
      </c>
      <c r="B512" s="119" t="s">
        <v>233</v>
      </c>
      <c r="C512" s="105">
        <f>_xlfn.XLOOKUP(D512,ingredientes!B:B,ingredientes!A:A,"não")</f>
        <v>96</v>
      </c>
      <c r="D512" s="30" t="s">
        <v>641</v>
      </c>
      <c r="E512" s="10">
        <v>40</v>
      </c>
      <c r="H512">
        <f t="shared" ref="H512:H575" si="30">A512</f>
        <v>255</v>
      </c>
      <c r="I512">
        <f t="shared" ref="I512:I575" si="31">C512</f>
        <v>96</v>
      </c>
      <c r="J512">
        <f t="shared" ref="J512:J575" si="32">E512</f>
        <v>40</v>
      </c>
      <c r="K512">
        <f t="shared" si="29"/>
        <v>351</v>
      </c>
    </row>
    <row r="513" spans="1:11" x14ac:dyDescent="0.2">
      <c r="A513" s="106">
        <f>_xlfn.XLOOKUP(B513,pratos!B:B,pratos!A:A,"não")</f>
        <v>255</v>
      </c>
      <c r="B513" s="119" t="s">
        <v>223</v>
      </c>
      <c r="C513" s="105">
        <f>_xlfn.XLOOKUP(D513,ingredientes!B:B,ingredientes!A:A,"não")</f>
        <v>96</v>
      </c>
      <c r="D513" s="30" t="s">
        <v>641</v>
      </c>
      <c r="E513" s="10">
        <v>15</v>
      </c>
      <c r="H513">
        <f t="shared" si="30"/>
        <v>255</v>
      </c>
      <c r="I513">
        <f t="shared" si="31"/>
        <v>96</v>
      </c>
      <c r="J513">
        <f t="shared" si="32"/>
        <v>15</v>
      </c>
      <c r="K513">
        <f t="shared" si="29"/>
        <v>351</v>
      </c>
    </row>
    <row r="514" spans="1:11" x14ac:dyDescent="0.2">
      <c r="A514" s="106">
        <f>_xlfn.XLOOKUP(B514,pratos!B:B,pratos!A:A,"não")</f>
        <v>255</v>
      </c>
      <c r="B514" s="119" t="s">
        <v>212</v>
      </c>
      <c r="C514" s="105">
        <f>_xlfn.XLOOKUP(D514,ingredientes!B:B,ingredientes!A:A,"não")</f>
        <v>106</v>
      </c>
      <c r="D514" s="30" t="s">
        <v>645</v>
      </c>
      <c r="E514" s="10">
        <v>40</v>
      </c>
      <c r="H514">
        <f t="shared" si="30"/>
        <v>255</v>
      </c>
      <c r="I514">
        <f t="shared" si="31"/>
        <v>106</v>
      </c>
      <c r="J514">
        <f t="shared" si="32"/>
        <v>40</v>
      </c>
      <c r="K514">
        <f t="shared" si="29"/>
        <v>361</v>
      </c>
    </row>
    <row r="515" spans="1:11" x14ac:dyDescent="0.2">
      <c r="A515" s="106">
        <f>_xlfn.XLOOKUP(B515,pratos!B:B,pratos!A:A,"não")</f>
        <v>255</v>
      </c>
      <c r="B515" s="119" t="s">
        <v>233</v>
      </c>
      <c r="C515" s="105">
        <f>_xlfn.XLOOKUP(D515,ingredientes!B:B,ingredientes!A:A,"não")</f>
        <v>106</v>
      </c>
      <c r="D515" s="30" t="s">
        <v>645</v>
      </c>
      <c r="E515" s="10">
        <v>30</v>
      </c>
      <c r="H515">
        <f t="shared" si="30"/>
        <v>255</v>
      </c>
      <c r="I515">
        <f t="shared" si="31"/>
        <v>106</v>
      </c>
      <c r="J515">
        <f t="shared" si="32"/>
        <v>30</v>
      </c>
      <c r="K515">
        <f t="shared" ref="K515:K578" si="33">H515+I515</f>
        <v>361</v>
      </c>
    </row>
    <row r="516" spans="1:11" x14ac:dyDescent="0.2">
      <c r="A516" s="106">
        <f>_xlfn.XLOOKUP(B516,pratos!B:B,pratos!A:A,"não")</f>
        <v>255</v>
      </c>
      <c r="B516" s="119" t="s">
        <v>223</v>
      </c>
      <c r="C516" s="105">
        <f>_xlfn.XLOOKUP(D516,ingredientes!B:B,ingredientes!A:A,"não")</f>
        <v>106</v>
      </c>
      <c r="D516" s="30" t="s">
        <v>645</v>
      </c>
      <c r="E516" s="10">
        <v>20</v>
      </c>
      <c r="H516">
        <f t="shared" si="30"/>
        <v>255</v>
      </c>
      <c r="I516">
        <f t="shared" si="31"/>
        <v>106</v>
      </c>
      <c r="J516">
        <f t="shared" si="32"/>
        <v>20</v>
      </c>
      <c r="K516">
        <f t="shared" si="33"/>
        <v>361</v>
      </c>
    </row>
    <row r="517" spans="1:11" x14ac:dyDescent="0.2">
      <c r="A517" s="106">
        <f>_xlfn.XLOOKUP(B517,pratos!B:B,pratos!A:A,"não")</f>
        <v>255</v>
      </c>
      <c r="B517" s="119" t="s">
        <v>212</v>
      </c>
      <c r="C517" s="105">
        <f>_xlfn.XLOOKUP(D517,ingredientes!B:B,ingredientes!A:A,"não")</f>
        <v>198</v>
      </c>
      <c r="D517" s="3" t="s">
        <v>4</v>
      </c>
      <c r="E517" s="5">
        <v>5</v>
      </c>
      <c r="H517">
        <f t="shared" si="30"/>
        <v>255</v>
      </c>
      <c r="I517">
        <f t="shared" si="31"/>
        <v>198</v>
      </c>
      <c r="J517">
        <f t="shared" si="32"/>
        <v>5</v>
      </c>
      <c r="K517">
        <f t="shared" si="33"/>
        <v>453</v>
      </c>
    </row>
    <row r="518" spans="1:11" x14ac:dyDescent="0.2">
      <c r="A518" s="106">
        <f>_xlfn.XLOOKUP(B518,pratos!B:B,pratos!A:A,"não")</f>
        <v>255</v>
      </c>
      <c r="B518" s="119" t="s">
        <v>223</v>
      </c>
      <c r="C518" s="105">
        <f>_xlfn.XLOOKUP(D518,ingredientes!B:B,ingredientes!A:A,"não")</f>
        <v>199</v>
      </c>
      <c r="D518" s="3" t="s">
        <v>95</v>
      </c>
      <c r="E518" s="5">
        <v>5</v>
      </c>
      <c r="H518">
        <f t="shared" si="30"/>
        <v>255</v>
      </c>
      <c r="I518">
        <f t="shared" si="31"/>
        <v>199</v>
      </c>
      <c r="J518">
        <f t="shared" si="32"/>
        <v>5</v>
      </c>
      <c r="K518">
        <f t="shared" si="33"/>
        <v>454</v>
      </c>
    </row>
    <row r="519" spans="1:11" x14ac:dyDescent="0.2">
      <c r="A519" s="106">
        <f>_xlfn.XLOOKUP(B519,pratos!B:B,pratos!A:A,"não")</f>
        <v>255</v>
      </c>
      <c r="B519" s="119" t="s">
        <v>212</v>
      </c>
      <c r="C519" s="105">
        <f>_xlfn.XLOOKUP(D519,ingredientes!B:B,ingredientes!A:A,"não")</f>
        <v>320</v>
      </c>
      <c r="D519" s="30" t="s">
        <v>705</v>
      </c>
      <c r="E519" s="10">
        <v>30</v>
      </c>
      <c r="H519">
        <f t="shared" si="30"/>
        <v>255</v>
      </c>
      <c r="I519">
        <f t="shared" si="31"/>
        <v>320</v>
      </c>
      <c r="J519">
        <f t="shared" si="32"/>
        <v>30</v>
      </c>
      <c r="K519">
        <f t="shared" si="33"/>
        <v>575</v>
      </c>
    </row>
    <row r="520" spans="1:11" x14ac:dyDescent="0.2">
      <c r="A520" s="106">
        <f>_xlfn.XLOOKUP(B520,pratos!B:B,pratos!A:A,"não")</f>
        <v>255</v>
      </c>
      <c r="B520" s="119" t="s">
        <v>223</v>
      </c>
      <c r="C520" s="105">
        <f>_xlfn.XLOOKUP(D520,ingredientes!B:B,ingredientes!A:A,"não")</f>
        <v>320</v>
      </c>
      <c r="D520" s="30" t="s">
        <v>705</v>
      </c>
      <c r="E520" s="10">
        <v>15</v>
      </c>
      <c r="H520">
        <f t="shared" si="30"/>
        <v>255</v>
      </c>
      <c r="I520">
        <f t="shared" si="31"/>
        <v>320</v>
      </c>
      <c r="J520">
        <f t="shared" si="32"/>
        <v>15</v>
      </c>
      <c r="K520">
        <f t="shared" si="33"/>
        <v>575</v>
      </c>
    </row>
    <row r="521" spans="1:11" x14ac:dyDescent="0.2">
      <c r="A521" s="106">
        <f>_xlfn.XLOOKUP(B521,pratos!B:B,pratos!A:A,"não")</f>
        <v>256</v>
      </c>
      <c r="B521" s="109" t="s">
        <v>234</v>
      </c>
      <c r="C521" s="105">
        <f>_xlfn.XLOOKUP(D521,ingredientes!B:B,ingredientes!A:A,"não")</f>
        <v>15</v>
      </c>
      <c r="D521" s="8" t="s">
        <v>235</v>
      </c>
      <c r="E521" s="19">
        <v>20</v>
      </c>
      <c r="H521">
        <f t="shared" si="30"/>
        <v>256</v>
      </c>
      <c r="I521">
        <f t="shared" si="31"/>
        <v>15</v>
      </c>
      <c r="J521">
        <f t="shared" si="32"/>
        <v>20</v>
      </c>
      <c r="K521">
        <f t="shared" si="33"/>
        <v>271</v>
      </c>
    </row>
    <row r="522" spans="1:11" x14ac:dyDescent="0.2">
      <c r="A522" s="106">
        <f>_xlfn.XLOOKUP(B522,pratos!B:B,pratos!A:A,"não")</f>
        <v>256</v>
      </c>
      <c r="B522" s="109" t="s">
        <v>234</v>
      </c>
      <c r="C522" s="105">
        <f>_xlfn.XLOOKUP(D522,ingredientes!B:B,ingredientes!A:A,"não")</f>
        <v>179</v>
      </c>
      <c r="D522" s="9" t="s">
        <v>62</v>
      </c>
      <c r="E522" s="5">
        <v>20</v>
      </c>
      <c r="H522">
        <f t="shared" si="30"/>
        <v>256</v>
      </c>
      <c r="I522">
        <f t="shared" si="31"/>
        <v>179</v>
      </c>
      <c r="J522">
        <f t="shared" si="32"/>
        <v>20</v>
      </c>
      <c r="K522">
        <f t="shared" si="33"/>
        <v>435</v>
      </c>
    </row>
    <row r="523" spans="1:11" x14ac:dyDescent="0.2">
      <c r="A523" s="106">
        <f>_xlfn.XLOOKUP(B523,pratos!B:B,pratos!A:A,"não")</f>
        <v>257</v>
      </c>
      <c r="B523" s="116" t="s">
        <v>189</v>
      </c>
      <c r="C523" s="105">
        <f>_xlfn.XLOOKUP(D523,ingredientes!B:B,ingredientes!A:A,"não")</f>
        <v>185</v>
      </c>
      <c r="D523" s="40" t="s">
        <v>38</v>
      </c>
      <c r="E523" s="19">
        <v>120</v>
      </c>
      <c r="H523">
        <f t="shared" si="30"/>
        <v>257</v>
      </c>
      <c r="I523">
        <f t="shared" si="31"/>
        <v>185</v>
      </c>
      <c r="J523">
        <f t="shared" si="32"/>
        <v>120</v>
      </c>
      <c r="K523">
        <f t="shared" si="33"/>
        <v>442</v>
      </c>
    </row>
    <row r="524" spans="1:11" x14ac:dyDescent="0.2">
      <c r="A524" s="106">
        <f>_xlfn.XLOOKUP(B524,pratos!B:B,pratos!A:A,"não")</f>
        <v>258</v>
      </c>
      <c r="B524" s="110" t="s">
        <v>37</v>
      </c>
      <c r="C524" s="105">
        <f>_xlfn.XLOOKUP(D524,ingredientes!B:B,ingredientes!A:A,"não")</f>
        <v>183</v>
      </c>
      <c r="D524" s="148" t="s">
        <v>37</v>
      </c>
      <c r="E524" s="10">
        <v>120</v>
      </c>
      <c r="H524">
        <f t="shared" si="30"/>
        <v>258</v>
      </c>
      <c r="I524">
        <f t="shared" si="31"/>
        <v>183</v>
      </c>
      <c r="J524">
        <f t="shared" si="32"/>
        <v>120</v>
      </c>
      <c r="K524">
        <f t="shared" si="33"/>
        <v>441</v>
      </c>
    </row>
    <row r="525" spans="1:11" x14ac:dyDescent="0.2">
      <c r="A525" s="106">
        <f>_xlfn.XLOOKUP(B525,pratos!B:B,pratos!A:A,"não")</f>
        <v>258</v>
      </c>
      <c r="B525" s="52" t="s">
        <v>37</v>
      </c>
      <c r="C525" s="105">
        <f>_xlfn.XLOOKUP(D525,ingredientes!B:B,ingredientes!A:A,"não")</f>
        <v>184</v>
      </c>
      <c r="D525" s="170" t="s">
        <v>512</v>
      </c>
      <c r="E525" s="87">
        <v>120</v>
      </c>
      <c r="H525">
        <f t="shared" si="30"/>
        <v>258</v>
      </c>
      <c r="I525">
        <f t="shared" si="31"/>
        <v>184</v>
      </c>
      <c r="J525">
        <f t="shared" si="32"/>
        <v>120</v>
      </c>
      <c r="K525">
        <f t="shared" si="33"/>
        <v>442</v>
      </c>
    </row>
    <row r="526" spans="1:11" x14ac:dyDescent="0.2">
      <c r="A526" s="106">
        <f>_xlfn.XLOOKUP(B526,pratos!B:B,pratos!A:A,"não")</f>
        <v>258</v>
      </c>
      <c r="B526" s="110" t="s">
        <v>37</v>
      </c>
      <c r="C526" s="105">
        <f>_xlfn.XLOOKUP(D526,ingredientes!B:B,ingredientes!A:A,"não")</f>
        <v>185</v>
      </c>
      <c r="D526" s="142" t="s">
        <v>38</v>
      </c>
      <c r="E526" s="10">
        <v>120</v>
      </c>
      <c r="H526">
        <f t="shared" si="30"/>
        <v>258</v>
      </c>
      <c r="I526">
        <f t="shared" si="31"/>
        <v>185</v>
      </c>
      <c r="J526">
        <f t="shared" si="32"/>
        <v>120</v>
      </c>
      <c r="K526">
        <f t="shared" si="33"/>
        <v>443</v>
      </c>
    </row>
    <row r="527" spans="1:11" x14ac:dyDescent="0.2">
      <c r="A527" s="106">
        <f>_xlfn.XLOOKUP(B527,pratos!B:B,pratos!A:A,"não")</f>
        <v>258</v>
      </c>
      <c r="B527" s="126" t="s">
        <v>37</v>
      </c>
      <c r="C527" s="105">
        <f>_xlfn.XLOOKUP(D527,ingredientes!B:B,ingredientes!A:A,"não")</f>
        <v>185</v>
      </c>
      <c r="D527" s="176" t="s">
        <v>38</v>
      </c>
      <c r="E527" s="68">
        <v>150</v>
      </c>
      <c r="H527">
        <f t="shared" si="30"/>
        <v>258</v>
      </c>
      <c r="I527">
        <f t="shared" si="31"/>
        <v>185</v>
      </c>
      <c r="J527">
        <f t="shared" si="32"/>
        <v>150</v>
      </c>
      <c r="K527">
        <f t="shared" si="33"/>
        <v>443</v>
      </c>
    </row>
    <row r="528" spans="1:11" x14ac:dyDescent="0.2">
      <c r="A528" s="106">
        <f>_xlfn.XLOOKUP(B528,pratos!B:B,pratos!A:A,"não")</f>
        <v>259</v>
      </c>
      <c r="B528" s="111" t="s">
        <v>91</v>
      </c>
      <c r="C528" s="105">
        <f>_xlfn.XLOOKUP(D528,ingredientes!B:B,ingredientes!A:A,"não")</f>
        <v>189</v>
      </c>
      <c r="D528" s="163" t="s">
        <v>84</v>
      </c>
      <c r="E528" s="19">
        <v>100</v>
      </c>
      <c r="H528">
        <f t="shared" si="30"/>
        <v>259</v>
      </c>
      <c r="I528">
        <f t="shared" si="31"/>
        <v>189</v>
      </c>
      <c r="J528">
        <f t="shared" si="32"/>
        <v>100</v>
      </c>
      <c r="K528">
        <f t="shared" si="33"/>
        <v>448</v>
      </c>
    </row>
    <row r="529" spans="1:11" x14ac:dyDescent="0.2">
      <c r="A529" s="106">
        <f>_xlfn.XLOOKUP(B529,pratos!B:B,pratos!A:A,"não")</f>
        <v>259</v>
      </c>
      <c r="B529" s="52" t="s">
        <v>91</v>
      </c>
      <c r="C529" s="105">
        <f>_xlfn.XLOOKUP(D529,ingredientes!B:B,ingredientes!A:A,"não")</f>
        <v>195</v>
      </c>
      <c r="D529" s="138" t="s">
        <v>30</v>
      </c>
      <c r="E529" s="10">
        <v>1</v>
      </c>
      <c r="H529">
        <f t="shared" si="30"/>
        <v>259</v>
      </c>
      <c r="I529">
        <f t="shared" si="31"/>
        <v>195</v>
      </c>
      <c r="J529">
        <f t="shared" si="32"/>
        <v>1</v>
      </c>
      <c r="K529">
        <f t="shared" si="33"/>
        <v>454</v>
      </c>
    </row>
    <row r="530" spans="1:11" x14ac:dyDescent="0.2">
      <c r="A530" s="106">
        <f>_xlfn.XLOOKUP(B530,pratos!B:B,pratos!A:A,"não")</f>
        <v>259</v>
      </c>
      <c r="B530" s="52" t="s">
        <v>91</v>
      </c>
      <c r="C530" s="105">
        <f>_xlfn.XLOOKUP(D530,ingredientes!B:B,ingredientes!A:A,"não")</f>
        <v>204</v>
      </c>
      <c r="D530" s="138" t="s">
        <v>92</v>
      </c>
      <c r="E530" s="19">
        <v>20</v>
      </c>
      <c r="H530">
        <f t="shared" si="30"/>
        <v>259</v>
      </c>
      <c r="I530">
        <f t="shared" si="31"/>
        <v>204</v>
      </c>
      <c r="J530">
        <f t="shared" si="32"/>
        <v>20</v>
      </c>
      <c r="K530">
        <f t="shared" si="33"/>
        <v>463</v>
      </c>
    </row>
    <row r="531" spans="1:11" x14ac:dyDescent="0.2">
      <c r="A531" s="106">
        <f>_xlfn.XLOOKUP(B531,pratos!B:B,pratos!A:A,"não")</f>
        <v>260</v>
      </c>
      <c r="B531" s="111" t="s">
        <v>83</v>
      </c>
      <c r="C531" s="105">
        <f>_xlfn.XLOOKUP(D531,ingredientes!B:B,ingredientes!A:A,"não")</f>
        <v>189</v>
      </c>
      <c r="D531" s="163" t="s">
        <v>84</v>
      </c>
      <c r="E531" s="19">
        <v>100</v>
      </c>
      <c r="H531">
        <f t="shared" si="30"/>
        <v>260</v>
      </c>
      <c r="I531">
        <f t="shared" si="31"/>
        <v>189</v>
      </c>
      <c r="J531">
        <f t="shared" si="32"/>
        <v>100</v>
      </c>
      <c r="K531">
        <f t="shared" si="33"/>
        <v>449</v>
      </c>
    </row>
    <row r="532" spans="1:11" x14ac:dyDescent="0.2">
      <c r="A532" s="106">
        <f>_xlfn.XLOOKUP(B532,pratos!B:B,pratos!A:A,"não")</f>
        <v>260</v>
      </c>
      <c r="B532" s="52" t="s">
        <v>83</v>
      </c>
      <c r="C532" s="105">
        <f>_xlfn.XLOOKUP(D532,ingredientes!B:B,ingredientes!A:A,"não")</f>
        <v>212</v>
      </c>
      <c r="D532" s="151" t="s">
        <v>85</v>
      </c>
      <c r="E532" s="10">
        <v>20</v>
      </c>
      <c r="H532">
        <f t="shared" si="30"/>
        <v>260</v>
      </c>
      <c r="I532">
        <f t="shared" si="31"/>
        <v>212</v>
      </c>
      <c r="J532">
        <f t="shared" si="32"/>
        <v>20</v>
      </c>
      <c r="K532">
        <f t="shared" si="33"/>
        <v>472</v>
      </c>
    </row>
    <row r="533" spans="1:11" x14ac:dyDescent="0.2">
      <c r="A533" s="106">
        <f>_xlfn.XLOOKUP(B533,pratos!B:B,pratos!A:A,"não")</f>
        <v>261</v>
      </c>
      <c r="B533" s="52" t="s">
        <v>342</v>
      </c>
      <c r="C533" s="105">
        <f>_xlfn.XLOOKUP(D533,ingredientes!B:B,ingredientes!A:A,"não")</f>
        <v>126</v>
      </c>
      <c r="D533" s="138" t="s">
        <v>27</v>
      </c>
      <c r="E533" s="10">
        <v>5</v>
      </c>
      <c r="H533">
        <f t="shared" si="30"/>
        <v>261</v>
      </c>
      <c r="I533">
        <f t="shared" si="31"/>
        <v>126</v>
      </c>
      <c r="J533">
        <f t="shared" si="32"/>
        <v>5</v>
      </c>
      <c r="K533">
        <f t="shared" si="33"/>
        <v>387</v>
      </c>
    </row>
    <row r="534" spans="1:11" x14ac:dyDescent="0.2">
      <c r="A534" s="106">
        <f>_xlfn.XLOOKUP(B534,pratos!B:B,pratos!A:A,"não")</f>
        <v>261</v>
      </c>
      <c r="B534" s="52" t="s">
        <v>342</v>
      </c>
      <c r="C534" s="105">
        <f>_xlfn.XLOOKUP(D534,ingredientes!B:B,ingredientes!A:A,"não")</f>
        <v>190</v>
      </c>
      <c r="D534" s="138" t="s">
        <v>343</v>
      </c>
      <c r="E534" s="10">
        <v>100</v>
      </c>
      <c r="H534">
        <f t="shared" si="30"/>
        <v>261</v>
      </c>
      <c r="I534">
        <f t="shared" si="31"/>
        <v>190</v>
      </c>
      <c r="J534">
        <f t="shared" si="32"/>
        <v>100</v>
      </c>
      <c r="K534">
        <f t="shared" si="33"/>
        <v>451</v>
      </c>
    </row>
    <row r="535" spans="1:11" x14ac:dyDescent="0.2">
      <c r="A535" s="106">
        <f>_xlfn.XLOOKUP(B535,pratos!B:B,pratos!A:A,"não")</f>
        <v>261</v>
      </c>
      <c r="B535" s="52" t="s">
        <v>342</v>
      </c>
      <c r="C535" s="105">
        <f>_xlfn.XLOOKUP(D535,ingredientes!B:B,ingredientes!A:A,"não")</f>
        <v>203</v>
      </c>
      <c r="D535" s="138" t="s">
        <v>344</v>
      </c>
      <c r="E535" s="10">
        <v>5</v>
      </c>
      <c r="H535">
        <f t="shared" si="30"/>
        <v>261</v>
      </c>
      <c r="I535">
        <f t="shared" si="31"/>
        <v>203</v>
      </c>
      <c r="J535">
        <f t="shared" si="32"/>
        <v>5</v>
      </c>
      <c r="K535">
        <f t="shared" si="33"/>
        <v>464</v>
      </c>
    </row>
    <row r="536" spans="1:11" x14ac:dyDescent="0.2">
      <c r="A536" s="106">
        <f>_xlfn.XLOOKUP(B536,pratos!B:B,pratos!A:A,"não")</f>
        <v>262</v>
      </c>
      <c r="B536" s="118" t="s">
        <v>205</v>
      </c>
      <c r="C536" s="105">
        <f>_xlfn.XLOOKUP(D536,ingredientes!B:B,ingredientes!A:A,"não")</f>
        <v>192</v>
      </c>
      <c r="D536" s="29" t="s">
        <v>206</v>
      </c>
      <c r="E536" s="17">
        <v>150</v>
      </c>
      <c r="H536">
        <f t="shared" si="30"/>
        <v>262</v>
      </c>
      <c r="I536">
        <f t="shared" si="31"/>
        <v>192</v>
      </c>
      <c r="J536">
        <f t="shared" si="32"/>
        <v>150</v>
      </c>
      <c r="K536">
        <f t="shared" si="33"/>
        <v>454</v>
      </c>
    </row>
    <row r="537" spans="1:11" x14ac:dyDescent="0.2">
      <c r="A537" s="106">
        <f>_xlfn.XLOOKUP(B537,pratos!B:B,pratos!A:A,"não")</f>
        <v>263</v>
      </c>
      <c r="B537" s="52" t="s">
        <v>443</v>
      </c>
      <c r="C537" s="105">
        <f>_xlfn.XLOOKUP(D537,ingredientes!B:B,ingredientes!A:A,"não")</f>
        <v>192</v>
      </c>
      <c r="D537" s="29" t="s">
        <v>206</v>
      </c>
      <c r="E537" s="17">
        <v>150</v>
      </c>
      <c r="H537">
        <f t="shared" si="30"/>
        <v>263</v>
      </c>
      <c r="I537">
        <f t="shared" si="31"/>
        <v>192</v>
      </c>
      <c r="J537">
        <f t="shared" si="32"/>
        <v>150</v>
      </c>
      <c r="K537">
        <f t="shared" si="33"/>
        <v>455</v>
      </c>
    </row>
    <row r="538" spans="1:11" x14ac:dyDescent="0.2">
      <c r="A538" s="106">
        <f>_xlfn.XLOOKUP(B538,pratos!B:B,pratos!A:A,"não")</f>
        <v>264</v>
      </c>
      <c r="B538" s="108" t="s">
        <v>354</v>
      </c>
      <c r="C538" s="105">
        <f>_xlfn.XLOOKUP(D538,ingredientes!B:B,ingredientes!A:A,"não")</f>
        <v>193</v>
      </c>
      <c r="D538" s="154" t="s">
        <v>145</v>
      </c>
      <c r="E538" s="53">
        <v>70</v>
      </c>
      <c r="H538">
        <f t="shared" si="30"/>
        <v>264</v>
      </c>
      <c r="I538">
        <f t="shared" si="31"/>
        <v>193</v>
      </c>
      <c r="J538">
        <f t="shared" si="32"/>
        <v>70</v>
      </c>
      <c r="K538">
        <f t="shared" si="33"/>
        <v>457</v>
      </c>
    </row>
    <row r="539" spans="1:11" x14ac:dyDescent="0.2">
      <c r="A539" s="106">
        <f>_xlfn.XLOOKUP(B539,pratos!B:B,pratos!A:A,"não")</f>
        <v>265</v>
      </c>
      <c r="B539" s="52" t="s">
        <v>426</v>
      </c>
      <c r="C539" s="105">
        <f>_xlfn.XLOOKUP(D539,ingredientes!B:B,ingredientes!A:A,"não")</f>
        <v>193</v>
      </c>
      <c r="D539" s="144" t="s">
        <v>145</v>
      </c>
      <c r="E539" s="10">
        <v>70</v>
      </c>
      <c r="H539">
        <f t="shared" si="30"/>
        <v>265</v>
      </c>
      <c r="I539">
        <f t="shared" si="31"/>
        <v>193</v>
      </c>
      <c r="J539">
        <f t="shared" si="32"/>
        <v>70</v>
      </c>
      <c r="K539">
        <f t="shared" si="33"/>
        <v>458</v>
      </c>
    </row>
    <row r="540" spans="1:11" x14ac:dyDescent="0.2">
      <c r="A540" s="106">
        <f>_xlfn.XLOOKUP(B540,pratos!B:B,pratos!A:A,"não")</f>
        <v>266</v>
      </c>
      <c r="B540" s="116" t="s">
        <v>574</v>
      </c>
      <c r="C540" s="105">
        <f>_xlfn.XLOOKUP(D540,ingredientes!B:B,ingredientes!A:A,"não")</f>
        <v>193</v>
      </c>
      <c r="D540" s="144" t="s">
        <v>145</v>
      </c>
      <c r="E540" s="10">
        <v>70</v>
      </c>
      <c r="H540">
        <f t="shared" si="30"/>
        <v>266</v>
      </c>
      <c r="I540">
        <f t="shared" si="31"/>
        <v>193</v>
      </c>
      <c r="J540">
        <f t="shared" si="32"/>
        <v>70</v>
      </c>
      <c r="K540">
        <f t="shared" si="33"/>
        <v>459</v>
      </c>
    </row>
    <row r="541" spans="1:11" x14ac:dyDescent="0.2">
      <c r="A541" s="106">
        <f>_xlfn.XLOOKUP(B541,pratos!B:B,pratos!A:A,"não")</f>
        <v>267</v>
      </c>
      <c r="B541" s="52" t="s">
        <v>547</v>
      </c>
      <c r="C541" s="105">
        <f>_xlfn.XLOOKUP(D541,ingredientes!B:B,ingredientes!A:A,"não")</f>
        <v>30</v>
      </c>
      <c r="D541" s="143" t="s">
        <v>549</v>
      </c>
      <c r="E541" s="10">
        <v>10</v>
      </c>
      <c r="H541">
        <f t="shared" si="30"/>
        <v>267</v>
      </c>
      <c r="I541">
        <f t="shared" si="31"/>
        <v>30</v>
      </c>
      <c r="J541">
        <f t="shared" si="32"/>
        <v>10</v>
      </c>
      <c r="K541">
        <f t="shared" si="33"/>
        <v>297</v>
      </c>
    </row>
    <row r="542" spans="1:11" x14ac:dyDescent="0.2">
      <c r="A542" s="106">
        <f>_xlfn.XLOOKUP(B542,pratos!B:B,pratos!A:A,"não")</f>
        <v>267</v>
      </c>
      <c r="B542" s="52" t="s">
        <v>547</v>
      </c>
      <c r="C542" s="105">
        <f>_xlfn.XLOOKUP(D542,ingredientes!B:B,ingredientes!A:A,"não")</f>
        <v>270</v>
      </c>
      <c r="D542" s="143" t="s">
        <v>548</v>
      </c>
      <c r="E542" s="10">
        <v>70</v>
      </c>
      <c r="H542">
        <f t="shared" si="30"/>
        <v>267</v>
      </c>
      <c r="I542">
        <f t="shared" si="31"/>
        <v>270</v>
      </c>
      <c r="J542">
        <f t="shared" si="32"/>
        <v>70</v>
      </c>
      <c r="K542">
        <f t="shared" si="33"/>
        <v>537</v>
      </c>
    </row>
    <row r="543" spans="1:11" x14ac:dyDescent="0.2">
      <c r="A543" s="106">
        <f>_xlfn.XLOOKUP(B543,pratos!B:B,pratos!A:A,"não")</f>
        <v>268</v>
      </c>
      <c r="B543" s="116" t="s">
        <v>578</v>
      </c>
      <c r="C543" s="105">
        <f>_xlfn.XLOOKUP(D543,ingredientes!B:B,ingredientes!A:A,"não")</f>
        <v>270</v>
      </c>
      <c r="D543" s="161" t="s">
        <v>548</v>
      </c>
      <c r="E543" s="17">
        <v>80</v>
      </c>
      <c r="H543">
        <f t="shared" si="30"/>
        <v>268</v>
      </c>
      <c r="I543">
        <f t="shared" si="31"/>
        <v>270</v>
      </c>
      <c r="J543">
        <f t="shared" si="32"/>
        <v>80</v>
      </c>
      <c r="K543">
        <f t="shared" si="33"/>
        <v>538</v>
      </c>
    </row>
    <row r="544" spans="1:11" x14ac:dyDescent="0.2">
      <c r="A544" s="106">
        <f>_xlfn.XLOOKUP(B544,pratos!B:B,pratos!A:A,"não")</f>
        <v>269</v>
      </c>
      <c r="B544" s="52" t="s">
        <v>32</v>
      </c>
      <c r="C544" s="105">
        <f>_xlfn.XLOOKUP(D544,ingredientes!B:B,ingredientes!A:A,"não")</f>
        <v>200</v>
      </c>
      <c r="D544" s="138" t="s">
        <v>32</v>
      </c>
      <c r="E544" s="10">
        <v>120</v>
      </c>
      <c r="H544">
        <f t="shared" si="30"/>
        <v>269</v>
      </c>
      <c r="I544">
        <f t="shared" si="31"/>
        <v>200</v>
      </c>
      <c r="J544">
        <f t="shared" si="32"/>
        <v>120</v>
      </c>
      <c r="K544">
        <f t="shared" si="33"/>
        <v>469</v>
      </c>
    </row>
    <row r="545" spans="1:11" x14ac:dyDescent="0.2">
      <c r="A545" s="106">
        <f>_xlfn.XLOOKUP(B545,pratos!B:B,pratos!A:A,"não")</f>
        <v>270</v>
      </c>
      <c r="B545" s="111" t="s">
        <v>135</v>
      </c>
      <c r="C545" s="105">
        <f>_xlfn.XLOOKUP(D545,ingredientes!B:B,ingredientes!A:A,"não")</f>
        <v>201</v>
      </c>
      <c r="D545" s="145" t="s">
        <v>135</v>
      </c>
      <c r="E545" s="10">
        <v>120</v>
      </c>
      <c r="H545">
        <f t="shared" si="30"/>
        <v>270</v>
      </c>
      <c r="I545">
        <f t="shared" si="31"/>
        <v>201</v>
      </c>
      <c r="J545">
        <f t="shared" si="32"/>
        <v>120</v>
      </c>
      <c r="K545">
        <f t="shared" si="33"/>
        <v>471</v>
      </c>
    </row>
    <row r="546" spans="1:11" x14ac:dyDescent="0.2">
      <c r="A546" s="106">
        <f>_xlfn.XLOOKUP(B546,pratos!B:B,pratos!A:A,"não")</f>
        <v>271</v>
      </c>
      <c r="B546" s="52" t="s">
        <v>157</v>
      </c>
      <c r="C546" s="105">
        <f>_xlfn.XLOOKUP(D546,ingredientes!B:B,ingredientes!A:A,"não")</f>
        <v>201</v>
      </c>
      <c r="D546" s="138" t="s">
        <v>135</v>
      </c>
      <c r="E546" s="10">
        <v>120</v>
      </c>
      <c r="H546">
        <f t="shared" si="30"/>
        <v>271</v>
      </c>
      <c r="I546">
        <f t="shared" si="31"/>
        <v>201</v>
      </c>
      <c r="J546">
        <f t="shared" si="32"/>
        <v>120</v>
      </c>
      <c r="K546">
        <f t="shared" si="33"/>
        <v>472</v>
      </c>
    </row>
    <row r="547" spans="1:11" x14ac:dyDescent="0.2">
      <c r="A547" s="106">
        <f>_xlfn.XLOOKUP(B547,pratos!B:B,pratos!A:A,"não")</f>
        <v>272</v>
      </c>
      <c r="B547" s="111" t="s">
        <v>224</v>
      </c>
      <c r="C547" s="105">
        <f>_xlfn.XLOOKUP(D547,ingredientes!B:B,ingredientes!A:A,"não")</f>
        <v>64</v>
      </c>
      <c r="D547" t="s">
        <v>624</v>
      </c>
      <c r="E547" s="17">
        <v>50</v>
      </c>
      <c r="H547">
        <f t="shared" si="30"/>
        <v>272</v>
      </c>
      <c r="I547">
        <f t="shared" si="31"/>
        <v>64</v>
      </c>
      <c r="J547">
        <f t="shared" si="32"/>
        <v>50</v>
      </c>
      <c r="K547">
        <f t="shared" si="33"/>
        <v>336</v>
      </c>
    </row>
    <row r="548" spans="1:11" x14ac:dyDescent="0.2">
      <c r="A548" s="106">
        <f>_xlfn.XLOOKUP(B548,pratos!B:B,pratos!A:A,"não")</f>
        <v>272</v>
      </c>
      <c r="B548" s="52" t="s">
        <v>224</v>
      </c>
      <c r="C548" s="105">
        <f>_xlfn.XLOOKUP(D548,ingredientes!B:B,ingredientes!A:A,"não")</f>
        <v>202</v>
      </c>
      <c r="D548" s="138" t="s">
        <v>672</v>
      </c>
      <c r="E548" s="17">
        <v>50</v>
      </c>
      <c r="H548">
        <f t="shared" si="30"/>
        <v>272</v>
      </c>
      <c r="I548">
        <f t="shared" si="31"/>
        <v>202</v>
      </c>
      <c r="J548">
        <f t="shared" si="32"/>
        <v>50</v>
      </c>
      <c r="K548">
        <f t="shared" si="33"/>
        <v>474</v>
      </c>
    </row>
    <row r="549" spans="1:11" x14ac:dyDescent="0.2">
      <c r="A549" s="106">
        <f>_xlfn.XLOOKUP(B549,pratos!B:B,pratos!A:A,"não")</f>
        <v>273</v>
      </c>
      <c r="B549" s="111" t="s">
        <v>214</v>
      </c>
      <c r="C549" s="105">
        <f>_xlfn.XLOOKUP(D549,ingredientes!B:B,ingredientes!A:A,"não")</f>
        <v>64</v>
      </c>
      <c r="D549" t="s">
        <v>624</v>
      </c>
      <c r="E549" s="10">
        <v>50</v>
      </c>
      <c r="H549">
        <f t="shared" si="30"/>
        <v>273</v>
      </c>
      <c r="I549">
        <f t="shared" si="31"/>
        <v>64</v>
      </c>
      <c r="J549">
        <f t="shared" si="32"/>
        <v>50</v>
      </c>
      <c r="K549">
        <f t="shared" si="33"/>
        <v>337</v>
      </c>
    </row>
    <row r="550" spans="1:11" x14ac:dyDescent="0.2">
      <c r="A550" s="106">
        <f>_xlfn.XLOOKUP(B550,pratos!B:B,pratos!A:A,"não")</f>
        <v>273</v>
      </c>
      <c r="B550" s="52" t="s">
        <v>214</v>
      </c>
      <c r="C550" s="105">
        <f>_xlfn.XLOOKUP(D550,ingredientes!B:B,ingredientes!A:A,"não")</f>
        <v>202</v>
      </c>
      <c r="D550" s="138" t="s">
        <v>672</v>
      </c>
      <c r="E550" s="10">
        <v>50</v>
      </c>
      <c r="H550">
        <f t="shared" si="30"/>
        <v>273</v>
      </c>
      <c r="I550">
        <f t="shared" si="31"/>
        <v>202</v>
      </c>
      <c r="J550">
        <f t="shared" si="32"/>
        <v>50</v>
      </c>
      <c r="K550">
        <f t="shared" si="33"/>
        <v>475</v>
      </c>
    </row>
    <row r="551" spans="1:11" x14ac:dyDescent="0.2">
      <c r="A551" s="106">
        <f>_xlfn.XLOOKUP(B551,pratos!B:B,pratos!A:A,"não")</f>
        <v>274</v>
      </c>
      <c r="B551" s="111" t="s">
        <v>51</v>
      </c>
      <c r="C551" s="105">
        <f>_xlfn.XLOOKUP(D551,ingredientes!B:B,ingredientes!A:A,"não")</f>
        <v>17</v>
      </c>
      <c r="D551" s="138" t="s">
        <v>7</v>
      </c>
      <c r="E551" s="10">
        <v>15</v>
      </c>
      <c r="H551">
        <f t="shared" si="30"/>
        <v>274</v>
      </c>
      <c r="I551">
        <f t="shared" si="31"/>
        <v>17</v>
      </c>
      <c r="J551">
        <f t="shared" si="32"/>
        <v>15</v>
      </c>
      <c r="K551">
        <f t="shared" si="33"/>
        <v>291</v>
      </c>
    </row>
    <row r="552" spans="1:11" x14ac:dyDescent="0.2">
      <c r="A552" s="106">
        <f>_xlfn.XLOOKUP(B552,pratos!B:B,pratos!A:A,"não")</f>
        <v>274</v>
      </c>
      <c r="B552" s="52" t="s">
        <v>51</v>
      </c>
      <c r="C552" s="105">
        <f>_xlfn.XLOOKUP(D552,ingredientes!B:B,ingredientes!A:A,"não")</f>
        <v>31</v>
      </c>
      <c r="D552" s="138" t="s">
        <v>52</v>
      </c>
      <c r="E552" s="10">
        <v>8</v>
      </c>
      <c r="H552">
        <f t="shared" si="30"/>
        <v>274</v>
      </c>
      <c r="I552">
        <f t="shared" si="31"/>
        <v>31</v>
      </c>
      <c r="J552">
        <f t="shared" si="32"/>
        <v>8</v>
      </c>
      <c r="K552">
        <f t="shared" si="33"/>
        <v>305</v>
      </c>
    </row>
    <row r="553" spans="1:11" x14ac:dyDescent="0.2">
      <c r="A553" s="106">
        <f>_xlfn.XLOOKUP(B553,pratos!B:B,pratos!A:A,"não")</f>
        <v>274</v>
      </c>
      <c r="B553" s="52" t="s">
        <v>51</v>
      </c>
      <c r="C553" s="105">
        <f>_xlfn.XLOOKUP(D553,ingredientes!B:B,ingredientes!A:A,"não")</f>
        <v>32</v>
      </c>
      <c r="D553" s="143" t="s">
        <v>483</v>
      </c>
      <c r="E553" s="10">
        <v>8</v>
      </c>
      <c r="H553">
        <f t="shared" si="30"/>
        <v>274</v>
      </c>
      <c r="I553">
        <f t="shared" si="31"/>
        <v>32</v>
      </c>
      <c r="J553">
        <f t="shared" si="32"/>
        <v>8</v>
      </c>
      <c r="K553">
        <f t="shared" si="33"/>
        <v>306</v>
      </c>
    </row>
    <row r="554" spans="1:11" x14ac:dyDescent="0.2">
      <c r="A554" s="106">
        <f>_xlfn.XLOOKUP(B554,pratos!B:B,pratos!A:A,"não")</f>
        <v>274</v>
      </c>
      <c r="B554" s="52" t="s">
        <v>51</v>
      </c>
      <c r="C554" s="105">
        <f>_xlfn.XLOOKUP(D554,ingredientes!B:B,ingredientes!A:A,"não")</f>
        <v>177</v>
      </c>
      <c r="D554" s="9" t="s">
        <v>6</v>
      </c>
      <c r="E554" s="5">
        <v>160</v>
      </c>
      <c r="H554">
        <f t="shared" si="30"/>
        <v>274</v>
      </c>
      <c r="I554">
        <f t="shared" si="31"/>
        <v>177</v>
      </c>
      <c r="J554">
        <f t="shared" si="32"/>
        <v>160</v>
      </c>
      <c r="K554">
        <f t="shared" si="33"/>
        <v>451</v>
      </c>
    </row>
    <row r="555" spans="1:11" x14ac:dyDescent="0.2">
      <c r="A555" s="106">
        <f>_xlfn.XLOOKUP(B555,pratos!B:B,pratos!A:A,"não")</f>
        <v>274</v>
      </c>
      <c r="B555" s="111" t="s">
        <v>51</v>
      </c>
      <c r="C555" s="105">
        <f>_xlfn.XLOOKUP(D555,ingredientes!B:B,ingredientes!A:A,"não")</f>
        <v>179</v>
      </c>
      <c r="D555" s="9" t="s">
        <v>62</v>
      </c>
      <c r="E555" s="5">
        <v>20</v>
      </c>
      <c r="H555">
        <f t="shared" si="30"/>
        <v>274</v>
      </c>
      <c r="I555">
        <f t="shared" si="31"/>
        <v>179</v>
      </c>
      <c r="J555">
        <f t="shared" si="32"/>
        <v>20</v>
      </c>
      <c r="K555">
        <f t="shared" si="33"/>
        <v>453</v>
      </c>
    </row>
    <row r="556" spans="1:11" x14ac:dyDescent="0.2">
      <c r="A556" s="106">
        <f>_xlfn.XLOOKUP(B556,pratos!B:B,pratos!A:A,"não")</f>
        <v>275</v>
      </c>
      <c r="B556" s="52" t="s">
        <v>297</v>
      </c>
      <c r="C556" s="105">
        <f>_xlfn.XLOOKUP(D556,ingredientes!B:B,ingredientes!A:A,"não")</f>
        <v>177</v>
      </c>
      <c r="D556" s="3" t="s">
        <v>6</v>
      </c>
      <c r="E556" s="5">
        <v>160</v>
      </c>
      <c r="H556">
        <f t="shared" si="30"/>
        <v>275</v>
      </c>
      <c r="I556">
        <f t="shared" si="31"/>
        <v>177</v>
      </c>
      <c r="J556">
        <f t="shared" si="32"/>
        <v>160</v>
      </c>
      <c r="K556">
        <f t="shared" si="33"/>
        <v>452</v>
      </c>
    </row>
    <row r="557" spans="1:11" x14ac:dyDescent="0.2">
      <c r="A557" s="106">
        <f>_xlfn.XLOOKUP(B557,pratos!B:B,pratos!A:A,"não")</f>
        <v>275</v>
      </c>
      <c r="B557" s="52" t="s">
        <v>297</v>
      </c>
      <c r="C557" s="105">
        <f>_xlfn.XLOOKUP(D557,ingredientes!B:B,ingredientes!A:A,"não")</f>
        <v>214</v>
      </c>
      <c r="D557" s="9" t="s">
        <v>294</v>
      </c>
      <c r="E557" s="10">
        <v>14</v>
      </c>
      <c r="H557">
        <f t="shared" si="30"/>
        <v>275</v>
      </c>
      <c r="I557">
        <f t="shared" si="31"/>
        <v>214</v>
      </c>
      <c r="J557">
        <f t="shared" si="32"/>
        <v>14</v>
      </c>
      <c r="K557">
        <f t="shared" si="33"/>
        <v>489</v>
      </c>
    </row>
    <row r="558" spans="1:11" x14ac:dyDescent="0.2">
      <c r="A558" s="106">
        <f>_xlfn.XLOOKUP(B558,pratos!B:B,pratos!A:A,"não")</f>
        <v>276</v>
      </c>
      <c r="B558" s="52" t="s">
        <v>167</v>
      </c>
      <c r="C558" s="105">
        <f>_xlfn.XLOOKUP(D558,ingredientes!B:B,ingredientes!A:A,"não")</f>
        <v>17</v>
      </c>
      <c r="D558" s="9" t="s">
        <v>7</v>
      </c>
      <c r="E558" s="10">
        <v>15</v>
      </c>
      <c r="H558">
        <f t="shared" si="30"/>
        <v>276</v>
      </c>
      <c r="I558">
        <f t="shared" si="31"/>
        <v>17</v>
      </c>
      <c r="J558">
        <f t="shared" si="32"/>
        <v>15</v>
      </c>
      <c r="K558">
        <f t="shared" si="33"/>
        <v>293</v>
      </c>
    </row>
    <row r="559" spans="1:11" x14ac:dyDescent="0.2">
      <c r="A559" s="106">
        <f>_xlfn.XLOOKUP(B559,pratos!B:B,pratos!A:A,"não")</f>
        <v>276</v>
      </c>
      <c r="B559" s="132" t="s">
        <v>167</v>
      </c>
      <c r="C559" s="105">
        <f>_xlfn.XLOOKUP(D559,ingredientes!B:B,ingredientes!A:A,"não")</f>
        <v>39</v>
      </c>
      <c r="D559" s="76" t="s">
        <v>132</v>
      </c>
      <c r="E559" s="68">
        <v>8</v>
      </c>
      <c r="H559">
        <f t="shared" si="30"/>
        <v>276</v>
      </c>
      <c r="I559">
        <f t="shared" si="31"/>
        <v>39</v>
      </c>
      <c r="J559">
        <f t="shared" si="32"/>
        <v>8</v>
      </c>
      <c r="K559">
        <f t="shared" si="33"/>
        <v>315</v>
      </c>
    </row>
    <row r="560" spans="1:11" x14ac:dyDescent="0.2">
      <c r="A560" s="106">
        <f>_xlfn.XLOOKUP(B560,pratos!B:B,pratos!A:A,"não")</f>
        <v>276</v>
      </c>
      <c r="B560" s="52" t="s">
        <v>167</v>
      </c>
      <c r="C560" s="105">
        <f>_xlfn.XLOOKUP(D560,ingredientes!B:B,ingredientes!A:A,"não")</f>
        <v>40</v>
      </c>
      <c r="D560" s="29" t="s">
        <v>168</v>
      </c>
      <c r="E560" s="10">
        <v>8</v>
      </c>
      <c r="H560">
        <f t="shared" si="30"/>
        <v>276</v>
      </c>
      <c r="I560">
        <f t="shared" si="31"/>
        <v>40</v>
      </c>
      <c r="J560">
        <f t="shared" si="32"/>
        <v>8</v>
      </c>
      <c r="K560">
        <f t="shared" si="33"/>
        <v>316</v>
      </c>
    </row>
    <row r="561" spans="1:11" x14ac:dyDescent="0.2">
      <c r="A561" s="106">
        <f>_xlfn.XLOOKUP(B561,pratos!B:B,pratos!A:A,"não")</f>
        <v>276</v>
      </c>
      <c r="B561" s="52" t="s">
        <v>167</v>
      </c>
      <c r="C561" s="105">
        <f>_xlfn.XLOOKUP(D561,ingredientes!B:B,ingredientes!A:A,"não")</f>
        <v>177</v>
      </c>
      <c r="D561" s="9" t="s">
        <v>6</v>
      </c>
      <c r="E561" s="5">
        <v>160</v>
      </c>
      <c r="H561">
        <f t="shared" si="30"/>
        <v>276</v>
      </c>
      <c r="I561">
        <f t="shared" si="31"/>
        <v>177</v>
      </c>
      <c r="J561">
        <f t="shared" si="32"/>
        <v>160</v>
      </c>
      <c r="K561">
        <f t="shared" si="33"/>
        <v>453</v>
      </c>
    </row>
    <row r="562" spans="1:11" x14ac:dyDescent="0.2">
      <c r="A562" s="106">
        <f>_xlfn.XLOOKUP(B562,pratos!B:B,pratos!A:A,"não")</f>
        <v>277</v>
      </c>
      <c r="B562" s="111" t="s">
        <v>290</v>
      </c>
      <c r="C562" s="105">
        <f>_xlfn.XLOOKUP(D562,ingredientes!B:B,ingredientes!A:A,"não")</f>
        <v>177</v>
      </c>
      <c r="D562" s="15" t="s">
        <v>6</v>
      </c>
      <c r="E562" s="57">
        <v>160</v>
      </c>
      <c r="H562">
        <f t="shared" si="30"/>
        <v>277</v>
      </c>
      <c r="I562">
        <f t="shared" si="31"/>
        <v>177</v>
      </c>
      <c r="J562">
        <f t="shared" si="32"/>
        <v>160</v>
      </c>
      <c r="K562">
        <f t="shared" si="33"/>
        <v>454</v>
      </c>
    </row>
    <row r="563" spans="1:11" x14ac:dyDescent="0.2">
      <c r="A563" s="106">
        <f>_xlfn.XLOOKUP(B563,pratos!B:B,pratos!A:A,"não")</f>
        <v>277</v>
      </c>
      <c r="B563" s="111" t="s">
        <v>290</v>
      </c>
      <c r="C563" s="105">
        <f>_xlfn.XLOOKUP(D563,ingredientes!B:B,ingredientes!A:A,"não")</f>
        <v>216</v>
      </c>
      <c r="D563" s="15" t="s">
        <v>291</v>
      </c>
      <c r="E563" s="5">
        <v>21</v>
      </c>
      <c r="H563">
        <f t="shared" si="30"/>
        <v>277</v>
      </c>
      <c r="I563">
        <f t="shared" si="31"/>
        <v>216</v>
      </c>
      <c r="J563">
        <f t="shared" si="32"/>
        <v>21</v>
      </c>
      <c r="K563">
        <f t="shared" si="33"/>
        <v>493</v>
      </c>
    </row>
    <row r="564" spans="1:11" x14ac:dyDescent="0.2">
      <c r="A564" s="106">
        <f>_xlfn.XLOOKUP(B564,pratos!B:B,pratos!A:A,"não")</f>
        <v>278</v>
      </c>
      <c r="B564" s="52" t="s">
        <v>154</v>
      </c>
      <c r="C564" s="105">
        <f>_xlfn.XLOOKUP(D564,ingredientes!B:B,ingredientes!A:A,"não")</f>
        <v>17</v>
      </c>
      <c r="D564" s="9" t="s">
        <v>7</v>
      </c>
      <c r="E564" s="10">
        <v>15</v>
      </c>
      <c r="H564">
        <f t="shared" si="30"/>
        <v>278</v>
      </c>
      <c r="I564">
        <f t="shared" si="31"/>
        <v>17</v>
      </c>
      <c r="J564">
        <f t="shared" si="32"/>
        <v>15</v>
      </c>
      <c r="K564">
        <f t="shared" si="33"/>
        <v>295</v>
      </c>
    </row>
    <row r="565" spans="1:11" x14ac:dyDescent="0.2">
      <c r="A565" s="106">
        <f>_xlfn.XLOOKUP(B565,pratos!B:B,pratos!A:A,"não")</f>
        <v>278</v>
      </c>
      <c r="B565" s="52" t="s">
        <v>154</v>
      </c>
      <c r="C565" s="105">
        <f>_xlfn.XLOOKUP(D565,ingredientes!B:B,ingredientes!A:A,"não")</f>
        <v>120</v>
      </c>
      <c r="D565" s="29" t="s">
        <v>155</v>
      </c>
      <c r="E565" s="10">
        <v>8</v>
      </c>
      <c r="H565">
        <f t="shared" si="30"/>
        <v>278</v>
      </c>
      <c r="I565">
        <f t="shared" si="31"/>
        <v>120</v>
      </c>
      <c r="J565">
        <f t="shared" si="32"/>
        <v>8</v>
      </c>
      <c r="K565">
        <f t="shared" si="33"/>
        <v>398</v>
      </c>
    </row>
    <row r="566" spans="1:11" x14ac:dyDescent="0.2">
      <c r="A566" s="106">
        <f>_xlfn.XLOOKUP(B566,pratos!B:B,pratos!A:A,"não")</f>
        <v>278</v>
      </c>
      <c r="B566" s="52" t="s">
        <v>154</v>
      </c>
      <c r="C566" s="105">
        <f>_xlfn.XLOOKUP(D566,ingredientes!B:B,ingredientes!A:A,"não")</f>
        <v>177</v>
      </c>
      <c r="D566" s="9" t="s">
        <v>6</v>
      </c>
      <c r="E566" s="5">
        <v>160</v>
      </c>
      <c r="H566">
        <f t="shared" si="30"/>
        <v>278</v>
      </c>
      <c r="I566">
        <f t="shared" si="31"/>
        <v>177</v>
      </c>
      <c r="J566">
        <f t="shared" si="32"/>
        <v>160</v>
      </c>
      <c r="K566">
        <f t="shared" si="33"/>
        <v>455</v>
      </c>
    </row>
    <row r="567" spans="1:11" x14ac:dyDescent="0.2">
      <c r="A567" s="106">
        <f>_xlfn.XLOOKUP(B567,pratos!B:B,pratos!A:A,"não")</f>
        <v>278</v>
      </c>
      <c r="B567" s="52" t="s">
        <v>154</v>
      </c>
      <c r="C567" s="105">
        <f>_xlfn.XLOOKUP(D567,ingredientes!B:B,ingredientes!A:A,"não")</f>
        <v>179</v>
      </c>
      <c r="D567" s="9" t="s">
        <v>62</v>
      </c>
      <c r="E567" s="5">
        <v>20</v>
      </c>
      <c r="H567">
        <f t="shared" si="30"/>
        <v>278</v>
      </c>
      <c r="I567">
        <f t="shared" si="31"/>
        <v>179</v>
      </c>
      <c r="J567">
        <f t="shared" si="32"/>
        <v>20</v>
      </c>
      <c r="K567">
        <f t="shared" si="33"/>
        <v>457</v>
      </c>
    </row>
    <row r="568" spans="1:11" x14ac:dyDescent="0.2">
      <c r="A568" s="106">
        <f>_xlfn.XLOOKUP(B568,pratos!B:B,pratos!A:A,"não")</f>
        <v>279</v>
      </c>
      <c r="B568" s="116" t="s">
        <v>538</v>
      </c>
      <c r="C568" s="105">
        <f>_xlfn.XLOOKUP(D568,ingredientes!B:B,ingredientes!A:A,"não")</f>
        <v>17</v>
      </c>
      <c r="D568" s="98" t="s">
        <v>7</v>
      </c>
      <c r="E568" s="87">
        <v>14</v>
      </c>
      <c r="H568">
        <f t="shared" si="30"/>
        <v>279</v>
      </c>
      <c r="I568">
        <f t="shared" si="31"/>
        <v>17</v>
      </c>
      <c r="J568">
        <f t="shared" si="32"/>
        <v>14</v>
      </c>
      <c r="K568">
        <f t="shared" si="33"/>
        <v>296</v>
      </c>
    </row>
    <row r="569" spans="1:11" x14ac:dyDescent="0.2">
      <c r="A569" s="106">
        <f>_xlfn.XLOOKUP(B569,pratos!B:B,pratos!A:A,"não")</f>
        <v>279</v>
      </c>
      <c r="B569" s="116" t="s">
        <v>538</v>
      </c>
      <c r="C569" s="105">
        <f>_xlfn.XLOOKUP(D569,ingredientes!B:B,ingredientes!A:A,"não")</f>
        <v>121</v>
      </c>
      <c r="D569" s="61" t="s">
        <v>334</v>
      </c>
      <c r="E569" s="17">
        <v>8</v>
      </c>
      <c r="H569">
        <f t="shared" si="30"/>
        <v>279</v>
      </c>
      <c r="I569">
        <f t="shared" si="31"/>
        <v>121</v>
      </c>
      <c r="J569">
        <f t="shared" si="32"/>
        <v>8</v>
      </c>
      <c r="K569">
        <f t="shared" si="33"/>
        <v>400</v>
      </c>
    </row>
    <row r="570" spans="1:11" x14ac:dyDescent="0.2">
      <c r="A570" s="106">
        <f>_xlfn.XLOOKUP(B570,pratos!B:B,pratos!A:A,"não")</f>
        <v>279</v>
      </c>
      <c r="B570" s="116" t="s">
        <v>538</v>
      </c>
      <c r="C570" s="105">
        <f>_xlfn.XLOOKUP(D570,ingredientes!B:B,ingredientes!A:A,"não")</f>
        <v>177</v>
      </c>
      <c r="D570" s="98" t="s">
        <v>6</v>
      </c>
      <c r="E570" s="63">
        <v>160</v>
      </c>
      <c r="H570">
        <f t="shared" si="30"/>
        <v>279</v>
      </c>
      <c r="I570">
        <f t="shared" si="31"/>
        <v>177</v>
      </c>
      <c r="J570">
        <f t="shared" si="32"/>
        <v>160</v>
      </c>
      <c r="K570">
        <f t="shared" si="33"/>
        <v>456</v>
      </c>
    </row>
    <row r="571" spans="1:11" x14ac:dyDescent="0.2">
      <c r="A571" s="106">
        <f>_xlfn.XLOOKUP(B571,pratos!B:B,pratos!A:A,"não")</f>
        <v>280</v>
      </c>
      <c r="B571" s="111" t="s">
        <v>333</v>
      </c>
      <c r="C571" s="105">
        <f>_xlfn.XLOOKUP(D571,ingredientes!B:B,ingredientes!A:A,"não")</f>
        <v>16</v>
      </c>
      <c r="D571" s="39" t="s">
        <v>335</v>
      </c>
      <c r="E571" s="10">
        <v>5</v>
      </c>
      <c r="H571">
        <f t="shared" si="30"/>
        <v>280</v>
      </c>
      <c r="I571">
        <f t="shared" si="31"/>
        <v>16</v>
      </c>
      <c r="J571">
        <f t="shared" si="32"/>
        <v>5</v>
      </c>
      <c r="K571">
        <f t="shared" si="33"/>
        <v>296</v>
      </c>
    </row>
    <row r="572" spans="1:11" x14ac:dyDescent="0.2">
      <c r="A572" s="106">
        <f>_xlfn.XLOOKUP(B572,pratos!B:B,pratos!A:A,"não")</f>
        <v>280</v>
      </c>
      <c r="B572" s="111" t="s">
        <v>333</v>
      </c>
      <c r="C572" s="105">
        <f>_xlfn.XLOOKUP(D572,ingredientes!B:B,ingredientes!A:A,"não")</f>
        <v>121</v>
      </c>
      <c r="D572" s="12" t="s">
        <v>334</v>
      </c>
      <c r="E572" s="10">
        <v>8</v>
      </c>
      <c r="H572">
        <f t="shared" si="30"/>
        <v>280</v>
      </c>
      <c r="I572">
        <f t="shared" si="31"/>
        <v>121</v>
      </c>
      <c r="J572">
        <f t="shared" si="32"/>
        <v>8</v>
      </c>
      <c r="K572">
        <f t="shared" si="33"/>
        <v>401</v>
      </c>
    </row>
    <row r="573" spans="1:11" x14ac:dyDescent="0.2">
      <c r="A573" s="106">
        <f>_xlfn.XLOOKUP(B573,pratos!B:B,pratos!A:A,"não")</f>
        <v>280</v>
      </c>
      <c r="B573" s="111" t="s">
        <v>333</v>
      </c>
      <c r="C573" s="105">
        <f>_xlfn.XLOOKUP(D573,ingredientes!B:B,ingredientes!A:A,"não")</f>
        <v>177</v>
      </c>
      <c r="D573" s="42" t="s">
        <v>6</v>
      </c>
      <c r="E573" s="5">
        <v>160</v>
      </c>
      <c r="H573">
        <f t="shared" si="30"/>
        <v>280</v>
      </c>
      <c r="I573">
        <f t="shared" si="31"/>
        <v>177</v>
      </c>
      <c r="J573">
        <f t="shared" si="32"/>
        <v>160</v>
      </c>
      <c r="K573">
        <f t="shared" si="33"/>
        <v>457</v>
      </c>
    </row>
    <row r="574" spans="1:11" x14ac:dyDescent="0.2">
      <c r="A574" s="106">
        <f>_xlfn.XLOOKUP(B574,pratos!B:B,pratos!A:A,"não")</f>
        <v>281</v>
      </c>
      <c r="B574" s="132" t="s">
        <v>431</v>
      </c>
      <c r="C574" s="105">
        <f>_xlfn.XLOOKUP(D574,ingredientes!B:B,ingredientes!A:A,"não")</f>
        <v>17</v>
      </c>
      <c r="D574" s="21" t="s">
        <v>7</v>
      </c>
      <c r="E574" s="68">
        <v>15</v>
      </c>
      <c r="H574">
        <f t="shared" si="30"/>
        <v>281</v>
      </c>
      <c r="I574">
        <f t="shared" si="31"/>
        <v>17</v>
      </c>
      <c r="J574">
        <f t="shared" si="32"/>
        <v>15</v>
      </c>
      <c r="K574">
        <f t="shared" si="33"/>
        <v>298</v>
      </c>
    </row>
    <row r="575" spans="1:11" x14ac:dyDescent="0.2">
      <c r="A575" s="106">
        <f>_xlfn.XLOOKUP(B575,pratos!B:B,pratos!A:A,"não")</f>
        <v>281</v>
      </c>
      <c r="B575" s="132" t="s">
        <v>431</v>
      </c>
      <c r="C575" s="105">
        <f>_xlfn.XLOOKUP(D575,ingredientes!B:B,ingredientes!A:A,"não")</f>
        <v>121</v>
      </c>
      <c r="D575" s="12" t="s">
        <v>334</v>
      </c>
      <c r="E575" s="10">
        <v>8</v>
      </c>
      <c r="H575">
        <f t="shared" si="30"/>
        <v>281</v>
      </c>
      <c r="I575">
        <f t="shared" si="31"/>
        <v>121</v>
      </c>
      <c r="J575">
        <f t="shared" si="32"/>
        <v>8</v>
      </c>
      <c r="K575">
        <f t="shared" si="33"/>
        <v>402</v>
      </c>
    </row>
    <row r="576" spans="1:11" x14ac:dyDescent="0.2">
      <c r="A576" s="106">
        <f>_xlfn.XLOOKUP(B576,pratos!B:B,pratos!A:A,"não")</f>
        <v>281</v>
      </c>
      <c r="B576" s="128" t="s">
        <v>431</v>
      </c>
      <c r="C576" s="105">
        <f>_xlfn.XLOOKUP(D576,ingredientes!B:B,ingredientes!A:A,"não")</f>
        <v>177</v>
      </c>
      <c r="D576" s="73" t="s">
        <v>6</v>
      </c>
      <c r="E576" s="10">
        <v>160</v>
      </c>
      <c r="H576">
        <f t="shared" ref="H576:H639" si="34">A576</f>
        <v>281</v>
      </c>
      <c r="I576">
        <f t="shared" ref="I576:I639" si="35">C576</f>
        <v>177</v>
      </c>
      <c r="J576">
        <f t="shared" ref="J576:J639" si="36">E576</f>
        <v>160</v>
      </c>
      <c r="K576">
        <f t="shared" si="33"/>
        <v>458</v>
      </c>
    </row>
    <row r="577" spans="1:11" x14ac:dyDescent="0.2">
      <c r="A577" s="106">
        <f>_xlfn.XLOOKUP(B577,pratos!B:B,pratos!A:A,"não")</f>
        <v>282</v>
      </c>
      <c r="B577" s="52" t="s">
        <v>127</v>
      </c>
      <c r="C577" s="105">
        <f>_xlfn.XLOOKUP(D577,ingredientes!B:B,ingredientes!A:A,"não")</f>
        <v>17</v>
      </c>
      <c r="D577" s="9" t="s">
        <v>7</v>
      </c>
      <c r="E577" s="10">
        <v>10</v>
      </c>
      <c r="H577">
        <f t="shared" si="34"/>
        <v>282</v>
      </c>
      <c r="I577">
        <f t="shared" si="35"/>
        <v>17</v>
      </c>
      <c r="J577">
        <f t="shared" si="36"/>
        <v>10</v>
      </c>
      <c r="K577">
        <f t="shared" si="33"/>
        <v>299</v>
      </c>
    </row>
    <row r="578" spans="1:11" x14ac:dyDescent="0.2">
      <c r="A578" s="106">
        <f>_xlfn.XLOOKUP(B578,pratos!B:B,pratos!A:A,"não")</f>
        <v>282</v>
      </c>
      <c r="B578" s="52" t="s">
        <v>127</v>
      </c>
      <c r="C578" s="105">
        <f>_xlfn.XLOOKUP(D578,ingredientes!B:B,ingredientes!A:A,"não")</f>
        <v>138</v>
      </c>
      <c r="D578" s="9" t="s">
        <v>64</v>
      </c>
      <c r="E578" s="10">
        <v>14</v>
      </c>
      <c r="H578">
        <f t="shared" si="34"/>
        <v>282</v>
      </c>
      <c r="I578">
        <f t="shared" si="35"/>
        <v>138</v>
      </c>
      <c r="J578">
        <f t="shared" si="36"/>
        <v>14</v>
      </c>
      <c r="K578">
        <f t="shared" si="33"/>
        <v>420</v>
      </c>
    </row>
    <row r="579" spans="1:11" x14ac:dyDescent="0.2">
      <c r="A579" s="106">
        <f>_xlfn.XLOOKUP(B579,pratos!B:B,pratos!A:A,"não")</f>
        <v>282</v>
      </c>
      <c r="B579" s="52" t="s">
        <v>127</v>
      </c>
      <c r="C579" s="105">
        <f>_xlfn.XLOOKUP(D579,ingredientes!B:B,ingredientes!A:A,"não")</f>
        <v>177</v>
      </c>
      <c r="D579" s="138" t="s">
        <v>6</v>
      </c>
      <c r="E579" s="5">
        <v>160</v>
      </c>
      <c r="H579">
        <f t="shared" si="34"/>
        <v>282</v>
      </c>
      <c r="I579">
        <f t="shared" si="35"/>
        <v>177</v>
      </c>
      <c r="J579">
        <f t="shared" si="36"/>
        <v>160</v>
      </c>
      <c r="K579">
        <f t="shared" ref="K579:K642" si="37">H579+I579</f>
        <v>459</v>
      </c>
    </row>
    <row r="580" spans="1:11" x14ac:dyDescent="0.2">
      <c r="A580" s="106">
        <f>_xlfn.XLOOKUP(B580,pratos!B:B,pratos!A:A,"não")</f>
        <v>283</v>
      </c>
      <c r="B580" s="108" t="s">
        <v>221</v>
      </c>
      <c r="C580" s="105">
        <f>_xlfn.XLOOKUP(D580,ingredientes!B:B,ingredientes!A:A,"não")</f>
        <v>17</v>
      </c>
      <c r="D580" s="146" t="s">
        <v>7</v>
      </c>
      <c r="E580" s="10">
        <v>10</v>
      </c>
      <c r="H580">
        <f t="shared" si="34"/>
        <v>283</v>
      </c>
      <c r="I580">
        <f t="shared" si="35"/>
        <v>17</v>
      </c>
      <c r="J580">
        <f t="shared" si="36"/>
        <v>10</v>
      </c>
      <c r="K580">
        <f t="shared" si="37"/>
        <v>300</v>
      </c>
    </row>
    <row r="581" spans="1:11" x14ac:dyDescent="0.2">
      <c r="A581" s="106">
        <f>_xlfn.XLOOKUP(B581,pratos!B:B,pratos!A:A,"não")</f>
        <v>283</v>
      </c>
      <c r="B581" s="52" t="s">
        <v>221</v>
      </c>
      <c r="C581" s="105">
        <f>_xlfn.XLOOKUP(D581,ingredientes!B:B,ingredientes!A:A,"não")</f>
        <v>153</v>
      </c>
      <c r="D581" s="138" t="s">
        <v>584</v>
      </c>
      <c r="E581" s="10">
        <v>14</v>
      </c>
      <c r="H581">
        <f t="shared" si="34"/>
        <v>283</v>
      </c>
      <c r="I581">
        <f t="shared" si="35"/>
        <v>153</v>
      </c>
      <c r="J581">
        <f t="shared" si="36"/>
        <v>14</v>
      </c>
      <c r="K581">
        <f t="shared" si="37"/>
        <v>436</v>
      </c>
    </row>
    <row r="582" spans="1:11" x14ac:dyDescent="0.2">
      <c r="A582" s="106">
        <f>_xlfn.XLOOKUP(B582,pratos!B:B,pratos!A:A,"não")</f>
        <v>283</v>
      </c>
      <c r="B582" s="116" t="s">
        <v>583</v>
      </c>
      <c r="C582" s="105">
        <f>_xlfn.XLOOKUP(D582,ingredientes!B:B,ingredientes!A:A,"não")</f>
        <v>153</v>
      </c>
      <c r="D582" s="170" t="s">
        <v>584</v>
      </c>
      <c r="E582" s="17">
        <v>14</v>
      </c>
      <c r="H582">
        <f t="shared" si="34"/>
        <v>283</v>
      </c>
      <c r="I582">
        <f t="shared" si="35"/>
        <v>153</v>
      </c>
      <c r="J582">
        <f t="shared" si="36"/>
        <v>14</v>
      </c>
      <c r="K582">
        <f t="shared" si="37"/>
        <v>436</v>
      </c>
    </row>
    <row r="583" spans="1:11" x14ac:dyDescent="0.2">
      <c r="A583" s="106">
        <f>_xlfn.XLOOKUP(B583,pratos!B:B,pratos!A:A,"não")</f>
        <v>283</v>
      </c>
      <c r="B583" s="52" t="s">
        <v>221</v>
      </c>
      <c r="C583" s="105">
        <f>_xlfn.XLOOKUP(D583,ingredientes!B:B,ingredientes!A:A,"não")</f>
        <v>177</v>
      </c>
      <c r="D583" s="172" t="s">
        <v>6</v>
      </c>
      <c r="E583" s="5">
        <v>160</v>
      </c>
      <c r="H583">
        <f t="shared" si="34"/>
        <v>283</v>
      </c>
      <c r="I583">
        <f t="shared" si="35"/>
        <v>177</v>
      </c>
      <c r="J583">
        <f t="shared" si="36"/>
        <v>160</v>
      </c>
      <c r="K583">
        <f t="shared" si="37"/>
        <v>460</v>
      </c>
    </row>
    <row r="584" spans="1:11" x14ac:dyDescent="0.2">
      <c r="A584" s="106">
        <f>_xlfn.XLOOKUP(B584,pratos!B:B,pratos!A:A,"não")</f>
        <v>283</v>
      </c>
      <c r="B584" s="52" t="s">
        <v>221</v>
      </c>
      <c r="C584" s="105">
        <f>_xlfn.XLOOKUP(D584,ingredientes!B:B,ingredientes!A:A,"não")</f>
        <v>179</v>
      </c>
      <c r="D584" s="138" t="s">
        <v>62</v>
      </c>
      <c r="E584" s="5">
        <v>20</v>
      </c>
      <c r="H584">
        <f t="shared" si="34"/>
        <v>283</v>
      </c>
      <c r="I584">
        <f t="shared" si="35"/>
        <v>179</v>
      </c>
      <c r="J584">
        <f t="shared" si="36"/>
        <v>20</v>
      </c>
      <c r="K584">
        <f t="shared" si="37"/>
        <v>462</v>
      </c>
    </row>
    <row r="585" spans="1:11" x14ac:dyDescent="0.2">
      <c r="A585" s="106">
        <f>_xlfn.XLOOKUP(B585,pratos!B:B,pratos!A:A,"não")</f>
        <v>284</v>
      </c>
      <c r="B585" s="52" t="s">
        <v>293</v>
      </c>
      <c r="C585" s="105">
        <f>_xlfn.XLOOKUP(D585,ingredientes!B:B,ingredientes!A:A,"não")</f>
        <v>177</v>
      </c>
      <c r="D585" s="4" t="s">
        <v>6</v>
      </c>
      <c r="E585" s="5">
        <v>160</v>
      </c>
      <c r="H585">
        <f t="shared" si="34"/>
        <v>284</v>
      </c>
      <c r="I585">
        <f t="shared" si="35"/>
        <v>177</v>
      </c>
      <c r="J585">
        <f t="shared" si="36"/>
        <v>160</v>
      </c>
      <c r="K585">
        <f t="shared" si="37"/>
        <v>461</v>
      </c>
    </row>
    <row r="586" spans="1:11" x14ac:dyDescent="0.2">
      <c r="A586" s="106">
        <f>_xlfn.XLOOKUP(B586,pratos!B:B,pratos!A:A,"não")</f>
        <v>284</v>
      </c>
      <c r="B586" s="52" t="s">
        <v>293</v>
      </c>
      <c r="C586" s="105">
        <f>_xlfn.XLOOKUP(D586,ingredientes!B:B,ingredientes!A:A,"não")</f>
        <v>214</v>
      </c>
      <c r="D586" s="9" t="s">
        <v>294</v>
      </c>
      <c r="E586" s="10">
        <v>14</v>
      </c>
      <c r="H586">
        <f t="shared" si="34"/>
        <v>284</v>
      </c>
      <c r="I586">
        <f t="shared" si="35"/>
        <v>214</v>
      </c>
      <c r="J586">
        <f t="shared" si="36"/>
        <v>14</v>
      </c>
      <c r="K586">
        <f t="shared" si="37"/>
        <v>498</v>
      </c>
    </row>
    <row r="587" spans="1:11" x14ac:dyDescent="0.2">
      <c r="A587" s="106">
        <f>_xlfn.XLOOKUP(B587,pratos!B:B,pratos!A:A,"não")</f>
        <v>285</v>
      </c>
      <c r="B587" s="52" t="s">
        <v>123</v>
      </c>
      <c r="C587" s="105">
        <f>_xlfn.XLOOKUP(D587,ingredientes!B:B,ingredientes!A:A,"não")</f>
        <v>17</v>
      </c>
      <c r="D587" s="138" t="s">
        <v>7</v>
      </c>
      <c r="E587" s="17">
        <v>10</v>
      </c>
      <c r="H587">
        <f t="shared" si="34"/>
        <v>285</v>
      </c>
      <c r="I587">
        <f t="shared" si="35"/>
        <v>17</v>
      </c>
      <c r="J587">
        <f t="shared" si="36"/>
        <v>10</v>
      </c>
      <c r="K587">
        <f t="shared" si="37"/>
        <v>302</v>
      </c>
    </row>
    <row r="588" spans="1:11" x14ac:dyDescent="0.2">
      <c r="A588" s="106">
        <f>_xlfn.XLOOKUP(B588,pratos!B:B,pratos!A:A,"não")</f>
        <v>285</v>
      </c>
      <c r="B588" s="52" t="s">
        <v>123</v>
      </c>
      <c r="C588" s="105">
        <f>_xlfn.XLOOKUP(D588,ingredientes!B:B,ingredientes!A:A,"não")</f>
        <v>177</v>
      </c>
      <c r="D588" s="138" t="s">
        <v>6</v>
      </c>
      <c r="E588" s="26">
        <v>160</v>
      </c>
      <c r="H588">
        <f t="shared" si="34"/>
        <v>285</v>
      </c>
      <c r="I588">
        <f t="shared" si="35"/>
        <v>177</v>
      </c>
      <c r="J588">
        <f t="shared" si="36"/>
        <v>160</v>
      </c>
      <c r="K588">
        <f t="shared" si="37"/>
        <v>462</v>
      </c>
    </row>
    <row r="589" spans="1:11" x14ac:dyDescent="0.2">
      <c r="A589" s="106">
        <f>_xlfn.XLOOKUP(B589,pratos!B:B,pratos!A:A,"não")</f>
        <v>285</v>
      </c>
      <c r="B589" s="52" t="s">
        <v>123</v>
      </c>
      <c r="C589" s="105">
        <f>_xlfn.XLOOKUP(D589,ingredientes!B:B,ingredientes!A:A,"não")</f>
        <v>215</v>
      </c>
      <c r="D589" s="138" t="s">
        <v>124</v>
      </c>
      <c r="E589" s="17">
        <v>14</v>
      </c>
      <c r="H589">
        <f t="shared" si="34"/>
        <v>285</v>
      </c>
      <c r="I589">
        <f t="shared" si="35"/>
        <v>215</v>
      </c>
      <c r="J589">
        <f t="shared" si="36"/>
        <v>14</v>
      </c>
      <c r="K589">
        <f t="shared" si="37"/>
        <v>500</v>
      </c>
    </row>
    <row r="590" spans="1:11" x14ac:dyDescent="0.2">
      <c r="A590" s="106">
        <f>_xlfn.XLOOKUP(B590,pratos!B:B,pratos!A:A,"não")</f>
        <v>286</v>
      </c>
      <c r="B590" s="111" t="s">
        <v>296</v>
      </c>
      <c r="C590" s="105">
        <f>_xlfn.XLOOKUP(D590,ingredientes!B:B,ingredientes!A:A,"não")</f>
        <v>177</v>
      </c>
      <c r="D590" s="142" t="s">
        <v>6</v>
      </c>
      <c r="E590" s="57">
        <v>160</v>
      </c>
      <c r="H590">
        <f t="shared" si="34"/>
        <v>286</v>
      </c>
      <c r="I590">
        <f t="shared" si="35"/>
        <v>177</v>
      </c>
      <c r="J590">
        <f t="shared" si="36"/>
        <v>160</v>
      </c>
      <c r="K590">
        <f t="shared" si="37"/>
        <v>463</v>
      </c>
    </row>
    <row r="591" spans="1:11" x14ac:dyDescent="0.2">
      <c r="A591" s="106">
        <f>_xlfn.XLOOKUP(B591,pratos!B:B,pratos!A:A,"não")</f>
        <v>286</v>
      </c>
      <c r="B591" s="111" t="s">
        <v>296</v>
      </c>
      <c r="C591" s="105">
        <f>_xlfn.XLOOKUP(D591,ingredientes!B:B,ingredientes!A:A,"não")</f>
        <v>216</v>
      </c>
      <c r="D591" s="142" t="s">
        <v>291</v>
      </c>
      <c r="E591" s="5">
        <v>21</v>
      </c>
      <c r="H591">
        <f t="shared" si="34"/>
        <v>286</v>
      </c>
      <c r="I591">
        <f t="shared" si="35"/>
        <v>216</v>
      </c>
      <c r="J591">
        <f t="shared" si="36"/>
        <v>21</v>
      </c>
      <c r="K591">
        <f t="shared" si="37"/>
        <v>502</v>
      </c>
    </row>
    <row r="592" spans="1:11" x14ac:dyDescent="0.2">
      <c r="A592" s="106">
        <f>_xlfn.XLOOKUP(B592,pratos!B:B,pratos!A:A,"não")</f>
        <v>287</v>
      </c>
      <c r="B592" s="52" t="s">
        <v>33</v>
      </c>
      <c r="C592" s="105">
        <f>_xlfn.XLOOKUP(D592,ingredientes!B:B,ingredientes!A:A,"não")</f>
        <v>17</v>
      </c>
      <c r="D592" s="138" t="s">
        <v>7</v>
      </c>
      <c r="E592" s="10">
        <v>10</v>
      </c>
      <c r="H592">
        <f t="shared" si="34"/>
        <v>287</v>
      </c>
      <c r="I592">
        <f t="shared" si="35"/>
        <v>17</v>
      </c>
      <c r="J592">
        <f t="shared" si="36"/>
        <v>10</v>
      </c>
      <c r="K592">
        <f t="shared" si="37"/>
        <v>304</v>
      </c>
    </row>
    <row r="593" spans="1:11" x14ac:dyDescent="0.2">
      <c r="A593" s="106">
        <f>_xlfn.XLOOKUP(B593,pratos!B:B,pratos!A:A,"não")</f>
        <v>287</v>
      </c>
      <c r="B593" s="52" t="s">
        <v>33</v>
      </c>
      <c r="C593" s="105">
        <f>_xlfn.XLOOKUP(D593,ingredientes!B:B,ingredientes!A:A,"não")</f>
        <v>177</v>
      </c>
      <c r="D593" s="9" t="s">
        <v>6</v>
      </c>
      <c r="E593" s="5">
        <v>160</v>
      </c>
      <c r="H593">
        <f t="shared" si="34"/>
        <v>287</v>
      </c>
      <c r="I593">
        <f t="shared" si="35"/>
        <v>177</v>
      </c>
      <c r="J593">
        <f t="shared" si="36"/>
        <v>160</v>
      </c>
      <c r="K593">
        <f t="shared" si="37"/>
        <v>464</v>
      </c>
    </row>
    <row r="594" spans="1:11" x14ac:dyDescent="0.2">
      <c r="A594" s="106">
        <f>_xlfn.XLOOKUP(B594,pratos!B:B,pratos!A:A,"não")</f>
        <v>287</v>
      </c>
      <c r="B594" s="52" t="s">
        <v>33</v>
      </c>
      <c r="C594" s="105">
        <f>_xlfn.XLOOKUP(D594,ingredientes!B:B,ingredientes!A:A,"não")</f>
        <v>218</v>
      </c>
      <c r="D594" s="9" t="s">
        <v>34</v>
      </c>
      <c r="E594" s="10">
        <v>14</v>
      </c>
      <c r="H594">
        <f t="shared" si="34"/>
        <v>287</v>
      </c>
      <c r="I594">
        <f t="shared" si="35"/>
        <v>218</v>
      </c>
      <c r="J594">
        <f t="shared" si="36"/>
        <v>14</v>
      </c>
      <c r="K594">
        <f t="shared" si="37"/>
        <v>505</v>
      </c>
    </row>
    <row r="595" spans="1:11" x14ac:dyDescent="0.2">
      <c r="A595" s="106">
        <f>_xlfn.XLOOKUP(B595,pratos!B:B,pratos!A:A,"não")</f>
        <v>288</v>
      </c>
      <c r="B595" s="109" t="s">
        <v>410</v>
      </c>
      <c r="C595" s="105">
        <f>_xlfn.XLOOKUP(D595,ingredientes!B:B,ingredientes!A:A,"não")</f>
        <v>32</v>
      </c>
      <c r="D595" s="9" t="s">
        <v>483</v>
      </c>
      <c r="E595" s="10">
        <v>8</v>
      </c>
      <c r="H595">
        <f t="shared" si="34"/>
        <v>288</v>
      </c>
      <c r="I595">
        <f t="shared" si="35"/>
        <v>32</v>
      </c>
      <c r="J595">
        <f t="shared" si="36"/>
        <v>8</v>
      </c>
      <c r="K595">
        <f t="shared" si="37"/>
        <v>320</v>
      </c>
    </row>
    <row r="596" spans="1:11" x14ac:dyDescent="0.2">
      <c r="A596" s="106">
        <f>_xlfn.XLOOKUP(B596,pratos!B:B,pratos!A:A,"não")</f>
        <v>288</v>
      </c>
      <c r="B596" s="109" t="s">
        <v>410</v>
      </c>
      <c r="C596" s="105">
        <f>_xlfn.XLOOKUP(D596,ingredientes!B:B,ingredientes!A:A,"não")</f>
        <v>32</v>
      </c>
      <c r="D596" s="9" t="s">
        <v>483</v>
      </c>
      <c r="E596" s="10">
        <v>7</v>
      </c>
      <c r="H596">
        <f t="shared" si="34"/>
        <v>288</v>
      </c>
      <c r="I596">
        <f t="shared" si="35"/>
        <v>32</v>
      </c>
      <c r="J596">
        <f t="shared" si="36"/>
        <v>7</v>
      </c>
      <c r="K596">
        <f t="shared" si="37"/>
        <v>320</v>
      </c>
    </row>
    <row r="597" spans="1:11" x14ac:dyDescent="0.2">
      <c r="A597" s="106">
        <f>_xlfn.XLOOKUP(B597,pratos!B:B,pratos!A:A,"não")</f>
        <v>288</v>
      </c>
      <c r="B597" s="109" t="s">
        <v>410</v>
      </c>
      <c r="C597" s="105">
        <f>_xlfn.XLOOKUP(D597,ingredientes!B:B,ingredientes!A:A,"não")</f>
        <v>177</v>
      </c>
      <c r="D597" s="73" t="s">
        <v>6</v>
      </c>
      <c r="E597" s="10">
        <v>160</v>
      </c>
      <c r="H597">
        <f t="shared" si="34"/>
        <v>288</v>
      </c>
      <c r="I597">
        <f t="shared" si="35"/>
        <v>177</v>
      </c>
      <c r="J597">
        <f t="shared" si="36"/>
        <v>160</v>
      </c>
      <c r="K597">
        <f t="shared" si="37"/>
        <v>465</v>
      </c>
    </row>
    <row r="598" spans="1:11" x14ac:dyDescent="0.2">
      <c r="A598" s="106">
        <f>_xlfn.XLOOKUP(B598,pratos!B:B,pratos!A:A,"não")</f>
        <v>288</v>
      </c>
      <c r="B598" s="109" t="s">
        <v>410</v>
      </c>
      <c r="C598" s="105">
        <f>_xlfn.XLOOKUP(D598,ingredientes!B:B,ingredientes!A:A,"não")</f>
        <v>219</v>
      </c>
      <c r="D598" s="9" t="s">
        <v>411</v>
      </c>
      <c r="E598" s="10">
        <v>20</v>
      </c>
      <c r="H598">
        <f t="shared" si="34"/>
        <v>288</v>
      </c>
      <c r="I598">
        <f t="shared" si="35"/>
        <v>219</v>
      </c>
      <c r="J598">
        <f t="shared" si="36"/>
        <v>20</v>
      </c>
      <c r="K598">
        <f t="shared" si="37"/>
        <v>507</v>
      </c>
    </row>
    <row r="599" spans="1:11" x14ac:dyDescent="0.2">
      <c r="A599" s="106">
        <f>_xlfn.XLOOKUP(B599,pratos!B:B,pratos!A:A,"não")</f>
        <v>288</v>
      </c>
      <c r="B599" s="116" t="s">
        <v>410</v>
      </c>
      <c r="C599" s="105">
        <f>_xlfn.XLOOKUP(D599,ingredientes!B:B,ingredientes!A:A,"não")</f>
        <v>242</v>
      </c>
      <c r="D599" s="30" t="s">
        <v>276</v>
      </c>
      <c r="E599" s="10">
        <v>60</v>
      </c>
      <c r="H599">
        <f t="shared" si="34"/>
        <v>288</v>
      </c>
      <c r="I599">
        <f t="shared" si="35"/>
        <v>242</v>
      </c>
      <c r="J599">
        <f t="shared" si="36"/>
        <v>60</v>
      </c>
      <c r="K599">
        <f t="shared" si="37"/>
        <v>530</v>
      </c>
    </row>
    <row r="600" spans="1:11" x14ac:dyDescent="0.2">
      <c r="A600" s="106">
        <f>_xlfn.XLOOKUP(B600,pratos!B:B,pratos!A:A,"não")</f>
        <v>289</v>
      </c>
      <c r="B600" s="52" t="s">
        <v>295</v>
      </c>
      <c r="C600" s="105">
        <f>_xlfn.XLOOKUP(D600,ingredientes!B:B,ingredientes!A:A,"não")</f>
        <v>17</v>
      </c>
      <c r="D600" s="38" t="s">
        <v>7</v>
      </c>
      <c r="E600" s="87">
        <v>14</v>
      </c>
      <c r="H600">
        <f t="shared" si="34"/>
        <v>289</v>
      </c>
      <c r="I600">
        <f t="shared" si="35"/>
        <v>17</v>
      </c>
      <c r="J600">
        <f t="shared" si="36"/>
        <v>14</v>
      </c>
      <c r="K600">
        <f t="shared" si="37"/>
        <v>306</v>
      </c>
    </row>
    <row r="601" spans="1:11" x14ac:dyDescent="0.2">
      <c r="A601" s="106">
        <f>_xlfn.XLOOKUP(B601,pratos!B:B,pratos!A:A,"não")</f>
        <v>289</v>
      </c>
      <c r="B601" s="52" t="s">
        <v>295</v>
      </c>
      <c r="C601" s="105">
        <f>_xlfn.XLOOKUP(D601,ingredientes!B:B,ingredientes!A:A,"não")</f>
        <v>177</v>
      </c>
      <c r="D601" s="9" t="s">
        <v>6</v>
      </c>
      <c r="E601" s="5">
        <v>160</v>
      </c>
      <c r="H601">
        <f t="shared" si="34"/>
        <v>289</v>
      </c>
      <c r="I601">
        <f t="shared" si="35"/>
        <v>177</v>
      </c>
      <c r="J601">
        <f t="shared" si="36"/>
        <v>160</v>
      </c>
      <c r="K601">
        <f t="shared" si="37"/>
        <v>466</v>
      </c>
    </row>
    <row r="602" spans="1:11" x14ac:dyDescent="0.2">
      <c r="A602" s="106">
        <f>_xlfn.XLOOKUP(B602,pratos!B:B,pratos!A:A,"não")</f>
        <v>289</v>
      </c>
      <c r="B602" s="52" t="s">
        <v>295</v>
      </c>
      <c r="C602" s="105">
        <f>_xlfn.XLOOKUP(D602,ingredientes!B:B,ingredientes!A:A,"não")</f>
        <v>179</v>
      </c>
      <c r="D602" s="9" t="s">
        <v>62</v>
      </c>
      <c r="E602" s="5">
        <v>20</v>
      </c>
      <c r="H602">
        <f t="shared" si="34"/>
        <v>289</v>
      </c>
      <c r="I602">
        <f t="shared" si="35"/>
        <v>179</v>
      </c>
      <c r="J602">
        <f t="shared" si="36"/>
        <v>20</v>
      </c>
      <c r="K602">
        <f t="shared" si="37"/>
        <v>468</v>
      </c>
    </row>
    <row r="603" spans="1:11" x14ac:dyDescent="0.2">
      <c r="A603" s="106">
        <f>_xlfn.XLOOKUP(B603,pratos!B:B,pratos!A:A,"não")</f>
        <v>289</v>
      </c>
      <c r="B603" s="52" t="s">
        <v>295</v>
      </c>
      <c r="C603" s="105">
        <f>_xlfn.XLOOKUP(D603,ingredientes!B:B,ingredientes!A:A,"não")</f>
        <v>308</v>
      </c>
      <c r="D603" s="35" t="s">
        <v>200</v>
      </c>
      <c r="E603" s="10">
        <v>8</v>
      </c>
      <c r="H603">
        <f t="shared" si="34"/>
        <v>289</v>
      </c>
      <c r="I603">
        <f t="shared" si="35"/>
        <v>308</v>
      </c>
      <c r="J603">
        <f t="shared" si="36"/>
        <v>8</v>
      </c>
      <c r="K603">
        <f t="shared" si="37"/>
        <v>597</v>
      </c>
    </row>
    <row r="604" spans="1:11" x14ac:dyDescent="0.2">
      <c r="A604" s="106">
        <f>_xlfn.XLOOKUP(B604,pratos!B:B,pratos!A:A,"não")</f>
        <v>290</v>
      </c>
      <c r="B604" s="52" t="s">
        <v>199</v>
      </c>
      <c r="C604" s="105">
        <f>_xlfn.XLOOKUP(D604,ingredientes!B:B,ingredientes!A:A,"não")</f>
        <v>17</v>
      </c>
      <c r="D604" s="9" t="s">
        <v>7</v>
      </c>
      <c r="E604" s="10">
        <v>15</v>
      </c>
      <c r="H604">
        <f t="shared" si="34"/>
        <v>290</v>
      </c>
      <c r="I604">
        <f t="shared" si="35"/>
        <v>17</v>
      </c>
      <c r="J604">
        <f t="shared" si="36"/>
        <v>15</v>
      </c>
      <c r="K604">
        <f t="shared" si="37"/>
        <v>307</v>
      </c>
    </row>
    <row r="605" spans="1:11" x14ac:dyDescent="0.2">
      <c r="A605" s="106">
        <f>_xlfn.XLOOKUP(B605,pratos!B:B,pratos!A:A,"não")</f>
        <v>290</v>
      </c>
      <c r="B605" s="52" t="s">
        <v>199</v>
      </c>
      <c r="C605" s="105">
        <f>_xlfn.XLOOKUP(D605,ingredientes!B:B,ingredientes!A:A,"não")</f>
        <v>177</v>
      </c>
      <c r="D605" s="9" t="s">
        <v>6</v>
      </c>
      <c r="E605" s="5">
        <v>160</v>
      </c>
      <c r="H605">
        <f t="shared" si="34"/>
        <v>290</v>
      </c>
      <c r="I605">
        <f t="shared" si="35"/>
        <v>177</v>
      </c>
      <c r="J605">
        <f t="shared" si="36"/>
        <v>160</v>
      </c>
      <c r="K605">
        <f t="shared" si="37"/>
        <v>467</v>
      </c>
    </row>
    <row r="606" spans="1:11" x14ac:dyDescent="0.2">
      <c r="A606" s="106">
        <f>_xlfn.XLOOKUP(B606,pratos!B:B,pratos!A:A,"não")</f>
        <v>290</v>
      </c>
      <c r="B606" s="52" t="s">
        <v>199</v>
      </c>
      <c r="C606" s="105">
        <f>_xlfn.XLOOKUP(D606,ingredientes!B:B,ingredientes!A:A,"não")</f>
        <v>179</v>
      </c>
      <c r="D606" s="9" t="s">
        <v>62</v>
      </c>
      <c r="E606" s="5">
        <v>20</v>
      </c>
      <c r="H606">
        <f t="shared" si="34"/>
        <v>290</v>
      </c>
      <c r="I606">
        <f t="shared" si="35"/>
        <v>179</v>
      </c>
      <c r="J606">
        <f t="shared" si="36"/>
        <v>20</v>
      </c>
      <c r="K606">
        <f t="shared" si="37"/>
        <v>469</v>
      </c>
    </row>
    <row r="607" spans="1:11" x14ac:dyDescent="0.2">
      <c r="A607" s="106">
        <f>_xlfn.XLOOKUP(B607,pratos!B:B,pratos!A:A,"não")</f>
        <v>290</v>
      </c>
      <c r="B607" s="52" t="s">
        <v>199</v>
      </c>
      <c r="C607" s="105">
        <f>_xlfn.XLOOKUP(D607,ingredientes!B:B,ingredientes!A:A,"não")</f>
        <v>308</v>
      </c>
      <c r="D607" s="24" t="s">
        <v>200</v>
      </c>
      <c r="E607" s="10">
        <v>8</v>
      </c>
      <c r="H607">
        <f t="shared" si="34"/>
        <v>290</v>
      </c>
      <c r="I607">
        <f t="shared" si="35"/>
        <v>308</v>
      </c>
      <c r="J607">
        <f t="shared" si="36"/>
        <v>8</v>
      </c>
      <c r="K607">
        <f t="shared" si="37"/>
        <v>598</v>
      </c>
    </row>
    <row r="608" spans="1:11" x14ac:dyDescent="0.2">
      <c r="A608" s="106">
        <f>_xlfn.XLOOKUP(B608,pratos!B:B,pratos!A:A,"não")</f>
        <v>291</v>
      </c>
      <c r="B608" s="109" t="s">
        <v>10</v>
      </c>
      <c r="C608" s="105">
        <f>_xlfn.XLOOKUP(D608,ingredientes!B:B,ingredientes!A:A,"não")</f>
        <v>14</v>
      </c>
      <c r="D608" s="9" t="s">
        <v>13</v>
      </c>
      <c r="E608" s="10">
        <v>10</v>
      </c>
      <c r="H608">
        <f t="shared" si="34"/>
        <v>291</v>
      </c>
      <c r="I608">
        <f t="shared" si="35"/>
        <v>14</v>
      </c>
      <c r="J608">
        <f t="shared" si="36"/>
        <v>10</v>
      </c>
      <c r="K608">
        <f t="shared" si="37"/>
        <v>305</v>
      </c>
    </row>
    <row r="609" spans="1:11" x14ac:dyDescent="0.2">
      <c r="A609" s="106">
        <f>_xlfn.XLOOKUP(B609,pratos!B:B,pratos!A:A,"não")</f>
        <v>291</v>
      </c>
      <c r="B609" s="109" t="s">
        <v>10</v>
      </c>
      <c r="C609" s="105">
        <f>_xlfn.XLOOKUP(D609,ingredientes!B:B,ingredientes!A:A,"não")</f>
        <v>25</v>
      </c>
      <c r="D609" s="9" t="s">
        <v>11</v>
      </c>
      <c r="E609" s="10">
        <v>10</v>
      </c>
      <c r="H609">
        <f t="shared" si="34"/>
        <v>291</v>
      </c>
      <c r="I609">
        <f t="shared" si="35"/>
        <v>25</v>
      </c>
      <c r="J609">
        <f t="shared" si="36"/>
        <v>10</v>
      </c>
      <c r="K609">
        <f t="shared" si="37"/>
        <v>316</v>
      </c>
    </row>
    <row r="610" spans="1:11" x14ac:dyDescent="0.2">
      <c r="A610" s="106">
        <f>_xlfn.XLOOKUP(B610,pratos!B:B,pratos!A:A,"não")</f>
        <v>291</v>
      </c>
      <c r="B610" s="109" t="s">
        <v>10</v>
      </c>
      <c r="C610" s="105">
        <f>_xlfn.XLOOKUP(D610,ingredientes!B:B,ingredientes!A:A,"não")</f>
        <v>114</v>
      </c>
      <c r="D610" s="9" t="s">
        <v>258</v>
      </c>
      <c r="E610" s="10">
        <v>10</v>
      </c>
      <c r="H610">
        <f t="shared" si="34"/>
        <v>291</v>
      </c>
      <c r="I610">
        <f t="shared" si="35"/>
        <v>114</v>
      </c>
      <c r="J610">
        <f t="shared" si="36"/>
        <v>10</v>
      </c>
      <c r="K610">
        <f t="shared" si="37"/>
        <v>405</v>
      </c>
    </row>
    <row r="611" spans="1:11" x14ac:dyDescent="0.2">
      <c r="A611" s="106">
        <f>_xlfn.XLOOKUP(B611,pratos!B:B,pratos!A:A,"não")</f>
        <v>291</v>
      </c>
      <c r="B611" s="109" t="s">
        <v>10</v>
      </c>
      <c r="C611" s="105">
        <f>_xlfn.XLOOKUP(D611,ingredientes!B:B,ingredientes!A:A,"não")</f>
        <v>116</v>
      </c>
      <c r="D611" s="9" t="s">
        <v>12</v>
      </c>
      <c r="E611" s="10">
        <v>10</v>
      </c>
      <c r="H611">
        <f t="shared" si="34"/>
        <v>291</v>
      </c>
      <c r="I611">
        <f t="shared" si="35"/>
        <v>116</v>
      </c>
      <c r="J611">
        <f t="shared" si="36"/>
        <v>10</v>
      </c>
      <c r="K611">
        <f t="shared" si="37"/>
        <v>407</v>
      </c>
    </row>
    <row r="612" spans="1:11" x14ac:dyDescent="0.2">
      <c r="A612" s="106">
        <f>_xlfn.XLOOKUP(B612,pratos!B:B,pratos!A:A,"não")</f>
        <v>292</v>
      </c>
      <c r="B612" s="52" t="s">
        <v>47</v>
      </c>
      <c r="C612" s="105">
        <f>_xlfn.XLOOKUP(D612,ingredientes!B:B,ingredientes!A:A,"não")</f>
        <v>75</v>
      </c>
      <c r="D612" s="11" t="s">
        <v>48</v>
      </c>
      <c r="E612" s="10">
        <v>150</v>
      </c>
      <c r="H612">
        <f t="shared" si="34"/>
        <v>292</v>
      </c>
      <c r="I612">
        <f t="shared" si="35"/>
        <v>75</v>
      </c>
      <c r="J612">
        <f t="shared" si="36"/>
        <v>150</v>
      </c>
      <c r="K612">
        <f t="shared" si="37"/>
        <v>367</v>
      </c>
    </row>
    <row r="613" spans="1:11" x14ac:dyDescent="0.2">
      <c r="A613" s="106">
        <f>_xlfn.XLOOKUP(B613,pratos!B:B,pratos!A:A,"não")</f>
        <v>292</v>
      </c>
      <c r="B613" s="52" t="s">
        <v>47</v>
      </c>
      <c r="C613" s="105">
        <f>_xlfn.XLOOKUP(D613,ingredientes!B:B,ingredientes!A:A,"não")</f>
        <v>75</v>
      </c>
      <c r="D613" s="11" t="s">
        <v>48</v>
      </c>
      <c r="E613" s="17">
        <v>50</v>
      </c>
      <c r="H613">
        <f t="shared" si="34"/>
        <v>292</v>
      </c>
      <c r="I613">
        <f t="shared" si="35"/>
        <v>75</v>
      </c>
      <c r="J613">
        <f t="shared" si="36"/>
        <v>50</v>
      </c>
      <c r="K613">
        <f t="shared" si="37"/>
        <v>367</v>
      </c>
    </row>
    <row r="614" spans="1:11" x14ac:dyDescent="0.2">
      <c r="A614" s="106">
        <f>_xlfn.XLOOKUP(B614,pratos!B:B,pratos!A:A,"não")</f>
        <v>292</v>
      </c>
      <c r="B614" s="52" t="s">
        <v>47</v>
      </c>
      <c r="C614" s="105">
        <f>_xlfn.XLOOKUP(D614,ingredientes!B:B,ingredientes!A:A,"não")</f>
        <v>75</v>
      </c>
      <c r="D614" s="11" t="s">
        <v>48</v>
      </c>
      <c r="E614" s="10">
        <v>100</v>
      </c>
      <c r="H614">
        <f t="shared" si="34"/>
        <v>292</v>
      </c>
      <c r="I614">
        <f t="shared" si="35"/>
        <v>75</v>
      </c>
      <c r="J614">
        <f t="shared" si="36"/>
        <v>100</v>
      </c>
      <c r="K614">
        <f t="shared" si="37"/>
        <v>367</v>
      </c>
    </row>
    <row r="615" spans="1:11" x14ac:dyDescent="0.2">
      <c r="A615" s="106">
        <f>_xlfn.XLOOKUP(B615,pratos!B:B,pratos!A:A,"não")</f>
        <v>293</v>
      </c>
      <c r="B615" s="52" t="s">
        <v>438</v>
      </c>
      <c r="C615" s="105">
        <f>_xlfn.XLOOKUP(D615,ingredientes!B:B,ingredientes!A:A,"não")</f>
        <v>213</v>
      </c>
      <c r="D615" s="9" t="s">
        <v>438</v>
      </c>
      <c r="E615" s="17">
        <v>80</v>
      </c>
      <c r="H615">
        <f t="shared" si="34"/>
        <v>293</v>
      </c>
      <c r="I615">
        <f t="shared" si="35"/>
        <v>213</v>
      </c>
      <c r="J615">
        <f t="shared" si="36"/>
        <v>80</v>
      </c>
      <c r="K615">
        <f t="shared" si="37"/>
        <v>506</v>
      </c>
    </row>
    <row r="616" spans="1:11" x14ac:dyDescent="0.2">
      <c r="A616" s="106">
        <f>_xlfn.XLOOKUP(B616,pratos!B:B,pratos!A:A,"não")</f>
        <v>293</v>
      </c>
      <c r="B616" s="52" t="s">
        <v>438</v>
      </c>
      <c r="C616" s="105">
        <f>_xlfn.XLOOKUP(D616,ingredientes!B:B,ingredientes!A:A,"não")</f>
        <v>217</v>
      </c>
      <c r="D616" s="9" t="s">
        <v>467</v>
      </c>
      <c r="E616" s="10">
        <v>80</v>
      </c>
      <c r="H616">
        <f t="shared" si="34"/>
        <v>293</v>
      </c>
      <c r="I616">
        <f t="shared" si="35"/>
        <v>217</v>
      </c>
      <c r="J616">
        <f t="shared" si="36"/>
        <v>80</v>
      </c>
      <c r="K616">
        <f t="shared" si="37"/>
        <v>510</v>
      </c>
    </row>
    <row r="617" spans="1:11" x14ac:dyDescent="0.2">
      <c r="A617" s="106">
        <f>_xlfn.XLOOKUP(B617,pratos!B:B,pratos!A:A,"não")</f>
        <v>294</v>
      </c>
      <c r="B617" s="52" t="s">
        <v>105</v>
      </c>
      <c r="C617" s="105">
        <f>_xlfn.XLOOKUP(D617,ingredientes!B:B,ingredientes!A:A,"não")</f>
        <v>220</v>
      </c>
      <c r="D617" s="9" t="s">
        <v>105</v>
      </c>
      <c r="E617" s="26">
        <v>200</v>
      </c>
      <c r="H617">
        <f t="shared" si="34"/>
        <v>294</v>
      </c>
      <c r="I617">
        <f t="shared" si="35"/>
        <v>220</v>
      </c>
      <c r="J617">
        <f t="shared" si="36"/>
        <v>200</v>
      </c>
      <c r="K617">
        <f t="shared" si="37"/>
        <v>514</v>
      </c>
    </row>
    <row r="618" spans="1:11" x14ac:dyDescent="0.2">
      <c r="A618" s="106">
        <f>_xlfn.XLOOKUP(B618,pratos!B:B,pratos!A:A,"não")</f>
        <v>295</v>
      </c>
      <c r="B618" s="135" t="s">
        <v>523</v>
      </c>
      <c r="C618" s="105">
        <f>_xlfn.XLOOKUP(D618,ingredientes!B:B,ingredientes!A:A,"não")</f>
        <v>112</v>
      </c>
      <c r="D618" s="94" t="s">
        <v>521</v>
      </c>
      <c r="E618" s="93">
        <v>100</v>
      </c>
      <c r="H618">
        <f t="shared" si="34"/>
        <v>295</v>
      </c>
      <c r="I618">
        <f t="shared" si="35"/>
        <v>112</v>
      </c>
      <c r="J618">
        <f t="shared" si="36"/>
        <v>100</v>
      </c>
      <c r="K618">
        <f t="shared" si="37"/>
        <v>407</v>
      </c>
    </row>
    <row r="619" spans="1:11" x14ac:dyDescent="0.2">
      <c r="A619" s="106">
        <f>_xlfn.XLOOKUP(B619,pratos!B:B,pratos!A:A,"não")</f>
        <v>295</v>
      </c>
      <c r="B619" s="135" t="s">
        <v>523</v>
      </c>
      <c r="C619" s="105">
        <f>_xlfn.XLOOKUP(D619,ingredientes!B:B,ingredientes!A:A,"não")</f>
        <v>112</v>
      </c>
      <c r="D619" s="94" t="s">
        <v>521</v>
      </c>
      <c r="E619" s="93">
        <v>30</v>
      </c>
      <c r="H619">
        <f t="shared" si="34"/>
        <v>295</v>
      </c>
      <c r="I619">
        <f t="shared" si="35"/>
        <v>112</v>
      </c>
      <c r="J619">
        <f t="shared" si="36"/>
        <v>30</v>
      </c>
      <c r="K619">
        <f t="shared" si="37"/>
        <v>407</v>
      </c>
    </row>
    <row r="620" spans="1:11" x14ac:dyDescent="0.2">
      <c r="A620" s="106">
        <f>_xlfn.XLOOKUP(B620,pratos!B:B,pratos!A:A,"não")</f>
        <v>295</v>
      </c>
      <c r="B620" s="135" t="s">
        <v>523</v>
      </c>
      <c r="C620" s="105">
        <f>_xlfn.XLOOKUP(D620,ingredientes!B:B,ingredientes!A:A,"não")</f>
        <v>112</v>
      </c>
      <c r="D620" s="94" t="s">
        <v>521</v>
      </c>
      <c r="E620" s="93">
        <v>20</v>
      </c>
      <c r="H620">
        <f t="shared" si="34"/>
        <v>295</v>
      </c>
      <c r="I620">
        <f t="shared" si="35"/>
        <v>112</v>
      </c>
      <c r="J620">
        <f t="shared" si="36"/>
        <v>20</v>
      </c>
      <c r="K620">
        <f t="shared" si="37"/>
        <v>407</v>
      </c>
    </row>
    <row r="621" spans="1:11" x14ac:dyDescent="0.2">
      <c r="A621" s="106">
        <f>_xlfn.XLOOKUP(B621,pratos!B:B,pratos!A:A,"não")</f>
        <v>295</v>
      </c>
      <c r="B621" s="135" t="s">
        <v>523</v>
      </c>
      <c r="C621" s="105">
        <f>_xlfn.XLOOKUP(D621,ingredientes!B:B,ingredientes!A:A,"não")</f>
        <v>112</v>
      </c>
      <c r="D621" s="94" t="s">
        <v>521</v>
      </c>
      <c r="E621" s="93">
        <v>40</v>
      </c>
      <c r="H621">
        <f t="shared" si="34"/>
        <v>295</v>
      </c>
      <c r="I621">
        <f t="shared" si="35"/>
        <v>112</v>
      </c>
      <c r="J621">
        <f t="shared" si="36"/>
        <v>40</v>
      </c>
      <c r="K621">
        <f t="shared" si="37"/>
        <v>407</v>
      </c>
    </row>
    <row r="622" spans="1:11" x14ac:dyDescent="0.2">
      <c r="A622" s="106">
        <f>_xlfn.XLOOKUP(B622,pratos!B:B,pratos!A:A,"não")</f>
        <v>295</v>
      </c>
      <c r="B622" s="135" t="s">
        <v>523</v>
      </c>
      <c r="C622" s="105">
        <f>_xlfn.XLOOKUP(D622,ingredientes!B:B,ingredientes!A:A,"não")</f>
        <v>291</v>
      </c>
      <c r="D622" s="30" t="s">
        <v>692</v>
      </c>
      <c r="E622" s="93">
        <v>50</v>
      </c>
      <c r="H622">
        <f t="shared" si="34"/>
        <v>295</v>
      </c>
      <c r="I622">
        <f t="shared" si="35"/>
        <v>291</v>
      </c>
      <c r="J622">
        <f t="shared" si="36"/>
        <v>50</v>
      </c>
      <c r="K622">
        <f t="shared" si="37"/>
        <v>586</v>
      </c>
    </row>
    <row r="623" spans="1:11" x14ac:dyDescent="0.2">
      <c r="A623" s="106">
        <f>_xlfn.XLOOKUP(B623,pratos!B:B,pratos!A:A,"não")</f>
        <v>295</v>
      </c>
      <c r="B623" s="135" t="s">
        <v>523</v>
      </c>
      <c r="C623" s="105">
        <f>_xlfn.XLOOKUP(D623,ingredientes!B:B,ingredientes!A:A,"não")</f>
        <v>291</v>
      </c>
      <c r="D623" s="30" t="s">
        <v>692</v>
      </c>
      <c r="E623" s="93">
        <v>30</v>
      </c>
      <c r="H623">
        <f t="shared" si="34"/>
        <v>295</v>
      </c>
      <c r="I623">
        <f t="shared" si="35"/>
        <v>291</v>
      </c>
      <c r="J623">
        <f t="shared" si="36"/>
        <v>30</v>
      </c>
      <c r="K623">
        <f t="shared" si="37"/>
        <v>586</v>
      </c>
    </row>
    <row r="624" spans="1:11" x14ac:dyDescent="0.2">
      <c r="A624" s="106">
        <f>_xlfn.XLOOKUP(B624,pratos!B:B,pratos!A:A,"não")</f>
        <v>295</v>
      </c>
      <c r="B624" s="135" t="s">
        <v>523</v>
      </c>
      <c r="C624" s="105">
        <f>_xlfn.XLOOKUP(D624,ingredientes!B:B,ingredientes!A:A,"não")</f>
        <v>291</v>
      </c>
      <c r="D624" s="30" t="s">
        <v>692</v>
      </c>
      <c r="E624" s="93">
        <v>60</v>
      </c>
      <c r="H624">
        <f t="shared" si="34"/>
        <v>295</v>
      </c>
      <c r="I624">
        <f t="shared" si="35"/>
        <v>291</v>
      </c>
      <c r="J624">
        <f t="shared" si="36"/>
        <v>60</v>
      </c>
      <c r="K624">
        <f t="shared" si="37"/>
        <v>586</v>
      </c>
    </row>
    <row r="625" spans="1:11" x14ac:dyDescent="0.2">
      <c r="A625" s="106">
        <f>_xlfn.XLOOKUP(B625,pratos!B:B,pratos!A:A,"não")</f>
        <v>296</v>
      </c>
      <c r="B625" s="52" t="s">
        <v>507</v>
      </c>
      <c r="C625" s="105">
        <f>_xlfn.XLOOKUP(D625,ingredientes!B:B,ingredientes!A:A,"não")</f>
        <v>33</v>
      </c>
      <c r="D625" s="38" t="s">
        <v>610</v>
      </c>
      <c r="E625" s="10">
        <v>15</v>
      </c>
      <c r="H625">
        <f t="shared" si="34"/>
        <v>296</v>
      </c>
      <c r="I625">
        <f t="shared" si="35"/>
        <v>33</v>
      </c>
      <c r="J625">
        <f t="shared" si="36"/>
        <v>15</v>
      </c>
      <c r="K625">
        <f t="shared" si="37"/>
        <v>329</v>
      </c>
    </row>
    <row r="626" spans="1:11" x14ac:dyDescent="0.2">
      <c r="A626" s="106">
        <f>_xlfn.XLOOKUP(B626,pratos!B:B,pratos!A:A,"não")</f>
        <v>296</v>
      </c>
      <c r="B626" s="52" t="s">
        <v>507</v>
      </c>
      <c r="C626" s="105">
        <f>_xlfn.XLOOKUP(D626,ingredientes!B:B,ingredientes!A:A,"não")</f>
        <v>100</v>
      </c>
      <c r="D626" s="38" t="s">
        <v>166</v>
      </c>
      <c r="E626" s="10">
        <v>25</v>
      </c>
      <c r="H626">
        <f t="shared" si="34"/>
        <v>296</v>
      </c>
      <c r="I626">
        <f t="shared" si="35"/>
        <v>100</v>
      </c>
      <c r="J626">
        <f t="shared" si="36"/>
        <v>25</v>
      </c>
      <c r="K626">
        <f t="shared" si="37"/>
        <v>396</v>
      </c>
    </row>
    <row r="627" spans="1:11" x14ac:dyDescent="0.2">
      <c r="A627" s="106">
        <f>_xlfn.XLOOKUP(B627,pratos!B:B,pratos!A:A,"não")</f>
        <v>296</v>
      </c>
      <c r="B627" s="52" t="s">
        <v>507</v>
      </c>
      <c r="C627" s="105">
        <f>_xlfn.XLOOKUP(D627,ingredientes!B:B,ingredientes!A:A,"não")</f>
        <v>223</v>
      </c>
      <c r="D627" s="29" t="s">
        <v>348</v>
      </c>
      <c r="E627" s="10">
        <v>90</v>
      </c>
      <c r="H627">
        <f t="shared" si="34"/>
        <v>296</v>
      </c>
      <c r="I627">
        <f t="shared" si="35"/>
        <v>223</v>
      </c>
      <c r="J627">
        <f t="shared" si="36"/>
        <v>90</v>
      </c>
      <c r="K627">
        <f t="shared" si="37"/>
        <v>519</v>
      </c>
    </row>
    <row r="628" spans="1:11" x14ac:dyDescent="0.2">
      <c r="A628" s="106">
        <f>_xlfn.XLOOKUP(B628,pratos!B:B,pratos!A:A,"não")</f>
        <v>296</v>
      </c>
      <c r="B628" s="52" t="s">
        <v>507</v>
      </c>
      <c r="C628" s="105">
        <f>_xlfn.XLOOKUP(D628,ingredientes!B:B,ingredientes!A:A,"não")</f>
        <v>278</v>
      </c>
      <c r="D628" s="38" t="s">
        <v>508</v>
      </c>
      <c r="E628" s="10">
        <v>20</v>
      </c>
      <c r="H628">
        <f t="shared" si="34"/>
        <v>296</v>
      </c>
      <c r="I628">
        <f t="shared" si="35"/>
        <v>278</v>
      </c>
      <c r="J628">
        <f t="shared" si="36"/>
        <v>20</v>
      </c>
      <c r="K628">
        <f t="shared" si="37"/>
        <v>574</v>
      </c>
    </row>
    <row r="629" spans="1:11" x14ac:dyDescent="0.2">
      <c r="A629" s="106">
        <f>_xlfn.XLOOKUP(B629,pratos!B:B,pratos!A:A,"não")</f>
        <v>297</v>
      </c>
      <c r="B629" s="116" t="s">
        <v>514</v>
      </c>
      <c r="C629" s="105">
        <f>_xlfn.XLOOKUP(D629,ingredientes!B:B,ingredientes!A:A,"não")</f>
        <v>223</v>
      </c>
      <c r="D629" s="29" t="s">
        <v>348</v>
      </c>
      <c r="E629" s="17">
        <v>100</v>
      </c>
      <c r="H629">
        <f t="shared" si="34"/>
        <v>297</v>
      </c>
      <c r="I629">
        <f t="shared" si="35"/>
        <v>223</v>
      </c>
      <c r="J629">
        <f t="shared" si="36"/>
        <v>100</v>
      </c>
      <c r="K629">
        <f t="shared" si="37"/>
        <v>520</v>
      </c>
    </row>
    <row r="630" spans="1:11" x14ac:dyDescent="0.2">
      <c r="A630" s="106">
        <f>_xlfn.XLOOKUP(B630,pratos!B:B,pratos!A:A,"não")</f>
        <v>297</v>
      </c>
      <c r="B630" s="116" t="s">
        <v>514</v>
      </c>
      <c r="C630" s="105">
        <f>_xlfn.XLOOKUP(D630,ingredientes!B:B,ingredientes!A:A,"não")</f>
        <v>223</v>
      </c>
      <c r="D630" s="29" t="s">
        <v>348</v>
      </c>
      <c r="E630" s="87">
        <v>50</v>
      </c>
      <c r="H630">
        <f t="shared" si="34"/>
        <v>297</v>
      </c>
      <c r="I630">
        <f t="shared" si="35"/>
        <v>223</v>
      </c>
      <c r="J630">
        <f t="shared" si="36"/>
        <v>50</v>
      </c>
      <c r="K630">
        <f t="shared" si="37"/>
        <v>520</v>
      </c>
    </row>
    <row r="631" spans="1:11" x14ac:dyDescent="0.2">
      <c r="A631" s="106">
        <f>_xlfn.XLOOKUP(B631,pratos!B:B,pratos!A:A,"não")</f>
        <v>297</v>
      </c>
      <c r="B631" s="116" t="s">
        <v>514</v>
      </c>
      <c r="C631" s="105">
        <f>_xlfn.XLOOKUP(D631,ingredientes!B:B,ingredientes!A:A,"não")</f>
        <v>291</v>
      </c>
      <c r="D631" s="30" t="s">
        <v>692</v>
      </c>
      <c r="E631" s="93">
        <v>50</v>
      </c>
      <c r="H631">
        <f t="shared" si="34"/>
        <v>297</v>
      </c>
      <c r="I631">
        <f t="shared" si="35"/>
        <v>291</v>
      </c>
      <c r="J631">
        <f t="shared" si="36"/>
        <v>50</v>
      </c>
      <c r="K631">
        <f t="shared" si="37"/>
        <v>588</v>
      </c>
    </row>
    <row r="632" spans="1:11" x14ac:dyDescent="0.2">
      <c r="A632" s="106">
        <f>_xlfn.XLOOKUP(B632,pratos!B:B,pratos!A:A,"não")</f>
        <v>297</v>
      </c>
      <c r="B632" s="116" t="s">
        <v>514</v>
      </c>
      <c r="C632" s="105">
        <f>_xlfn.XLOOKUP(D632,ingredientes!B:B,ingredientes!A:A,"não")</f>
        <v>291</v>
      </c>
      <c r="D632" s="30" t="s">
        <v>692</v>
      </c>
      <c r="E632" s="87">
        <v>25</v>
      </c>
      <c r="H632">
        <f t="shared" si="34"/>
        <v>297</v>
      </c>
      <c r="I632">
        <f t="shared" si="35"/>
        <v>291</v>
      </c>
      <c r="J632">
        <f t="shared" si="36"/>
        <v>25</v>
      </c>
      <c r="K632">
        <f t="shared" si="37"/>
        <v>588</v>
      </c>
    </row>
    <row r="633" spans="1:11" x14ac:dyDescent="0.2">
      <c r="A633" s="106">
        <f>_xlfn.XLOOKUP(B633,pratos!B:B,pratos!A:A,"não")</f>
        <v>297</v>
      </c>
      <c r="B633" s="116" t="s">
        <v>514</v>
      </c>
      <c r="C633" s="105">
        <f>_xlfn.XLOOKUP(D633,ingredientes!B:B,ingredientes!A:A,"não")</f>
        <v>291</v>
      </c>
      <c r="D633" s="30" t="s">
        <v>692</v>
      </c>
      <c r="E633" s="93">
        <v>60</v>
      </c>
      <c r="H633">
        <f t="shared" si="34"/>
        <v>297</v>
      </c>
      <c r="I633">
        <f t="shared" si="35"/>
        <v>291</v>
      </c>
      <c r="J633">
        <f t="shared" si="36"/>
        <v>60</v>
      </c>
      <c r="K633">
        <f t="shared" si="37"/>
        <v>588</v>
      </c>
    </row>
    <row r="634" spans="1:11" x14ac:dyDescent="0.2">
      <c r="A634" s="106">
        <f>_xlfn.XLOOKUP(B634,pratos!B:B,pratos!A:A,"não")</f>
        <v>298</v>
      </c>
      <c r="B634" s="52" t="s">
        <v>341</v>
      </c>
      <c r="C634" s="105">
        <f>_xlfn.XLOOKUP(D634,ingredientes!B:B,ingredientes!A:A,"não")</f>
        <v>226</v>
      </c>
      <c r="D634" s="12" t="s">
        <v>341</v>
      </c>
      <c r="E634" s="10">
        <v>18</v>
      </c>
      <c r="H634">
        <f t="shared" si="34"/>
        <v>298</v>
      </c>
      <c r="I634">
        <f t="shared" si="35"/>
        <v>226</v>
      </c>
      <c r="J634">
        <f t="shared" si="36"/>
        <v>18</v>
      </c>
      <c r="K634">
        <f t="shared" si="37"/>
        <v>524</v>
      </c>
    </row>
    <row r="635" spans="1:11" x14ac:dyDescent="0.2">
      <c r="A635" s="106">
        <f>_xlfn.XLOOKUP(B635,pratos!B:B,pratos!A:A,"não")</f>
        <v>299</v>
      </c>
      <c r="B635" s="52" t="s">
        <v>441</v>
      </c>
      <c r="C635" s="105">
        <f>_xlfn.XLOOKUP(D635,ingredientes!B:B,ingredientes!A:A,"não")</f>
        <v>137</v>
      </c>
      <c r="D635" s="9" t="s">
        <v>148</v>
      </c>
      <c r="E635" s="17">
        <v>30</v>
      </c>
      <c r="H635">
        <f t="shared" si="34"/>
        <v>299</v>
      </c>
      <c r="I635">
        <f t="shared" si="35"/>
        <v>137</v>
      </c>
      <c r="J635">
        <f t="shared" si="36"/>
        <v>30</v>
      </c>
      <c r="K635">
        <f t="shared" si="37"/>
        <v>436</v>
      </c>
    </row>
    <row r="636" spans="1:11" x14ac:dyDescent="0.2">
      <c r="A636" s="106">
        <f>_xlfn.XLOOKUP(B636,pratos!B:B,pratos!A:A,"não")</f>
        <v>299</v>
      </c>
      <c r="B636" s="52" t="s">
        <v>441</v>
      </c>
      <c r="C636" s="105">
        <f>_xlfn.XLOOKUP(D636,ingredientes!B:B,ingredientes!A:A,"não")</f>
        <v>137</v>
      </c>
      <c r="D636" s="9" t="s">
        <v>148</v>
      </c>
      <c r="E636" s="10">
        <v>15</v>
      </c>
      <c r="H636">
        <f t="shared" si="34"/>
        <v>299</v>
      </c>
      <c r="I636">
        <f t="shared" si="35"/>
        <v>137</v>
      </c>
      <c r="J636">
        <f t="shared" si="36"/>
        <v>15</v>
      </c>
      <c r="K636">
        <f t="shared" si="37"/>
        <v>436</v>
      </c>
    </row>
    <row r="637" spans="1:11" x14ac:dyDescent="0.2">
      <c r="A637" s="106">
        <f>_xlfn.XLOOKUP(B637,pratos!B:B,pratos!A:A,"não")</f>
        <v>299</v>
      </c>
      <c r="B637" s="52" t="s">
        <v>441</v>
      </c>
      <c r="C637" s="105">
        <f>_xlfn.XLOOKUP(D637,ingredientes!B:B,ingredientes!A:A,"não")</f>
        <v>177</v>
      </c>
      <c r="D637" s="77" t="s">
        <v>6</v>
      </c>
      <c r="E637" s="32">
        <v>60</v>
      </c>
      <c r="H637">
        <f t="shared" si="34"/>
        <v>299</v>
      </c>
      <c r="I637">
        <f t="shared" si="35"/>
        <v>177</v>
      </c>
      <c r="J637">
        <f t="shared" si="36"/>
        <v>60</v>
      </c>
      <c r="K637">
        <f t="shared" si="37"/>
        <v>476</v>
      </c>
    </row>
    <row r="638" spans="1:11" x14ac:dyDescent="0.2">
      <c r="A638" s="106">
        <f>_xlfn.XLOOKUP(B638,pratos!B:B,pratos!A:A,"não")</f>
        <v>299</v>
      </c>
      <c r="B638" s="52" t="s">
        <v>441</v>
      </c>
      <c r="C638" s="105">
        <f>_xlfn.XLOOKUP(D638,ingredientes!B:B,ingredientes!A:A,"não")</f>
        <v>177</v>
      </c>
      <c r="D638" s="77" t="s">
        <v>6</v>
      </c>
      <c r="E638" s="63">
        <v>30</v>
      </c>
      <c r="H638">
        <f t="shared" si="34"/>
        <v>299</v>
      </c>
      <c r="I638">
        <f t="shared" si="35"/>
        <v>177</v>
      </c>
      <c r="J638">
        <f t="shared" si="36"/>
        <v>30</v>
      </c>
      <c r="K638">
        <f t="shared" si="37"/>
        <v>476</v>
      </c>
    </row>
    <row r="639" spans="1:11" x14ac:dyDescent="0.2">
      <c r="A639" s="106">
        <f>_xlfn.XLOOKUP(B639,pratos!B:B,pratos!A:A,"não")</f>
        <v>299</v>
      </c>
      <c r="B639" s="52" t="s">
        <v>441</v>
      </c>
      <c r="C639" s="105">
        <f>_xlfn.XLOOKUP(D639,ingredientes!B:B,ingredientes!A:A,"não")</f>
        <v>221</v>
      </c>
      <c r="D639" s="9" t="s">
        <v>151</v>
      </c>
      <c r="E639" s="17">
        <v>6</v>
      </c>
      <c r="H639">
        <f t="shared" si="34"/>
        <v>299</v>
      </c>
      <c r="I639">
        <f t="shared" si="35"/>
        <v>221</v>
      </c>
      <c r="J639">
        <f t="shared" si="36"/>
        <v>6</v>
      </c>
      <c r="K639">
        <f t="shared" si="37"/>
        <v>520</v>
      </c>
    </row>
    <row r="640" spans="1:11" x14ac:dyDescent="0.2">
      <c r="A640" s="106">
        <f>_xlfn.XLOOKUP(B640,pratos!B:B,pratos!A:A,"não")</f>
        <v>299</v>
      </c>
      <c r="B640" s="52" t="s">
        <v>441</v>
      </c>
      <c r="C640" s="105">
        <f>_xlfn.XLOOKUP(D640,ingredientes!B:B,ingredientes!A:A,"não")</f>
        <v>221</v>
      </c>
      <c r="D640" s="9" t="s">
        <v>151</v>
      </c>
      <c r="E640" s="10">
        <v>3</v>
      </c>
      <c r="H640">
        <f t="shared" ref="H640:H703" si="38">A640</f>
        <v>299</v>
      </c>
      <c r="I640">
        <f t="shared" ref="I640:I703" si="39">C640</f>
        <v>221</v>
      </c>
      <c r="J640">
        <f t="shared" ref="J640:J703" si="40">E640</f>
        <v>3</v>
      </c>
      <c r="K640">
        <f t="shared" si="37"/>
        <v>520</v>
      </c>
    </row>
    <row r="641" spans="1:11" x14ac:dyDescent="0.2">
      <c r="A641" s="106">
        <f>_xlfn.XLOOKUP(B641,pratos!B:B,pratos!A:A,"não")</f>
        <v>299</v>
      </c>
      <c r="B641" s="52" t="s">
        <v>441</v>
      </c>
      <c r="C641" s="105">
        <f>_xlfn.XLOOKUP(D641,ingredientes!B:B,ingredientes!A:A,"não")</f>
        <v>223</v>
      </c>
      <c r="D641" s="22" t="s">
        <v>348</v>
      </c>
      <c r="E641" s="17">
        <v>18</v>
      </c>
      <c r="H641">
        <f t="shared" si="38"/>
        <v>299</v>
      </c>
      <c r="I641">
        <f t="shared" si="39"/>
        <v>223</v>
      </c>
      <c r="J641">
        <f t="shared" si="40"/>
        <v>18</v>
      </c>
      <c r="K641">
        <f t="shared" si="37"/>
        <v>522</v>
      </c>
    </row>
    <row r="642" spans="1:11" x14ac:dyDescent="0.2">
      <c r="A642" s="106">
        <f>_xlfn.XLOOKUP(B642,pratos!B:B,pratos!A:A,"não")</f>
        <v>299</v>
      </c>
      <c r="B642" s="52" t="s">
        <v>441</v>
      </c>
      <c r="C642" s="105">
        <f>_xlfn.XLOOKUP(D642,ingredientes!B:B,ingredientes!A:A,"não")</f>
        <v>223</v>
      </c>
      <c r="D642" s="22" t="s">
        <v>348</v>
      </c>
      <c r="E642" s="10">
        <v>9</v>
      </c>
      <c r="H642">
        <f t="shared" si="38"/>
        <v>299</v>
      </c>
      <c r="I642">
        <f t="shared" si="39"/>
        <v>223</v>
      </c>
      <c r="J642">
        <f t="shared" si="40"/>
        <v>9</v>
      </c>
      <c r="K642">
        <f t="shared" si="37"/>
        <v>522</v>
      </c>
    </row>
    <row r="643" spans="1:11" x14ac:dyDescent="0.2">
      <c r="A643" s="106">
        <f>_xlfn.XLOOKUP(B643,pratos!B:B,pratos!A:A,"não")</f>
        <v>299</v>
      </c>
      <c r="B643" s="52" t="s">
        <v>441</v>
      </c>
      <c r="C643" s="105">
        <f>_xlfn.XLOOKUP(D643,ingredientes!B:B,ingredientes!A:A,"não")</f>
        <v>242</v>
      </c>
      <c r="D643" s="30" t="s">
        <v>276</v>
      </c>
      <c r="E643" s="85">
        <v>60</v>
      </c>
      <c r="H643">
        <f t="shared" si="38"/>
        <v>299</v>
      </c>
      <c r="I643">
        <f t="shared" si="39"/>
        <v>242</v>
      </c>
      <c r="J643">
        <f t="shared" si="40"/>
        <v>60</v>
      </c>
      <c r="K643">
        <f t="shared" ref="K643:K706" si="41">H643+I643</f>
        <v>541</v>
      </c>
    </row>
    <row r="644" spans="1:11" x14ac:dyDescent="0.2">
      <c r="A644" s="106">
        <f>_xlfn.XLOOKUP(B644,pratos!B:B,pratos!A:A,"não")</f>
        <v>299</v>
      </c>
      <c r="B644" s="52" t="s">
        <v>441</v>
      </c>
      <c r="C644" s="105">
        <f>_xlfn.XLOOKUP(D644,ingredientes!B:B,ingredientes!A:A,"não")</f>
        <v>242</v>
      </c>
      <c r="D644" s="30" t="s">
        <v>276</v>
      </c>
      <c r="E644" s="86">
        <v>30</v>
      </c>
      <c r="H644">
        <f t="shared" si="38"/>
        <v>299</v>
      </c>
      <c r="I644">
        <f t="shared" si="39"/>
        <v>242</v>
      </c>
      <c r="J644">
        <f t="shared" si="40"/>
        <v>30</v>
      </c>
      <c r="K644">
        <f t="shared" si="41"/>
        <v>541</v>
      </c>
    </row>
    <row r="645" spans="1:11" x14ac:dyDescent="0.2">
      <c r="A645" s="106">
        <f>_xlfn.XLOOKUP(B645,pratos!B:B,pratos!A:A,"não")</f>
        <v>300</v>
      </c>
      <c r="B645" s="52" t="s">
        <v>158</v>
      </c>
      <c r="C645" s="105">
        <f>_xlfn.XLOOKUP(D645,ingredientes!B:B,ingredientes!A:A,"não")</f>
        <v>227</v>
      </c>
      <c r="D645" s="9" t="s">
        <v>40</v>
      </c>
      <c r="E645" s="10">
        <v>50</v>
      </c>
      <c r="H645">
        <f t="shared" si="38"/>
        <v>300</v>
      </c>
      <c r="I645">
        <f t="shared" si="39"/>
        <v>227</v>
      </c>
      <c r="J645">
        <f t="shared" si="40"/>
        <v>50</v>
      </c>
      <c r="K645">
        <f t="shared" si="41"/>
        <v>527</v>
      </c>
    </row>
    <row r="646" spans="1:11" x14ac:dyDescent="0.2">
      <c r="A646" s="106">
        <f>_xlfn.XLOOKUP(B646,pratos!B:B,pratos!A:A,"não")</f>
        <v>301</v>
      </c>
      <c r="B646" s="52" t="s">
        <v>39</v>
      </c>
      <c r="C646" s="105">
        <f>_xlfn.XLOOKUP(D646,ingredientes!B:B,ingredientes!A:A,"não")</f>
        <v>198</v>
      </c>
      <c r="D646" s="9" t="s">
        <v>4</v>
      </c>
      <c r="E646" s="5">
        <v>5</v>
      </c>
      <c r="H646">
        <f t="shared" si="38"/>
        <v>301</v>
      </c>
      <c r="I646">
        <f t="shared" si="39"/>
        <v>198</v>
      </c>
      <c r="J646">
        <f t="shared" si="40"/>
        <v>5</v>
      </c>
      <c r="K646">
        <f t="shared" si="41"/>
        <v>499</v>
      </c>
    </row>
    <row r="647" spans="1:11" x14ac:dyDescent="0.2">
      <c r="A647" s="106">
        <f>_xlfn.XLOOKUP(B647,pratos!B:B,pratos!A:A,"não")</f>
        <v>301</v>
      </c>
      <c r="B647" s="52" t="s">
        <v>39</v>
      </c>
      <c r="C647" s="105">
        <f>_xlfn.XLOOKUP(D647,ingredientes!B:B,ingredientes!A:A,"não")</f>
        <v>227</v>
      </c>
      <c r="D647" s="9" t="s">
        <v>40</v>
      </c>
      <c r="E647" s="10">
        <v>50</v>
      </c>
      <c r="H647">
        <f t="shared" si="38"/>
        <v>301</v>
      </c>
      <c r="I647">
        <f t="shared" si="39"/>
        <v>227</v>
      </c>
      <c r="J647">
        <f t="shared" si="40"/>
        <v>50</v>
      </c>
      <c r="K647">
        <f t="shared" si="41"/>
        <v>528</v>
      </c>
    </row>
    <row r="648" spans="1:11" x14ac:dyDescent="0.2">
      <c r="A648" s="106">
        <f>_xlfn.XLOOKUP(B648,pratos!B:B,pratos!A:A,"não")</f>
        <v>302</v>
      </c>
      <c r="B648" s="108" t="s">
        <v>53</v>
      </c>
      <c r="C648" s="105">
        <f>_xlfn.XLOOKUP(D648,ingredientes!B:B,ingredientes!A:A,"não")</f>
        <v>198</v>
      </c>
      <c r="D648" s="9" t="s">
        <v>4</v>
      </c>
      <c r="E648" s="5">
        <v>5</v>
      </c>
      <c r="H648">
        <f t="shared" si="38"/>
        <v>302</v>
      </c>
      <c r="I648">
        <f t="shared" si="39"/>
        <v>198</v>
      </c>
      <c r="J648">
        <f t="shared" si="40"/>
        <v>5</v>
      </c>
      <c r="K648">
        <f t="shared" si="41"/>
        <v>500</v>
      </c>
    </row>
    <row r="649" spans="1:11" x14ac:dyDescent="0.2">
      <c r="A649" s="106">
        <f>_xlfn.XLOOKUP(B649,pratos!B:B,pratos!A:A,"não")</f>
        <v>302</v>
      </c>
      <c r="B649" s="111" t="s">
        <v>53</v>
      </c>
      <c r="C649" s="105">
        <f>_xlfn.XLOOKUP(D649,ingredientes!B:B,ingredientes!A:A,"não")</f>
        <v>228</v>
      </c>
      <c r="D649" s="18" t="s">
        <v>53</v>
      </c>
      <c r="E649" s="19">
        <v>50</v>
      </c>
      <c r="H649">
        <f t="shared" si="38"/>
        <v>302</v>
      </c>
      <c r="I649">
        <f t="shared" si="39"/>
        <v>228</v>
      </c>
      <c r="J649">
        <f t="shared" si="40"/>
        <v>50</v>
      </c>
      <c r="K649">
        <f t="shared" si="41"/>
        <v>530</v>
      </c>
    </row>
    <row r="650" spans="1:11" x14ac:dyDescent="0.2">
      <c r="A650" s="106">
        <f>_xlfn.XLOOKUP(B650,pratos!B:B,pratos!A:A,"não")</f>
        <v>303</v>
      </c>
      <c r="B650" s="111" t="s">
        <v>88</v>
      </c>
      <c r="C650" s="105">
        <f>_xlfn.XLOOKUP(D650,ingredientes!B:B,ingredientes!A:A,"não")</f>
        <v>227</v>
      </c>
      <c r="D650" s="9" t="s">
        <v>40</v>
      </c>
      <c r="E650" s="10">
        <v>50</v>
      </c>
      <c r="H650">
        <f t="shared" si="38"/>
        <v>303</v>
      </c>
      <c r="I650">
        <f t="shared" si="39"/>
        <v>227</v>
      </c>
      <c r="J650">
        <f t="shared" si="40"/>
        <v>50</v>
      </c>
      <c r="K650">
        <f t="shared" si="41"/>
        <v>530</v>
      </c>
    </row>
    <row r="651" spans="1:11" x14ac:dyDescent="0.2">
      <c r="A651" s="106">
        <f>_xlfn.XLOOKUP(B651,pratos!B:B,pratos!A:A,"não")</f>
        <v>304</v>
      </c>
      <c r="B651" s="108" t="s">
        <v>3</v>
      </c>
      <c r="C651" s="105">
        <f>_xlfn.XLOOKUP(D651,ingredientes!B:B,ingredientes!A:A,"não")</f>
        <v>198</v>
      </c>
      <c r="D651" s="4" t="s">
        <v>4</v>
      </c>
      <c r="E651" s="5">
        <v>5</v>
      </c>
      <c r="H651">
        <f t="shared" si="38"/>
        <v>304</v>
      </c>
      <c r="I651">
        <f t="shared" si="39"/>
        <v>198</v>
      </c>
      <c r="J651">
        <f t="shared" si="40"/>
        <v>5</v>
      </c>
      <c r="K651">
        <f t="shared" si="41"/>
        <v>502</v>
      </c>
    </row>
    <row r="652" spans="1:11" x14ac:dyDescent="0.2">
      <c r="A652" s="106">
        <f>_xlfn.XLOOKUP(B652,pratos!B:B,pratos!A:A,"não")</f>
        <v>304</v>
      </c>
      <c r="B652" s="108" t="s">
        <v>3</v>
      </c>
      <c r="C652" s="105">
        <f>_xlfn.XLOOKUP(D652,ingredientes!B:B,ingredientes!A:A,"não")</f>
        <v>229</v>
      </c>
      <c r="D652" s="4" t="s">
        <v>539</v>
      </c>
      <c r="E652" s="5">
        <v>50</v>
      </c>
      <c r="H652">
        <f t="shared" si="38"/>
        <v>304</v>
      </c>
      <c r="I652">
        <f t="shared" si="39"/>
        <v>229</v>
      </c>
      <c r="J652">
        <f t="shared" si="40"/>
        <v>50</v>
      </c>
      <c r="K652">
        <f t="shared" si="41"/>
        <v>533</v>
      </c>
    </row>
    <row r="653" spans="1:11" x14ac:dyDescent="0.2">
      <c r="A653" s="106">
        <f>_xlfn.XLOOKUP(B653,pratos!B:B,pratos!A:A,"não")</f>
        <v>304</v>
      </c>
      <c r="B653" s="112" t="s">
        <v>3</v>
      </c>
      <c r="C653" s="105">
        <f>_xlfn.XLOOKUP(D653,ingredientes!B:B,ingredientes!A:A,"não")</f>
        <v>229</v>
      </c>
      <c r="D653" s="77" t="s">
        <v>539</v>
      </c>
      <c r="E653" s="63">
        <v>50</v>
      </c>
      <c r="H653">
        <f t="shared" si="38"/>
        <v>304</v>
      </c>
      <c r="I653">
        <f t="shared" si="39"/>
        <v>229</v>
      </c>
      <c r="J653">
        <f t="shared" si="40"/>
        <v>50</v>
      </c>
      <c r="K653">
        <f t="shared" si="41"/>
        <v>533</v>
      </c>
    </row>
    <row r="654" spans="1:11" x14ac:dyDescent="0.2">
      <c r="A654" s="106">
        <f>_xlfn.XLOOKUP(B654,pratos!B:B,pratos!A:A,"não")</f>
        <v>305</v>
      </c>
      <c r="B654" s="108" t="s">
        <v>44</v>
      </c>
      <c r="C654" s="105">
        <f>_xlfn.XLOOKUP(D654,ingredientes!B:B,ingredientes!A:A,"não")</f>
        <v>198</v>
      </c>
      <c r="D654" s="9" t="s">
        <v>4</v>
      </c>
      <c r="E654" s="5">
        <v>5</v>
      </c>
      <c r="H654">
        <f t="shared" si="38"/>
        <v>305</v>
      </c>
      <c r="I654">
        <f t="shared" si="39"/>
        <v>198</v>
      </c>
      <c r="J654">
        <f t="shared" si="40"/>
        <v>5</v>
      </c>
      <c r="K654">
        <f t="shared" si="41"/>
        <v>503</v>
      </c>
    </row>
    <row r="655" spans="1:11" x14ac:dyDescent="0.2">
      <c r="A655" s="106">
        <f>_xlfn.XLOOKUP(B655,pratos!B:B,pratos!A:A,"não")</f>
        <v>305</v>
      </c>
      <c r="B655" s="111" t="s">
        <v>44</v>
      </c>
      <c r="C655" s="105">
        <f>_xlfn.XLOOKUP(D655,ingredientes!B:B,ingredientes!A:A,"não")</f>
        <v>230</v>
      </c>
      <c r="D655" s="9" t="s">
        <v>45</v>
      </c>
      <c r="E655" s="19">
        <v>50</v>
      </c>
      <c r="H655">
        <f t="shared" si="38"/>
        <v>305</v>
      </c>
      <c r="I655">
        <f t="shared" si="39"/>
        <v>230</v>
      </c>
      <c r="J655">
        <f t="shared" si="40"/>
        <v>50</v>
      </c>
      <c r="K655">
        <f t="shared" si="41"/>
        <v>535</v>
      </c>
    </row>
    <row r="656" spans="1:11" x14ac:dyDescent="0.2">
      <c r="A656" s="106">
        <f>_xlfn.XLOOKUP(B656,pratos!B:B,pratos!A:A,"não")</f>
        <v>306</v>
      </c>
      <c r="B656" s="52" t="s">
        <v>99</v>
      </c>
      <c r="C656" s="105">
        <f>_xlfn.XLOOKUP(D656,ingredientes!B:B,ingredientes!A:A,"não")</f>
        <v>199</v>
      </c>
      <c r="D656" s="12" t="s">
        <v>95</v>
      </c>
      <c r="E656" s="26">
        <v>5</v>
      </c>
      <c r="H656">
        <f t="shared" si="38"/>
        <v>306</v>
      </c>
      <c r="I656">
        <f t="shared" si="39"/>
        <v>199</v>
      </c>
      <c r="J656">
        <f t="shared" si="40"/>
        <v>5</v>
      </c>
      <c r="K656">
        <f t="shared" si="41"/>
        <v>505</v>
      </c>
    </row>
    <row r="657" spans="1:11" x14ac:dyDescent="0.2">
      <c r="A657" s="106">
        <f>_xlfn.XLOOKUP(B657,pratos!B:B,pratos!A:A,"não")</f>
        <v>306</v>
      </c>
      <c r="B657" s="111" t="s">
        <v>99</v>
      </c>
      <c r="C657" s="105">
        <f>_xlfn.XLOOKUP(D657,ingredientes!B:B,ingredientes!A:A,"não")</f>
        <v>231</v>
      </c>
      <c r="D657" s="3" t="s">
        <v>94</v>
      </c>
      <c r="E657" s="5">
        <v>50</v>
      </c>
      <c r="H657">
        <f t="shared" si="38"/>
        <v>306</v>
      </c>
      <c r="I657">
        <f t="shared" si="39"/>
        <v>231</v>
      </c>
      <c r="J657">
        <f t="shared" si="40"/>
        <v>50</v>
      </c>
      <c r="K657">
        <f t="shared" si="41"/>
        <v>537</v>
      </c>
    </row>
    <row r="658" spans="1:11" x14ac:dyDescent="0.2">
      <c r="A658" s="106">
        <f>_xlfn.XLOOKUP(B658,pratos!B:B,pratos!A:A,"não")</f>
        <v>307</v>
      </c>
      <c r="B658" s="52" t="s">
        <v>93</v>
      </c>
      <c r="C658" s="105">
        <f>_xlfn.XLOOKUP(D658,ingredientes!B:B,ingredientes!A:A,"não")</f>
        <v>199</v>
      </c>
      <c r="D658" s="12" t="s">
        <v>95</v>
      </c>
      <c r="E658" s="26">
        <v>5</v>
      </c>
      <c r="H658">
        <f t="shared" si="38"/>
        <v>307</v>
      </c>
      <c r="I658">
        <f t="shared" si="39"/>
        <v>199</v>
      </c>
      <c r="J658">
        <f t="shared" si="40"/>
        <v>5</v>
      </c>
      <c r="K658">
        <f t="shared" si="41"/>
        <v>506</v>
      </c>
    </row>
    <row r="659" spans="1:11" x14ac:dyDescent="0.2">
      <c r="A659" s="106">
        <f>_xlfn.XLOOKUP(B659,pratos!B:B,pratos!A:A,"não")</f>
        <v>307</v>
      </c>
      <c r="B659" s="52" t="s">
        <v>93</v>
      </c>
      <c r="C659" s="105">
        <f>_xlfn.XLOOKUP(D659,ingredientes!B:B,ingredientes!A:A,"não")</f>
        <v>231</v>
      </c>
      <c r="D659" s="3" t="s">
        <v>94</v>
      </c>
      <c r="E659" s="26">
        <v>50</v>
      </c>
      <c r="H659">
        <f t="shared" si="38"/>
        <v>307</v>
      </c>
      <c r="I659">
        <f t="shared" si="39"/>
        <v>231</v>
      </c>
      <c r="J659">
        <f t="shared" si="40"/>
        <v>50</v>
      </c>
      <c r="K659">
        <f t="shared" si="41"/>
        <v>538</v>
      </c>
    </row>
    <row r="660" spans="1:11" x14ac:dyDescent="0.2">
      <c r="A660" s="106">
        <f>_xlfn.XLOOKUP(B660,pratos!B:B,pratos!A:A,"não")</f>
        <v>308</v>
      </c>
      <c r="B660" s="52" t="s">
        <v>28</v>
      </c>
      <c r="C660" s="105">
        <f>_xlfn.XLOOKUP(D660,ingredientes!B:B,ingredientes!A:A,"não")</f>
        <v>188</v>
      </c>
      <c r="D660" s="30" t="s">
        <v>671</v>
      </c>
      <c r="E660" s="10">
        <v>100</v>
      </c>
      <c r="H660">
        <f t="shared" si="38"/>
        <v>308</v>
      </c>
      <c r="I660">
        <f t="shared" si="39"/>
        <v>188</v>
      </c>
      <c r="J660">
        <f t="shared" si="40"/>
        <v>100</v>
      </c>
      <c r="K660">
        <f t="shared" si="41"/>
        <v>496</v>
      </c>
    </row>
    <row r="661" spans="1:11" x14ac:dyDescent="0.2">
      <c r="A661" s="106">
        <f>_xlfn.XLOOKUP(B661,pratos!B:B,pratos!A:A,"não")</f>
        <v>308</v>
      </c>
      <c r="B661" s="52" t="s">
        <v>28</v>
      </c>
      <c r="C661" s="105">
        <f>_xlfn.XLOOKUP(D661,ingredientes!B:B,ingredientes!A:A,"não")</f>
        <v>195</v>
      </c>
      <c r="D661" s="9" t="s">
        <v>30</v>
      </c>
      <c r="E661" s="10">
        <v>1</v>
      </c>
      <c r="H661">
        <f t="shared" si="38"/>
        <v>308</v>
      </c>
      <c r="I661">
        <f t="shared" si="39"/>
        <v>195</v>
      </c>
      <c r="J661">
        <f t="shared" si="40"/>
        <v>1</v>
      </c>
      <c r="K661">
        <f t="shared" si="41"/>
        <v>503</v>
      </c>
    </row>
    <row r="662" spans="1:11" x14ac:dyDescent="0.2">
      <c r="A662" s="106">
        <f>_xlfn.XLOOKUP(B662,pratos!B:B,pratos!A:A,"não")</f>
        <v>308</v>
      </c>
      <c r="B662" s="52" t="s">
        <v>28</v>
      </c>
      <c r="C662" s="105">
        <f>_xlfn.XLOOKUP(D662,ingredientes!B:B,ingredientes!A:A,"não")</f>
        <v>277</v>
      </c>
      <c r="D662" s="9" t="s">
        <v>29</v>
      </c>
      <c r="E662" s="10">
        <v>10</v>
      </c>
      <c r="H662">
        <f t="shared" si="38"/>
        <v>308</v>
      </c>
      <c r="I662">
        <f t="shared" si="39"/>
        <v>277</v>
      </c>
      <c r="J662">
        <f t="shared" si="40"/>
        <v>10</v>
      </c>
      <c r="K662">
        <f t="shared" si="41"/>
        <v>585</v>
      </c>
    </row>
    <row r="663" spans="1:11" x14ac:dyDescent="0.2">
      <c r="A663" s="106">
        <f>_xlfn.XLOOKUP(B663,pratos!B:B,pratos!A:A,"não")</f>
        <v>309</v>
      </c>
      <c r="B663" s="135" t="s">
        <v>524</v>
      </c>
      <c r="C663" s="105">
        <f>_xlfn.XLOOKUP(D663,ingredientes!B:B,ingredientes!A:A,"não")</f>
        <v>189</v>
      </c>
      <c r="D663" s="97" t="s">
        <v>84</v>
      </c>
      <c r="E663" s="88">
        <v>100</v>
      </c>
      <c r="H663">
        <f t="shared" si="38"/>
        <v>309</v>
      </c>
      <c r="I663">
        <f t="shared" si="39"/>
        <v>189</v>
      </c>
      <c r="J663">
        <f t="shared" si="40"/>
        <v>100</v>
      </c>
      <c r="K663">
        <f t="shared" si="41"/>
        <v>498</v>
      </c>
    </row>
    <row r="664" spans="1:11" x14ac:dyDescent="0.2">
      <c r="A664" s="106">
        <f>_xlfn.XLOOKUP(B664,pratos!B:B,pratos!A:A,"não")</f>
        <v>310</v>
      </c>
      <c r="B664" s="52" t="s">
        <v>58</v>
      </c>
      <c r="C664" s="105">
        <f>_xlfn.XLOOKUP(D664,ingredientes!B:B,ingredientes!A:A,"não")</f>
        <v>188</v>
      </c>
      <c r="D664" s="30" t="s">
        <v>671</v>
      </c>
      <c r="E664" s="10">
        <v>100</v>
      </c>
      <c r="H664">
        <f t="shared" si="38"/>
        <v>310</v>
      </c>
      <c r="I664">
        <f t="shared" si="39"/>
        <v>188</v>
      </c>
      <c r="J664">
        <f t="shared" si="40"/>
        <v>100</v>
      </c>
      <c r="K664">
        <f t="shared" si="41"/>
        <v>498</v>
      </c>
    </row>
    <row r="665" spans="1:11" x14ac:dyDescent="0.2">
      <c r="A665" s="106">
        <f>_xlfn.XLOOKUP(B665,pratos!B:B,pratos!A:A,"não")</f>
        <v>310</v>
      </c>
      <c r="B665" s="52" t="s">
        <v>58</v>
      </c>
      <c r="C665" s="105">
        <f>_xlfn.XLOOKUP(D665,ingredientes!B:B,ingredientes!A:A,"não")</f>
        <v>189</v>
      </c>
      <c r="D665" s="16" t="s">
        <v>59</v>
      </c>
      <c r="E665" s="19">
        <v>100</v>
      </c>
      <c r="H665">
        <f t="shared" si="38"/>
        <v>310</v>
      </c>
      <c r="I665">
        <f t="shared" si="39"/>
        <v>189</v>
      </c>
      <c r="J665">
        <f t="shared" si="40"/>
        <v>100</v>
      </c>
      <c r="K665">
        <f t="shared" si="41"/>
        <v>499</v>
      </c>
    </row>
    <row r="666" spans="1:11" x14ac:dyDescent="0.2">
      <c r="A666" s="106">
        <f>_xlfn.XLOOKUP(B666,pratos!B:B,pratos!A:A,"não")</f>
        <v>310</v>
      </c>
      <c r="B666" s="52" t="s">
        <v>58</v>
      </c>
      <c r="C666" s="105">
        <f>_xlfn.XLOOKUP(D666,ingredientes!B:B,ingredientes!A:A,"não")</f>
        <v>195</v>
      </c>
      <c r="D666" s="9" t="s">
        <v>30</v>
      </c>
      <c r="E666" s="10">
        <v>1</v>
      </c>
      <c r="H666">
        <f t="shared" si="38"/>
        <v>310</v>
      </c>
      <c r="I666">
        <f t="shared" si="39"/>
        <v>195</v>
      </c>
      <c r="J666">
        <f t="shared" si="40"/>
        <v>1</v>
      </c>
      <c r="K666">
        <f t="shared" si="41"/>
        <v>505</v>
      </c>
    </row>
    <row r="667" spans="1:11" x14ac:dyDescent="0.2">
      <c r="A667" s="106">
        <f>_xlfn.XLOOKUP(B667,pratos!B:B,pratos!A:A,"não")</f>
        <v>310</v>
      </c>
      <c r="B667" s="52" t="s">
        <v>58</v>
      </c>
      <c r="C667" s="105">
        <f>_xlfn.XLOOKUP(D667,ingredientes!B:B,ingredientes!A:A,"não")</f>
        <v>211</v>
      </c>
      <c r="D667" s="12" t="s">
        <v>60</v>
      </c>
      <c r="E667" s="13">
        <v>20</v>
      </c>
      <c r="H667">
        <f t="shared" si="38"/>
        <v>310</v>
      </c>
      <c r="I667">
        <f t="shared" si="39"/>
        <v>211</v>
      </c>
      <c r="J667">
        <f t="shared" si="40"/>
        <v>20</v>
      </c>
      <c r="K667">
        <f t="shared" si="41"/>
        <v>521</v>
      </c>
    </row>
    <row r="668" spans="1:11" x14ac:dyDescent="0.2">
      <c r="A668" s="106">
        <f>_xlfn.XLOOKUP(B668,pratos!B:B,pratos!A:A,"não")</f>
        <v>311</v>
      </c>
      <c r="B668" s="116" t="s">
        <v>518</v>
      </c>
      <c r="C668" s="105">
        <f>_xlfn.XLOOKUP(D668,ingredientes!B:B,ingredientes!A:A,"não")</f>
        <v>235</v>
      </c>
      <c r="D668" s="143" t="s">
        <v>519</v>
      </c>
      <c r="E668" s="93">
        <v>120</v>
      </c>
      <c r="H668">
        <f t="shared" si="38"/>
        <v>311</v>
      </c>
      <c r="I668">
        <f t="shared" si="39"/>
        <v>235</v>
      </c>
      <c r="J668">
        <f t="shared" si="40"/>
        <v>120</v>
      </c>
      <c r="K668">
        <f t="shared" si="41"/>
        <v>546</v>
      </c>
    </row>
    <row r="669" spans="1:11" x14ac:dyDescent="0.2">
      <c r="A669" s="106">
        <f>_xlfn.XLOOKUP(B669,pratos!B:B,pratos!A:A,"não")</f>
        <v>312</v>
      </c>
      <c r="B669" s="52" t="s">
        <v>409</v>
      </c>
      <c r="C669" s="105">
        <f>_xlfn.XLOOKUP(D669,ingredientes!B:B,ingredientes!A:A,"não")</f>
        <v>236</v>
      </c>
      <c r="D669" s="138" t="s">
        <v>409</v>
      </c>
      <c r="E669" s="10">
        <v>80</v>
      </c>
      <c r="H669">
        <f t="shared" si="38"/>
        <v>312</v>
      </c>
      <c r="I669">
        <f t="shared" si="39"/>
        <v>236</v>
      </c>
      <c r="J669">
        <f t="shared" si="40"/>
        <v>80</v>
      </c>
      <c r="K669">
        <f t="shared" si="41"/>
        <v>548</v>
      </c>
    </row>
    <row r="670" spans="1:11" x14ac:dyDescent="0.2">
      <c r="A670" s="106">
        <f>_xlfn.XLOOKUP(B670,pratos!B:B,pratos!A:A,"não")</f>
        <v>313</v>
      </c>
      <c r="B670" s="52" t="s">
        <v>21</v>
      </c>
      <c r="C670" s="105">
        <f>_xlfn.XLOOKUP(D670,ingredientes!B:B,ingredientes!A:A,"não")</f>
        <v>237</v>
      </c>
      <c r="D670" s="9" t="s">
        <v>22</v>
      </c>
      <c r="E670" s="10">
        <v>30</v>
      </c>
      <c r="H670">
        <f t="shared" si="38"/>
        <v>313</v>
      </c>
      <c r="I670">
        <f t="shared" si="39"/>
        <v>237</v>
      </c>
      <c r="J670">
        <f t="shared" si="40"/>
        <v>30</v>
      </c>
      <c r="K670">
        <f t="shared" si="41"/>
        <v>550</v>
      </c>
    </row>
    <row r="671" spans="1:11" x14ac:dyDescent="0.2">
      <c r="A671" s="106">
        <f>_xlfn.XLOOKUP(B671,pratos!B:B,pratos!A:A,"não")</f>
        <v>314</v>
      </c>
      <c r="B671" s="130" t="s">
        <v>580</v>
      </c>
      <c r="C671" s="105">
        <f>_xlfn.XLOOKUP(D671,ingredientes!B:B,ingredientes!A:A,"não")</f>
        <v>242</v>
      </c>
      <c r="D671" s="30" t="s">
        <v>276</v>
      </c>
      <c r="E671" s="103">
        <v>120</v>
      </c>
      <c r="H671">
        <f t="shared" si="38"/>
        <v>314</v>
      </c>
      <c r="I671">
        <f t="shared" si="39"/>
        <v>242</v>
      </c>
      <c r="J671">
        <f t="shared" si="40"/>
        <v>120</v>
      </c>
      <c r="K671">
        <f t="shared" si="41"/>
        <v>556</v>
      </c>
    </row>
    <row r="672" spans="1:11" x14ac:dyDescent="0.2">
      <c r="A672" s="106">
        <f>_xlfn.XLOOKUP(B672,pratos!B:B,pratos!A:A,"não")</f>
        <v>315</v>
      </c>
      <c r="B672" s="116" t="s">
        <v>492</v>
      </c>
      <c r="C672" s="105">
        <f>_xlfn.XLOOKUP(D672,ingredientes!B:B,ingredientes!A:A,"não")</f>
        <v>24</v>
      </c>
      <c r="D672" s="80" t="s">
        <v>102</v>
      </c>
      <c r="E672" s="10">
        <v>1</v>
      </c>
      <c r="H672">
        <f t="shared" si="38"/>
        <v>315</v>
      </c>
      <c r="I672">
        <f t="shared" si="39"/>
        <v>24</v>
      </c>
      <c r="J672">
        <f t="shared" si="40"/>
        <v>1</v>
      </c>
      <c r="K672">
        <f t="shared" si="41"/>
        <v>339</v>
      </c>
    </row>
    <row r="673" spans="1:11" x14ac:dyDescent="0.2">
      <c r="A673" s="106">
        <f>_xlfn.XLOOKUP(B673,pratos!B:B,pratos!A:A,"não")</f>
        <v>315</v>
      </c>
      <c r="B673" s="116" t="s">
        <v>492</v>
      </c>
      <c r="C673" s="105">
        <f>_xlfn.XLOOKUP(D673,ingredientes!B:B,ingredientes!A:A,"não")</f>
        <v>75</v>
      </c>
      <c r="D673" s="80" t="s">
        <v>48</v>
      </c>
      <c r="E673" s="10">
        <v>150</v>
      </c>
      <c r="H673">
        <f t="shared" si="38"/>
        <v>315</v>
      </c>
      <c r="I673">
        <f t="shared" si="39"/>
        <v>75</v>
      </c>
      <c r="J673">
        <f t="shared" si="40"/>
        <v>150</v>
      </c>
      <c r="K673">
        <f t="shared" si="41"/>
        <v>390</v>
      </c>
    </row>
    <row r="674" spans="1:11" x14ac:dyDescent="0.2">
      <c r="A674" s="106">
        <f>_xlfn.XLOOKUP(B674,pratos!B:B,pratos!A:A,"não")</f>
        <v>315</v>
      </c>
      <c r="B674" s="116" t="s">
        <v>492</v>
      </c>
      <c r="C674" s="105">
        <f>_xlfn.XLOOKUP(D674,ingredientes!B:B,ingredientes!A:A,"não")</f>
        <v>113</v>
      </c>
      <c r="D674" s="80" t="s">
        <v>368</v>
      </c>
      <c r="E674" s="10">
        <v>5</v>
      </c>
      <c r="H674">
        <f t="shared" si="38"/>
        <v>315</v>
      </c>
      <c r="I674">
        <f t="shared" si="39"/>
        <v>113</v>
      </c>
      <c r="J674">
        <f t="shared" si="40"/>
        <v>5</v>
      </c>
      <c r="K674">
        <f t="shared" si="41"/>
        <v>428</v>
      </c>
    </row>
    <row r="675" spans="1:11" x14ac:dyDescent="0.2">
      <c r="A675" s="106">
        <f>_xlfn.XLOOKUP(B675,pratos!B:B,pratos!A:A,"não")</f>
        <v>316</v>
      </c>
      <c r="B675" s="109" t="s">
        <v>412</v>
      </c>
      <c r="C675" s="105">
        <f>_xlfn.XLOOKUP(D675,ingredientes!B:B,ingredientes!A:A,"não")</f>
        <v>24</v>
      </c>
      <c r="D675" s="80" t="s">
        <v>102</v>
      </c>
      <c r="E675" s="10">
        <v>1</v>
      </c>
      <c r="H675">
        <f t="shared" si="38"/>
        <v>316</v>
      </c>
      <c r="I675">
        <f t="shared" si="39"/>
        <v>24</v>
      </c>
      <c r="J675">
        <f t="shared" si="40"/>
        <v>1</v>
      </c>
      <c r="K675">
        <f t="shared" si="41"/>
        <v>340</v>
      </c>
    </row>
    <row r="676" spans="1:11" x14ac:dyDescent="0.2">
      <c r="A676" s="106">
        <f>_xlfn.XLOOKUP(B676,pratos!B:B,pratos!A:A,"não")</f>
        <v>316</v>
      </c>
      <c r="B676" s="109" t="s">
        <v>412</v>
      </c>
      <c r="C676" s="105">
        <f>_xlfn.XLOOKUP(D676,ingredientes!B:B,ingredientes!A:A,"não")</f>
        <v>75</v>
      </c>
      <c r="D676" s="80" t="s">
        <v>48</v>
      </c>
      <c r="E676" s="10">
        <v>150</v>
      </c>
      <c r="H676">
        <f t="shared" si="38"/>
        <v>316</v>
      </c>
      <c r="I676">
        <f t="shared" si="39"/>
        <v>75</v>
      </c>
      <c r="J676">
        <f t="shared" si="40"/>
        <v>150</v>
      </c>
      <c r="K676">
        <f t="shared" si="41"/>
        <v>391</v>
      </c>
    </row>
    <row r="677" spans="1:11" x14ac:dyDescent="0.2">
      <c r="A677" s="106">
        <f>_xlfn.XLOOKUP(B677,pratos!B:B,pratos!A:A,"não")</f>
        <v>316</v>
      </c>
      <c r="B677" s="109" t="s">
        <v>412</v>
      </c>
      <c r="C677" s="105">
        <f>_xlfn.XLOOKUP(D677,ingredientes!B:B,ingredientes!A:A,"não")</f>
        <v>75</v>
      </c>
      <c r="D677" s="80" t="s">
        <v>48</v>
      </c>
      <c r="E677" s="10">
        <v>50</v>
      </c>
      <c r="H677">
        <f t="shared" si="38"/>
        <v>316</v>
      </c>
      <c r="I677">
        <f t="shared" si="39"/>
        <v>75</v>
      </c>
      <c r="J677">
        <f t="shared" si="40"/>
        <v>50</v>
      </c>
      <c r="K677">
        <f t="shared" si="41"/>
        <v>391</v>
      </c>
    </row>
    <row r="678" spans="1:11" x14ac:dyDescent="0.2">
      <c r="A678" s="106">
        <f>_xlfn.XLOOKUP(B678,pratos!B:B,pratos!A:A,"não")</f>
        <v>316</v>
      </c>
      <c r="B678" s="109" t="s">
        <v>412</v>
      </c>
      <c r="C678" s="105">
        <f>_xlfn.XLOOKUP(D678,ingredientes!B:B,ingredientes!A:A,"não")</f>
        <v>75</v>
      </c>
      <c r="D678" s="79" t="s">
        <v>48</v>
      </c>
      <c r="E678" s="10">
        <v>100</v>
      </c>
      <c r="H678">
        <f t="shared" si="38"/>
        <v>316</v>
      </c>
      <c r="I678">
        <f t="shared" si="39"/>
        <v>75</v>
      </c>
      <c r="J678">
        <f t="shared" si="40"/>
        <v>100</v>
      </c>
      <c r="K678">
        <f t="shared" si="41"/>
        <v>391</v>
      </c>
    </row>
    <row r="679" spans="1:11" x14ac:dyDescent="0.2">
      <c r="A679" s="106">
        <f>_xlfn.XLOOKUP(B679,pratos!B:B,pratos!A:A,"não")</f>
        <v>316</v>
      </c>
      <c r="B679" s="109" t="s">
        <v>412</v>
      </c>
      <c r="C679" s="105">
        <f>_xlfn.XLOOKUP(D679,ingredientes!B:B,ingredientes!A:A,"não")</f>
        <v>113</v>
      </c>
      <c r="D679" s="80" t="s">
        <v>368</v>
      </c>
      <c r="E679" s="10">
        <v>5</v>
      </c>
      <c r="H679">
        <f t="shared" si="38"/>
        <v>316</v>
      </c>
      <c r="I679">
        <f t="shared" si="39"/>
        <v>113</v>
      </c>
      <c r="J679">
        <f t="shared" si="40"/>
        <v>5</v>
      </c>
      <c r="K679">
        <f t="shared" si="41"/>
        <v>429</v>
      </c>
    </row>
    <row r="680" spans="1:11" x14ac:dyDescent="0.2">
      <c r="A680" s="106">
        <f>_xlfn.XLOOKUP(B680,pratos!B:B,pratos!A:A,"não")</f>
        <v>317</v>
      </c>
      <c r="B680" s="109" t="s">
        <v>415</v>
      </c>
      <c r="C680" s="105">
        <f>_xlfn.XLOOKUP(D680,ingredientes!B:B,ingredientes!A:A,"não")</f>
        <v>24</v>
      </c>
      <c r="D680" s="80" t="s">
        <v>102</v>
      </c>
      <c r="E680" s="10">
        <v>1</v>
      </c>
      <c r="H680">
        <f t="shared" si="38"/>
        <v>317</v>
      </c>
      <c r="I680">
        <f t="shared" si="39"/>
        <v>24</v>
      </c>
      <c r="J680">
        <f t="shared" si="40"/>
        <v>1</v>
      </c>
      <c r="K680">
        <f t="shared" si="41"/>
        <v>341</v>
      </c>
    </row>
    <row r="681" spans="1:11" x14ac:dyDescent="0.2">
      <c r="A681" s="106">
        <f>_xlfn.XLOOKUP(B681,pratos!B:B,pratos!A:A,"não")</f>
        <v>317</v>
      </c>
      <c r="B681" s="109" t="s">
        <v>415</v>
      </c>
      <c r="C681" s="105">
        <f>_xlfn.XLOOKUP(D681,ingredientes!B:B,ingredientes!A:A,"não")</f>
        <v>75</v>
      </c>
      <c r="D681" s="80" t="s">
        <v>48</v>
      </c>
      <c r="E681" s="10">
        <v>150</v>
      </c>
      <c r="H681">
        <f t="shared" si="38"/>
        <v>317</v>
      </c>
      <c r="I681">
        <f t="shared" si="39"/>
        <v>75</v>
      </c>
      <c r="J681">
        <f t="shared" si="40"/>
        <v>150</v>
      </c>
      <c r="K681">
        <f t="shared" si="41"/>
        <v>392</v>
      </c>
    </row>
    <row r="682" spans="1:11" x14ac:dyDescent="0.2">
      <c r="A682" s="106">
        <f>_xlfn.XLOOKUP(B682,pratos!B:B,pratos!A:A,"não")</f>
        <v>317</v>
      </c>
      <c r="B682" s="109" t="s">
        <v>415</v>
      </c>
      <c r="C682" s="105">
        <f>_xlfn.XLOOKUP(D682,ingredientes!B:B,ingredientes!A:A,"não")</f>
        <v>113</v>
      </c>
      <c r="D682" s="80" t="s">
        <v>368</v>
      </c>
      <c r="E682" s="10">
        <v>5</v>
      </c>
      <c r="H682">
        <f t="shared" si="38"/>
        <v>317</v>
      </c>
      <c r="I682">
        <f t="shared" si="39"/>
        <v>113</v>
      </c>
      <c r="J682">
        <f t="shared" si="40"/>
        <v>5</v>
      </c>
      <c r="K682">
        <f t="shared" si="41"/>
        <v>430</v>
      </c>
    </row>
    <row r="683" spans="1:11" x14ac:dyDescent="0.2">
      <c r="A683" s="106">
        <f>_xlfn.XLOOKUP(B683,pratos!B:B,pratos!A:A,"não")</f>
        <v>318</v>
      </c>
      <c r="B683" s="52" t="s">
        <v>474</v>
      </c>
      <c r="C683" s="105">
        <f>_xlfn.XLOOKUP(D683,ingredientes!B:B,ingredientes!A:A,"não")</f>
        <v>75</v>
      </c>
      <c r="D683" s="79" t="s">
        <v>48</v>
      </c>
      <c r="E683" s="10">
        <v>150</v>
      </c>
      <c r="H683">
        <f t="shared" si="38"/>
        <v>318</v>
      </c>
      <c r="I683">
        <f t="shared" si="39"/>
        <v>75</v>
      </c>
      <c r="J683">
        <f t="shared" si="40"/>
        <v>150</v>
      </c>
      <c r="K683">
        <f t="shared" si="41"/>
        <v>393</v>
      </c>
    </row>
    <row r="684" spans="1:11" x14ac:dyDescent="0.2">
      <c r="A684" s="106">
        <f>_xlfn.XLOOKUP(B684,pratos!B:B,pratos!A:A,"não")</f>
        <v>318</v>
      </c>
      <c r="B684" s="52" t="s">
        <v>474</v>
      </c>
      <c r="C684" s="105">
        <f>_xlfn.XLOOKUP(D684,ingredientes!B:B,ingredientes!A:A,"não")</f>
        <v>75</v>
      </c>
      <c r="D684" s="79" t="s">
        <v>48</v>
      </c>
      <c r="E684" s="17">
        <v>50</v>
      </c>
      <c r="H684">
        <f t="shared" si="38"/>
        <v>318</v>
      </c>
      <c r="I684">
        <f t="shared" si="39"/>
        <v>75</v>
      </c>
      <c r="J684">
        <f t="shared" si="40"/>
        <v>50</v>
      </c>
      <c r="K684">
        <f t="shared" si="41"/>
        <v>393</v>
      </c>
    </row>
    <row r="685" spans="1:11" x14ac:dyDescent="0.2">
      <c r="A685" s="106">
        <f>_xlfn.XLOOKUP(B685,pratos!B:B,pratos!A:A,"não")</f>
        <v>318</v>
      </c>
      <c r="B685" s="52" t="s">
        <v>474</v>
      </c>
      <c r="C685" s="105">
        <f>_xlfn.XLOOKUP(D685,ingredientes!B:B,ingredientes!A:A,"não")</f>
        <v>75</v>
      </c>
      <c r="D685" s="79" t="s">
        <v>48</v>
      </c>
      <c r="E685" s="10">
        <v>100</v>
      </c>
      <c r="H685">
        <f t="shared" si="38"/>
        <v>318</v>
      </c>
      <c r="I685">
        <f t="shared" si="39"/>
        <v>75</v>
      </c>
      <c r="J685">
        <f t="shared" si="40"/>
        <v>100</v>
      </c>
      <c r="K685">
        <f t="shared" si="41"/>
        <v>393</v>
      </c>
    </row>
    <row r="686" spans="1:11" x14ac:dyDescent="0.2">
      <c r="A686" s="106">
        <f>_xlfn.XLOOKUP(B686,pratos!B:B,pratos!A:A,"não")</f>
        <v>318</v>
      </c>
      <c r="B686" s="52" t="s">
        <v>474</v>
      </c>
      <c r="C686" s="105">
        <f>_xlfn.XLOOKUP(D686,ingredientes!B:B,ingredientes!A:A,"não")</f>
        <v>207</v>
      </c>
      <c r="D686" s="38" t="s">
        <v>475</v>
      </c>
      <c r="E686" s="10">
        <v>5</v>
      </c>
      <c r="H686">
        <f t="shared" si="38"/>
        <v>318</v>
      </c>
      <c r="I686">
        <f t="shared" si="39"/>
        <v>207</v>
      </c>
      <c r="J686">
        <f t="shared" si="40"/>
        <v>5</v>
      </c>
      <c r="K686">
        <f t="shared" si="41"/>
        <v>525</v>
      </c>
    </row>
    <row r="687" spans="1:11" x14ac:dyDescent="0.2">
      <c r="A687" s="106">
        <f>_xlfn.XLOOKUP(B687,pratos!B:B,pratos!A:A,"não")</f>
        <v>319</v>
      </c>
      <c r="B687" s="111" t="s">
        <v>101</v>
      </c>
      <c r="C687" s="105">
        <f>_xlfn.XLOOKUP(D687,ingredientes!B:B,ingredientes!A:A,"não")</f>
        <v>24</v>
      </c>
      <c r="D687" s="11" t="s">
        <v>102</v>
      </c>
      <c r="E687" s="17">
        <v>1</v>
      </c>
      <c r="H687">
        <f t="shared" si="38"/>
        <v>319</v>
      </c>
      <c r="I687">
        <f t="shared" si="39"/>
        <v>24</v>
      </c>
      <c r="J687">
        <f t="shared" si="40"/>
        <v>1</v>
      </c>
      <c r="K687">
        <f t="shared" si="41"/>
        <v>343</v>
      </c>
    </row>
    <row r="688" spans="1:11" x14ac:dyDescent="0.2">
      <c r="A688" s="106">
        <f>_xlfn.XLOOKUP(B688,pratos!B:B,pratos!A:A,"não")</f>
        <v>319</v>
      </c>
      <c r="B688" s="111" t="s">
        <v>101</v>
      </c>
      <c r="C688" s="105">
        <f>_xlfn.XLOOKUP(D688,ingredientes!B:B,ingredientes!A:A,"não")</f>
        <v>28</v>
      </c>
      <c r="D688" s="11" t="s">
        <v>104</v>
      </c>
      <c r="E688" s="17">
        <v>5</v>
      </c>
      <c r="H688">
        <f t="shared" si="38"/>
        <v>319</v>
      </c>
      <c r="I688">
        <f t="shared" si="39"/>
        <v>28</v>
      </c>
      <c r="J688">
        <f t="shared" si="40"/>
        <v>5</v>
      </c>
      <c r="K688">
        <f t="shared" si="41"/>
        <v>347</v>
      </c>
    </row>
    <row r="689" spans="1:11" x14ac:dyDescent="0.2">
      <c r="A689" s="106">
        <f>_xlfn.XLOOKUP(B689,pratos!B:B,pratos!A:A,"não")</f>
        <v>319</v>
      </c>
      <c r="B689" s="111" t="s">
        <v>101</v>
      </c>
      <c r="C689" s="105">
        <f>_xlfn.XLOOKUP(D689,ingredientes!B:B,ingredientes!A:A,"não")</f>
        <v>42</v>
      </c>
      <c r="D689" s="29" t="s">
        <v>103</v>
      </c>
      <c r="E689" s="17">
        <v>5</v>
      </c>
      <c r="H689">
        <f t="shared" si="38"/>
        <v>319</v>
      </c>
      <c r="I689">
        <f t="shared" si="39"/>
        <v>42</v>
      </c>
      <c r="J689">
        <f t="shared" si="40"/>
        <v>5</v>
      </c>
      <c r="K689">
        <f t="shared" si="41"/>
        <v>361</v>
      </c>
    </row>
    <row r="690" spans="1:11" x14ac:dyDescent="0.2">
      <c r="A690" s="106">
        <f>_xlfn.XLOOKUP(B690,pratos!B:B,pratos!A:A,"não")</f>
        <v>319</v>
      </c>
      <c r="B690" s="111" t="s">
        <v>101</v>
      </c>
      <c r="C690" s="105">
        <f>_xlfn.XLOOKUP(D690,ingredientes!B:B,ingredientes!A:A,"não")</f>
        <v>75</v>
      </c>
      <c r="D690" s="11" t="s">
        <v>48</v>
      </c>
      <c r="E690" s="17">
        <v>50</v>
      </c>
      <c r="H690">
        <f t="shared" si="38"/>
        <v>319</v>
      </c>
      <c r="I690">
        <f t="shared" si="39"/>
        <v>75</v>
      </c>
      <c r="J690">
        <f t="shared" si="40"/>
        <v>50</v>
      </c>
      <c r="K690">
        <f t="shared" si="41"/>
        <v>394</v>
      </c>
    </row>
    <row r="691" spans="1:11" x14ac:dyDescent="0.2">
      <c r="A691" s="106">
        <f>_xlfn.XLOOKUP(B691,pratos!B:B,pratos!A:A,"não")</f>
        <v>319</v>
      </c>
      <c r="B691" s="111" t="s">
        <v>101</v>
      </c>
      <c r="C691" s="105">
        <f>_xlfn.XLOOKUP(D691,ingredientes!B:B,ingredientes!A:A,"não")</f>
        <v>75</v>
      </c>
      <c r="D691" s="11" t="s">
        <v>48</v>
      </c>
      <c r="E691" s="10">
        <v>100</v>
      </c>
      <c r="H691">
        <f t="shared" si="38"/>
        <v>319</v>
      </c>
      <c r="I691">
        <f t="shared" si="39"/>
        <v>75</v>
      </c>
      <c r="J691">
        <f t="shared" si="40"/>
        <v>100</v>
      </c>
      <c r="K691">
        <f t="shared" si="41"/>
        <v>394</v>
      </c>
    </row>
    <row r="692" spans="1:11" x14ac:dyDescent="0.2">
      <c r="A692" s="106">
        <f>_xlfn.XLOOKUP(B692,pratos!B:B,pratos!A:A,"não")</f>
        <v>319</v>
      </c>
      <c r="B692" s="111" t="s">
        <v>101</v>
      </c>
      <c r="C692" s="105">
        <f>_xlfn.XLOOKUP(D692,ingredientes!B:B,ingredientes!A:A,"não")</f>
        <v>180</v>
      </c>
      <c r="D692" s="20" t="s">
        <v>76</v>
      </c>
      <c r="E692" s="27">
        <v>10</v>
      </c>
      <c r="H692">
        <f t="shared" si="38"/>
        <v>319</v>
      </c>
      <c r="I692">
        <f t="shared" si="39"/>
        <v>180</v>
      </c>
      <c r="J692">
        <f t="shared" si="40"/>
        <v>10</v>
      </c>
      <c r="K692">
        <f t="shared" si="41"/>
        <v>499</v>
      </c>
    </row>
    <row r="693" spans="1:11" x14ac:dyDescent="0.2">
      <c r="A693" s="106">
        <f>_xlfn.XLOOKUP(B693,pratos!B:B,pratos!A:A,"não")</f>
        <v>320</v>
      </c>
      <c r="B693" s="111" t="s">
        <v>111</v>
      </c>
      <c r="C693" s="105">
        <f>_xlfn.XLOOKUP(D693,ingredientes!B:B,ingredientes!A:A,"não")</f>
        <v>76</v>
      </c>
      <c r="D693" s="20" t="s">
        <v>112</v>
      </c>
      <c r="E693" s="19">
        <v>120</v>
      </c>
      <c r="H693">
        <f t="shared" si="38"/>
        <v>320</v>
      </c>
      <c r="I693">
        <f t="shared" si="39"/>
        <v>76</v>
      </c>
      <c r="J693">
        <f t="shared" si="40"/>
        <v>120</v>
      </c>
      <c r="K693">
        <f t="shared" si="41"/>
        <v>396</v>
      </c>
    </row>
    <row r="694" spans="1:11" x14ac:dyDescent="0.2">
      <c r="A694" s="106">
        <f>_xlfn.XLOOKUP(B694,pratos!B:B,pratos!A:A,"não")</f>
        <v>321</v>
      </c>
      <c r="B694" s="130" t="s">
        <v>420</v>
      </c>
      <c r="C694" s="105">
        <f>_xlfn.XLOOKUP(D694,ingredientes!B:B,ingredientes!A:A,"não")</f>
        <v>24</v>
      </c>
      <c r="D694" s="80" t="s">
        <v>102</v>
      </c>
      <c r="E694" s="10">
        <v>1</v>
      </c>
      <c r="H694">
        <f t="shared" si="38"/>
        <v>321</v>
      </c>
      <c r="I694">
        <f t="shared" si="39"/>
        <v>24</v>
      </c>
      <c r="J694">
        <f t="shared" si="40"/>
        <v>1</v>
      </c>
      <c r="K694">
        <f t="shared" si="41"/>
        <v>345</v>
      </c>
    </row>
    <row r="695" spans="1:11" x14ac:dyDescent="0.2">
      <c r="A695" s="106">
        <f>_xlfn.XLOOKUP(B695,pratos!B:B,pratos!A:A,"não")</f>
        <v>321</v>
      </c>
      <c r="B695" s="130" t="s">
        <v>420</v>
      </c>
      <c r="C695" s="105">
        <f>_xlfn.XLOOKUP(D695,ingredientes!B:B,ingredientes!A:A,"não")</f>
        <v>75</v>
      </c>
      <c r="D695" s="79" t="s">
        <v>48</v>
      </c>
      <c r="E695" s="10">
        <v>150</v>
      </c>
      <c r="H695">
        <f t="shared" si="38"/>
        <v>321</v>
      </c>
      <c r="I695">
        <f t="shared" si="39"/>
        <v>75</v>
      </c>
      <c r="J695">
        <f t="shared" si="40"/>
        <v>150</v>
      </c>
      <c r="K695">
        <f t="shared" si="41"/>
        <v>396</v>
      </c>
    </row>
    <row r="696" spans="1:11" x14ac:dyDescent="0.2">
      <c r="A696" s="106">
        <f>_xlfn.XLOOKUP(B696,pratos!B:B,pratos!A:A,"não")</f>
        <v>321</v>
      </c>
      <c r="B696" s="130" t="s">
        <v>420</v>
      </c>
      <c r="C696" s="105">
        <f>_xlfn.XLOOKUP(D696,ingredientes!B:B,ingredientes!A:A,"não")</f>
        <v>113</v>
      </c>
      <c r="D696" s="80" t="s">
        <v>368</v>
      </c>
      <c r="E696" s="10">
        <v>5</v>
      </c>
      <c r="H696">
        <f t="shared" si="38"/>
        <v>321</v>
      </c>
      <c r="I696">
        <f t="shared" si="39"/>
        <v>113</v>
      </c>
      <c r="J696">
        <f t="shared" si="40"/>
        <v>5</v>
      </c>
      <c r="K696">
        <f t="shared" si="41"/>
        <v>434</v>
      </c>
    </row>
    <row r="697" spans="1:11" x14ac:dyDescent="0.2">
      <c r="A697" s="106">
        <f>_xlfn.XLOOKUP(B697,pratos!B:B,pratos!A:A,"não")</f>
        <v>322</v>
      </c>
      <c r="B697" s="116" t="s">
        <v>570</v>
      </c>
      <c r="C697" s="105">
        <f>_xlfn.XLOOKUP(D697,ingredientes!B:B,ingredientes!A:A,"não")</f>
        <v>189</v>
      </c>
      <c r="D697" s="97" t="s">
        <v>84</v>
      </c>
      <c r="E697" s="82">
        <v>100</v>
      </c>
      <c r="H697">
        <f t="shared" si="38"/>
        <v>322</v>
      </c>
      <c r="I697">
        <f t="shared" si="39"/>
        <v>189</v>
      </c>
      <c r="J697">
        <f t="shared" si="40"/>
        <v>100</v>
      </c>
      <c r="K697">
        <f t="shared" si="41"/>
        <v>511</v>
      </c>
    </row>
    <row r="698" spans="1:11" x14ac:dyDescent="0.2">
      <c r="A698" s="106">
        <f>_xlfn.XLOOKUP(B698,pratos!B:B,pratos!A:A,"não")</f>
        <v>323</v>
      </c>
      <c r="B698" s="109" t="s">
        <v>432</v>
      </c>
      <c r="C698" s="105">
        <f>_xlfn.XLOOKUP(D698,ingredientes!B:B,ingredientes!A:A,"não")</f>
        <v>93</v>
      </c>
      <c r="D698" s="9" t="s">
        <v>435</v>
      </c>
      <c r="E698" s="10">
        <v>5</v>
      </c>
      <c r="H698">
        <f t="shared" si="38"/>
        <v>323</v>
      </c>
      <c r="I698">
        <f t="shared" si="39"/>
        <v>93</v>
      </c>
      <c r="J698">
        <f t="shared" si="40"/>
        <v>5</v>
      </c>
      <c r="K698">
        <f t="shared" si="41"/>
        <v>416</v>
      </c>
    </row>
    <row r="699" spans="1:11" x14ac:dyDescent="0.2">
      <c r="A699" s="106">
        <f>_xlfn.XLOOKUP(B699,pratos!B:B,pratos!A:A,"não")</f>
        <v>323</v>
      </c>
      <c r="B699" s="109" t="s">
        <v>432</v>
      </c>
      <c r="C699" s="105">
        <f>_xlfn.XLOOKUP(D699,ingredientes!B:B,ingredientes!A:A,"não")</f>
        <v>245</v>
      </c>
      <c r="D699" s="9" t="s">
        <v>444</v>
      </c>
      <c r="E699" s="82">
        <v>50</v>
      </c>
      <c r="H699">
        <f t="shared" si="38"/>
        <v>323</v>
      </c>
      <c r="I699">
        <f t="shared" si="39"/>
        <v>245</v>
      </c>
      <c r="J699">
        <f t="shared" si="40"/>
        <v>50</v>
      </c>
      <c r="K699">
        <f t="shared" si="41"/>
        <v>568</v>
      </c>
    </row>
    <row r="700" spans="1:11" x14ac:dyDescent="0.2">
      <c r="A700" s="106">
        <f>_xlfn.XLOOKUP(B700,pratos!B:B,pratos!A:A,"não")</f>
        <v>323</v>
      </c>
      <c r="B700" s="109" t="s">
        <v>432</v>
      </c>
      <c r="C700" s="105">
        <f>_xlfn.XLOOKUP(D700,ingredientes!B:B,ingredientes!A:A,"não")</f>
        <v>247</v>
      </c>
      <c r="D700" s="61" t="s">
        <v>433</v>
      </c>
      <c r="E700" s="82">
        <v>50</v>
      </c>
      <c r="H700">
        <f t="shared" si="38"/>
        <v>323</v>
      </c>
      <c r="I700">
        <f t="shared" si="39"/>
        <v>247</v>
      </c>
      <c r="J700">
        <f t="shared" si="40"/>
        <v>50</v>
      </c>
      <c r="K700">
        <f t="shared" si="41"/>
        <v>570</v>
      </c>
    </row>
    <row r="701" spans="1:11" x14ac:dyDescent="0.2">
      <c r="A701" s="106">
        <f>_xlfn.XLOOKUP(B701,pratos!B:B,pratos!A:A,"não")</f>
        <v>323</v>
      </c>
      <c r="B701" s="109" t="s">
        <v>432</v>
      </c>
      <c r="C701" s="105">
        <f>_xlfn.XLOOKUP(D701,ingredientes!B:B,ingredientes!A:A,"não")</f>
        <v>247</v>
      </c>
      <c r="D701" s="61" t="s">
        <v>433</v>
      </c>
      <c r="E701" s="88">
        <v>25</v>
      </c>
      <c r="H701">
        <f t="shared" si="38"/>
        <v>323</v>
      </c>
      <c r="I701">
        <f t="shared" si="39"/>
        <v>247</v>
      </c>
      <c r="J701">
        <f t="shared" si="40"/>
        <v>25</v>
      </c>
      <c r="K701">
        <f t="shared" si="41"/>
        <v>570</v>
      </c>
    </row>
    <row r="702" spans="1:11" x14ac:dyDescent="0.2">
      <c r="A702" s="106">
        <f>_xlfn.XLOOKUP(B702,pratos!B:B,pratos!A:A,"não")</f>
        <v>323</v>
      </c>
      <c r="B702" s="109" t="s">
        <v>432</v>
      </c>
      <c r="C702" s="105">
        <f>_xlfn.XLOOKUP(D702,ingredientes!B:B,ingredientes!A:A,"não")</f>
        <v>310</v>
      </c>
      <c r="D702" s="9" t="s">
        <v>150</v>
      </c>
      <c r="E702" s="82">
        <v>50</v>
      </c>
      <c r="H702">
        <f t="shared" si="38"/>
        <v>323</v>
      </c>
      <c r="I702">
        <f t="shared" si="39"/>
        <v>310</v>
      </c>
      <c r="J702">
        <f t="shared" si="40"/>
        <v>50</v>
      </c>
      <c r="K702">
        <f t="shared" si="41"/>
        <v>633</v>
      </c>
    </row>
    <row r="703" spans="1:11" x14ac:dyDescent="0.2">
      <c r="A703" s="106">
        <f>_xlfn.XLOOKUP(B703,pratos!B:B,pratos!A:A,"não")</f>
        <v>323</v>
      </c>
      <c r="B703" s="109" t="s">
        <v>432</v>
      </c>
      <c r="C703" s="105">
        <f>_xlfn.XLOOKUP(D703,ingredientes!B:B,ingredientes!A:A,"não")</f>
        <v>314</v>
      </c>
      <c r="D703" s="83" t="s">
        <v>434</v>
      </c>
      <c r="E703" s="82">
        <v>50</v>
      </c>
      <c r="H703">
        <f t="shared" si="38"/>
        <v>323</v>
      </c>
      <c r="I703">
        <f t="shared" si="39"/>
        <v>314</v>
      </c>
      <c r="J703">
        <f t="shared" si="40"/>
        <v>50</v>
      </c>
      <c r="K703">
        <f t="shared" si="41"/>
        <v>637</v>
      </c>
    </row>
    <row r="704" spans="1:11" x14ac:dyDescent="0.2">
      <c r="A704" s="106">
        <f>_xlfn.XLOOKUP(B704,pratos!B:B,pratos!A:A,"não")</f>
        <v>323</v>
      </c>
      <c r="B704" s="109" t="s">
        <v>432</v>
      </c>
      <c r="C704" s="105">
        <f>_xlfn.XLOOKUP(D704,ingredientes!B:B,ingredientes!A:A,"não")</f>
        <v>314</v>
      </c>
      <c r="D704" s="83" t="s">
        <v>434</v>
      </c>
      <c r="E704" s="88">
        <v>25</v>
      </c>
      <c r="H704">
        <f t="shared" ref="H704:H767" si="42">A704</f>
        <v>323</v>
      </c>
      <c r="I704">
        <f t="shared" ref="I704:I767" si="43">C704</f>
        <v>314</v>
      </c>
      <c r="J704">
        <f t="shared" ref="J704:J767" si="44">E704</f>
        <v>25</v>
      </c>
      <c r="K704">
        <f t="shared" si="41"/>
        <v>637</v>
      </c>
    </row>
    <row r="705" spans="1:11" x14ac:dyDescent="0.2">
      <c r="A705" s="106">
        <f>_xlfn.XLOOKUP(B705,pratos!B:B,pratos!A:A,"não")</f>
        <v>324</v>
      </c>
      <c r="B705" s="111" t="s">
        <v>55</v>
      </c>
      <c r="C705" s="105">
        <f>_xlfn.XLOOKUP(D705,ingredientes!B:B,ingredientes!A:A,"não")</f>
        <v>249</v>
      </c>
      <c r="D705" s="15" t="s">
        <v>55</v>
      </c>
      <c r="E705" s="19">
        <v>200</v>
      </c>
      <c r="H705">
        <f t="shared" si="42"/>
        <v>324</v>
      </c>
      <c r="I705">
        <f t="shared" si="43"/>
        <v>249</v>
      </c>
      <c r="J705">
        <f t="shared" si="44"/>
        <v>200</v>
      </c>
      <c r="K705">
        <f t="shared" si="41"/>
        <v>573</v>
      </c>
    </row>
    <row r="706" spans="1:11" x14ac:dyDescent="0.2">
      <c r="A706" s="106">
        <f>_xlfn.XLOOKUP(B706,pratos!B:B,pratos!A:A,"não")</f>
        <v>324</v>
      </c>
      <c r="B706" s="112" t="s">
        <v>55</v>
      </c>
      <c r="C706" s="105">
        <f>_xlfn.XLOOKUP(D706,ingredientes!B:B,ingredientes!A:A,"não")</f>
        <v>250</v>
      </c>
      <c r="D706" s="29" t="s">
        <v>517</v>
      </c>
      <c r="E706" s="95">
        <v>235</v>
      </c>
      <c r="H706">
        <f t="shared" si="42"/>
        <v>324</v>
      </c>
      <c r="I706">
        <f t="shared" si="43"/>
        <v>250</v>
      </c>
      <c r="J706">
        <f t="shared" si="44"/>
        <v>235</v>
      </c>
      <c r="K706">
        <f t="shared" si="41"/>
        <v>574</v>
      </c>
    </row>
    <row r="707" spans="1:11" x14ac:dyDescent="0.2">
      <c r="A707" s="106">
        <f>_xlfn.XLOOKUP(B707,pratos!B:B,pratos!A:A,"não")</f>
        <v>325</v>
      </c>
      <c r="B707" s="130" t="s">
        <v>495</v>
      </c>
      <c r="C707" s="105">
        <f>_xlfn.XLOOKUP(D707,ingredientes!B:B,ingredientes!A:A,"não")</f>
        <v>249</v>
      </c>
      <c r="D707" s="61" t="s">
        <v>55</v>
      </c>
      <c r="E707" s="88">
        <v>200</v>
      </c>
      <c r="H707">
        <f t="shared" si="42"/>
        <v>325</v>
      </c>
      <c r="I707">
        <f t="shared" si="43"/>
        <v>249</v>
      </c>
      <c r="J707">
        <f t="shared" si="44"/>
        <v>200</v>
      </c>
      <c r="K707">
        <f t="shared" ref="K707:K770" si="45">H707+I707</f>
        <v>574</v>
      </c>
    </row>
    <row r="708" spans="1:11" x14ac:dyDescent="0.2">
      <c r="A708" s="106">
        <f>_xlfn.XLOOKUP(B708,pratos!B:B,pratos!A:A,"não")</f>
        <v>326</v>
      </c>
      <c r="B708" s="52" t="s">
        <v>98</v>
      </c>
      <c r="C708" s="105">
        <f>_xlfn.XLOOKUP(D708,ingredientes!B:B,ingredientes!A:A,"não")</f>
        <v>255</v>
      </c>
      <c r="D708" s="30" t="s">
        <v>682</v>
      </c>
      <c r="E708" s="17">
        <v>100</v>
      </c>
      <c r="H708">
        <f t="shared" si="42"/>
        <v>326</v>
      </c>
      <c r="I708">
        <f t="shared" si="43"/>
        <v>255</v>
      </c>
      <c r="J708">
        <f t="shared" si="44"/>
        <v>100</v>
      </c>
      <c r="K708">
        <f t="shared" si="45"/>
        <v>581</v>
      </c>
    </row>
    <row r="709" spans="1:11" x14ac:dyDescent="0.2">
      <c r="A709" s="106">
        <f>_xlfn.XLOOKUP(B709,pratos!B:B,pratos!A:A,"não")</f>
        <v>327</v>
      </c>
      <c r="B709" s="52" t="s">
        <v>17</v>
      </c>
      <c r="C709" s="105">
        <f>_xlfn.XLOOKUP(D709,ingredientes!B:B,ingredientes!A:A,"não")</f>
        <v>255</v>
      </c>
      <c r="D709" s="30" t="s">
        <v>682</v>
      </c>
      <c r="E709" s="10">
        <v>100</v>
      </c>
      <c r="H709">
        <f t="shared" si="42"/>
        <v>327</v>
      </c>
      <c r="I709">
        <f t="shared" si="43"/>
        <v>255</v>
      </c>
      <c r="J709">
        <f t="shared" si="44"/>
        <v>100</v>
      </c>
      <c r="K709">
        <f t="shared" si="45"/>
        <v>582</v>
      </c>
    </row>
    <row r="710" spans="1:11" x14ac:dyDescent="0.2">
      <c r="A710" s="106">
        <f>_xlfn.XLOOKUP(B710,pratos!B:B,pratos!A:A,"não")</f>
        <v>328</v>
      </c>
      <c r="B710" s="111" t="s">
        <v>192</v>
      </c>
      <c r="C710" s="105">
        <f>_xlfn.XLOOKUP(D710,ingredientes!B:B,ingredientes!A:A,"não")</f>
        <v>257</v>
      </c>
      <c r="D710" s="30" t="s">
        <v>684</v>
      </c>
      <c r="E710" s="19">
        <v>100</v>
      </c>
      <c r="H710">
        <f t="shared" si="42"/>
        <v>328</v>
      </c>
      <c r="I710">
        <f t="shared" si="43"/>
        <v>257</v>
      </c>
      <c r="J710">
        <f t="shared" si="44"/>
        <v>100</v>
      </c>
      <c r="K710">
        <f t="shared" si="45"/>
        <v>585</v>
      </c>
    </row>
    <row r="711" spans="1:11" x14ac:dyDescent="0.2">
      <c r="A711" s="106">
        <f>_xlfn.XLOOKUP(B711,pratos!B:B,pratos!A:A,"não")</f>
        <v>329</v>
      </c>
      <c r="B711" s="123" t="s">
        <v>381</v>
      </c>
      <c r="C711" s="105">
        <f>_xlfn.XLOOKUP(D711,ingredientes!B:B,ingredientes!A:A,"não")</f>
        <v>257</v>
      </c>
      <c r="D711" s="30" t="s">
        <v>684</v>
      </c>
      <c r="E711" s="65">
        <v>100</v>
      </c>
      <c r="H711">
        <f t="shared" si="42"/>
        <v>329</v>
      </c>
      <c r="I711">
        <f t="shared" si="43"/>
        <v>257</v>
      </c>
      <c r="J711">
        <f t="shared" si="44"/>
        <v>100</v>
      </c>
      <c r="K711">
        <f t="shared" si="45"/>
        <v>586</v>
      </c>
    </row>
    <row r="712" spans="1:11" x14ac:dyDescent="0.2">
      <c r="A712" s="106">
        <f>_xlfn.XLOOKUP(B712,pratos!B:B,pratos!A:A,"não")</f>
        <v>330</v>
      </c>
      <c r="B712" s="123" t="s">
        <v>376</v>
      </c>
      <c r="C712" s="105">
        <f>_xlfn.XLOOKUP(D712,ingredientes!B:B,ingredientes!A:A,"não")</f>
        <v>257</v>
      </c>
      <c r="D712" s="30" t="s">
        <v>684</v>
      </c>
      <c r="E712" s="65">
        <v>100</v>
      </c>
      <c r="H712">
        <f t="shared" si="42"/>
        <v>330</v>
      </c>
      <c r="I712">
        <f t="shared" si="43"/>
        <v>257</v>
      </c>
      <c r="J712">
        <f t="shared" si="44"/>
        <v>100</v>
      </c>
      <c r="K712">
        <f t="shared" si="45"/>
        <v>587</v>
      </c>
    </row>
    <row r="713" spans="1:11" x14ac:dyDescent="0.2">
      <c r="A713" s="106">
        <f>_xlfn.XLOOKUP(B713,pratos!B:B,pratos!A:A,"não")</f>
        <v>331</v>
      </c>
      <c r="B713" s="52" t="s">
        <v>257</v>
      </c>
      <c r="C713" s="105">
        <f>_xlfn.XLOOKUP(D713,ingredientes!B:B,ingredientes!A:A,"não")</f>
        <v>159</v>
      </c>
      <c r="D713" s="9" t="s">
        <v>67</v>
      </c>
      <c r="E713" s="41">
        <v>2</v>
      </c>
      <c r="H713">
        <f t="shared" si="42"/>
        <v>331</v>
      </c>
      <c r="I713">
        <f t="shared" si="43"/>
        <v>159</v>
      </c>
      <c r="J713">
        <f t="shared" si="44"/>
        <v>2</v>
      </c>
      <c r="K713">
        <f t="shared" si="45"/>
        <v>490</v>
      </c>
    </row>
    <row r="714" spans="1:11" x14ac:dyDescent="0.2">
      <c r="A714" s="106">
        <f>_xlfn.XLOOKUP(B714,pratos!B:B,pratos!A:A,"não")</f>
        <v>331</v>
      </c>
      <c r="B714" s="52" t="s">
        <v>257</v>
      </c>
      <c r="C714" s="105">
        <f>_xlfn.XLOOKUP(D714,ingredientes!B:B,ingredientes!A:A,"não")</f>
        <v>267</v>
      </c>
      <c r="D714" s="29" t="s">
        <v>142</v>
      </c>
      <c r="E714" s="41">
        <v>40</v>
      </c>
      <c r="H714">
        <f t="shared" si="42"/>
        <v>331</v>
      </c>
      <c r="I714">
        <f t="shared" si="43"/>
        <v>267</v>
      </c>
      <c r="J714">
        <f t="shared" si="44"/>
        <v>40</v>
      </c>
      <c r="K714">
        <f t="shared" si="45"/>
        <v>598</v>
      </c>
    </row>
    <row r="715" spans="1:11" x14ac:dyDescent="0.2">
      <c r="A715" s="106">
        <f>_xlfn.XLOOKUP(B715,pratos!B:B,pratos!A:A,"não")</f>
        <v>332</v>
      </c>
      <c r="B715" s="52" t="s">
        <v>142</v>
      </c>
      <c r="C715" s="105">
        <f>_xlfn.XLOOKUP(D715,ingredientes!B:B,ingredientes!A:A,"não")</f>
        <v>267</v>
      </c>
      <c r="D715" s="35" t="s">
        <v>142</v>
      </c>
      <c r="E715" s="41">
        <v>80</v>
      </c>
      <c r="H715">
        <f t="shared" si="42"/>
        <v>332</v>
      </c>
      <c r="I715">
        <f t="shared" si="43"/>
        <v>267</v>
      </c>
      <c r="J715">
        <f t="shared" si="44"/>
        <v>80</v>
      </c>
      <c r="K715">
        <f t="shared" si="45"/>
        <v>599</v>
      </c>
    </row>
    <row r="716" spans="1:11" x14ac:dyDescent="0.2">
      <c r="A716" s="106">
        <f>_xlfn.XLOOKUP(B716,pratos!B:B,pratos!A:A,"não")</f>
        <v>333</v>
      </c>
      <c r="B716" s="111" t="s">
        <v>201</v>
      </c>
      <c r="C716" s="105">
        <f>_xlfn.XLOOKUP(D716,ingredientes!B:B,ingredientes!A:A,"não")</f>
        <v>268</v>
      </c>
      <c r="D716" s="45" t="s">
        <v>202</v>
      </c>
      <c r="E716" s="19">
        <v>80</v>
      </c>
      <c r="H716">
        <f t="shared" si="42"/>
        <v>333</v>
      </c>
      <c r="I716">
        <f t="shared" si="43"/>
        <v>268</v>
      </c>
      <c r="J716">
        <f t="shared" si="44"/>
        <v>80</v>
      </c>
      <c r="K716">
        <f t="shared" si="45"/>
        <v>601</v>
      </c>
    </row>
    <row r="717" spans="1:11" x14ac:dyDescent="0.2">
      <c r="A717" s="106">
        <f>_xlfn.XLOOKUP(B717,pratos!B:B,pratos!A:A,"não")</f>
        <v>333</v>
      </c>
      <c r="B717" s="111" t="s">
        <v>201</v>
      </c>
      <c r="C717" s="105">
        <f>_xlfn.XLOOKUP(D717,ingredientes!B:B,ingredientes!A:A,"não")</f>
        <v>268</v>
      </c>
      <c r="D717" s="45" t="s">
        <v>202</v>
      </c>
      <c r="E717" s="19">
        <v>60</v>
      </c>
      <c r="H717">
        <f t="shared" si="42"/>
        <v>333</v>
      </c>
      <c r="I717">
        <f t="shared" si="43"/>
        <v>268</v>
      </c>
      <c r="J717">
        <f t="shared" si="44"/>
        <v>60</v>
      </c>
      <c r="K717">
        <f t="shared" si="45"/>
        <v>601</v>
      </c>
    </row>
    <row r="718" spans="1:11" x14ac:dyDescent="0.2">
      <c r="A718" s="106">
        <f>_xlfn.XLOOKUP(B718,pratos!B:B,pratos!A:A,"não")</f>
        <v>334</v>
      </c>
      <c r="B718" s="52" t="s">
        <v>267</v>
      </c>
      <c r="C718" s="105">
        <f>_xlfn.XLOOKUP(D718,ingredientes!B:B,ingredientes!A:A,"não")</f>
        <v>269</v>
      </c>
      <c r="D718" s="9" t="s">
        <v>267</v>
      </c>
      <c r="E718" s="19">
        <v>80</v>
      </c>
      <c r="H718">
        <f t="shared" si="42"/>
        <v>334</v>
      </c>
      <c r="I718">
        <f t="shared" si="43"/>
        <v>269</v>
      </c>
      <c r="J718">
        <f t="shared" si="44"/>
        <v>80</v>
      </c>
      <c r="K718">
        <f t="shared" si="45"/>
        <v>603</v>
      </c>
    </row>
    <row r="719" spans="1:11" x14ac:dyDescent="0.2">
      <c r="A719" s="106">
        <f>_xlfn.XLOOKUP(B719,pratos!B:B,pratos!A:A,"não")</f>
        <v>335</v>
      </c>
      <c r="B719" s="109" t="s">
        <v>477</v>
      </c>
      <c r="C719" s="105">
        <f>_xlfn.XLOOKUP(D719,ingredientes!B:B,ingredientes!A:A,"não")</f>
        <v>32</v>
      </c>
      <c r="D719" s="9" t="s">
        <v>483</v>
      </c>
      <c r="E719" s="10">
        <v>8</v>
      </c>
      <c r="H719">
        <f t="shared" si="42"/>
        <v>335</v>
      </c>
      <c r="I719">
        <f t="shared" si="43"/>
        <v>32</v>
      </c>
      <c r="J719">
        <f t="shared" si="44"/>
        <v>8</v>
      </c>
      <c r="K719">
        <f t="shared" si="45"/>
        <v>367</v>
      </c>
    </row>
    <row r="720" spans="1:11" x14ac:dyDescent="0.2">
      <c r="A720" s="106">
        <f>_xlfn.XLOOKUP(B720,pratos!B:B,pratos!A:A,"não")</f>
        <v>335</v>
      </c>
      <c r="B720" s="52" t="s">
        <v>477</v>
      </c>
      <c r="C720" s="105">
        <f>_xlfn.XLOOKUP(D720,ingredientes!B:B,ingredientes!A:A,"não")</f>
        <v>32</v>
      </c>
      <c r="D720" s="38" t="s">
        <v>483</v>
      </c>
      <c r="E720" s="10">
        <v>8</v>
      </c>
      <c r="H720">
        <f t="shared" si="42"/>
        <v>335</v>
      </c>
      <c r="I720">
        <f t="shared" si="43"/>
        <v>32</v>
      </c>
      <c r="J720">
        <f t="shared" si="44"/>
        <v>8</v>
      </c>
      <c r="K720">
        <f t="shared" si="45"/>
        <v>367</v>
      </c>
    </row>
    <row r="721" spans="1:11" x14ac:dyDescent="0.2">
      <c r="A721" s="106">
        <f>_xlfn.XLOOKUP(B721,pratos!B:B,pratos!A:A,"não")</f>
        <v>335</v>
      </c>
      <c r="B721" s="130" t="s">
        <v>477</v>
      </c>
      <c r="C721" s="105">
        <f>_xlfn.XLOOKUP(D721,ingredientes!B:B,ingredientes!A:A,"não")</f>
        <v>268</v>
      </c>
      <c r="D721" s="61" t="s">
        <v>202</v>
      </c>
      <c r="E721" s="65">
        <v>80</v>
      </c>
      <c r="H721">
        <f t="shared" si="42"/>
        <v>335</v>
      </c>
      <c r="I721">
        <f t="shared" si="43"/>
        <v>268</v>
      </c>
      <c r="J721">
        <f t="shared" si="44"/>
        <v>80</v>
      </c>
      <c r="K721">
        <f t="shared" si="45"/>
        <v>603</v>
      </c>
    </row>
    <row r="722" spans="1:11" x14ac:dyDescent="0.2">
      <c r="A722" s="106">
        <f>_xlfn.XLOOKUP(B722,pratos!B:B,pratos!A:A,"não")</f>
        <v>336</v>
      </c>
      <c r="B722" s="114" t="s">
        <v>163</v>
      </c>
      <c r="C722" s="105">
        <f>_xlfn.XLOOKUP(D722,ingredientes!B:B,ingredientes!A:A,"não")</f>
        <v>271</v>
      </c>
      <c r="D722" s="43" t="s">
        <v>164</v>
      </c>
      <c r="E722" s="44">
        <v>80</v>
      </c>
      <c r="H722">
        <f t="shared" si="42"/>
        <v>336</v>
      </c>
      <c r="I722">
        <f t="shared" si="43"/>
        <v>271</v>
      </c>
      <c r="J722">
        <f t="shared" si="44"/>
        <v>80</v>
      </c>
      <c r="K722">
        <f t="shared" si="45"/>
        <v>607</v>
      </c>
    </row>
    <row r="723" spans="1:11" x14ac:dyDescent="0.2">
      <c r="A723" s="106">
        <f>_xlfn.XLOOKUP(B723,pratos!B:B,pratos!A:A,"não")</f>
        <v>337</v>
      </c>
      <c r="B723" s="116" t="s">
        <v>559</v>
      </c>
      <c r="C723" s="105">
        <f>_xlfn.XLOOKUP(D723,ingredientes!B:B,ingredientes!A:A,"não")</f>
        <v>272</v>
      </c>
      <c r="D723" s="71" t="s">
        <v>559</v>
      </c>
      <c r="E723" s="10">
        <v>80</v>
      </c>
      <c r="H723">
        <f t="shared" si="42"/>
        <v>337</v>
      </c>
      <c r="I723">
        <f t="shared" si="43"/>
        <v>272</v>
      </c>
      <c r="J723">
        <f t="shared" si="44"/>
        <v>80</v>
      </c>
      <c r="K723">
        <f t="shared" si="45"/>
        <v>609</v>
      </c>
    </row>
    <row r="724" spans="1:11" x14ac:dyDescent="0.2">
      <c r="A724" s="106">
        <f>_xlfn.XLOOKUP(B724,pratos!B:B,pratos!A:A,"não")</f>
        <v>338</v>
      </c>
      <c r="B724" s="52" t="s">
        <v>481</v>
      </c>
      <c r="C724" s="105">
        <f>_xlfn.XLOOKUP(D724,ingredientes!B:B,ingredientes!A:A,"não")</f>
        <v>32</v>
      </c>
      <c r="D724" s="38" t="s">
        <v>483</v>
      </c>
      <c r="E724" s="10">
        <v>8</v>
      </c>
      <c r="H724">
        <f t="shared" si="42"/>
        <v>338</v>
      </c>
      <c r="I724">
        <f t="shared" si="43"/>
        <v>32</v>
      </c>
      <c r="J724">
        <f t="shared" si="44"/>
        <v>8</v>
      </c>
      <c r="K724">
        <f t="shared" si="45"/>
        <v>370</v>
      </c>
    </row>
    <row r="725" spans="1:11" x14ac:dyDescent="0.2">
      <c r="A725" s="106">
        <f>_xlfn.XLOOKUP(B725,pratos!B:B,pratos!A:A,"não")</f>
        <v>338</v>
      </c>
      <c r="B725" s="52" t="s">
        <v>481</v>
      </c>
      <c r="C725" s="105">
        <f>_xlfn.XLOOKUP(D725,ingredientes!B:B,ingredientes!A:A,"não")</f>
        <v>273</v>
      </c>
      <c r="D725" s="9" t="s">
        <v>482</v>
      </c>
      <c r="E725" s="10">
        <v>80</v>
      </c>
      <c r="H725">
        <f t="shared" si="42"/>
        <v>338</v>
      </c>
      <c r="I725">
        <f t="shared" si="43"/>
        <v>273</v>
      </c>
      <c r="J725">
        <f t="shared" si="44"/>
        <v>80</v>
      </c>
      <c r="K725">
        <f t="shared" si="45"/>
        <v>611</v>
      </c>
    </row>
    <row r="726" spans="1:11" x14ac:dyDescent="0.2">
      <c r="A726" s="106">
        <f>_xlfn.XLOOKUP(B726,pratos!B:B,pratos!A:A,"não")</f>
        <v>339</v>
      </c>
      <c r="B726" s="117" t="s">
        <v>277</v>
      </c>
      <c r="C726" s="105">
        <f>_xlfn.XLOOKUP(D726,ingredientes!B:B,ingredientes!A:A,"não")</f>
        <v>58</v>
      </c>
      <c r="D726" s="30" t="s">
        <v>618</v>
      </c>
      <c r="E726" s="19">
        <v>100</v>
      </c>
      <c r="H726">
        <f t="shared" si="42"/>
        <v>339</v>
      </c>
      <c r="I726">
        <f t="shared" si="43"/>
        <v>58</v>
      </c>
      <c r="J726">
        <f t="shared" si="44"/>
        <v>100</v>
      </c>
      <c r="K726">
        <f t="shared" si="45"/>
        <v>397</v>
      </c>
    </row>
    <row r="727" spans="1:11" x14ac:dyDescent="0.2">
      <c r="A727" s="106">
        <f>_xlfn.XLOOKUP(B727,pratos!B:B,pratos!A:A,"não")</f>
        <v>340</v>
      </c>
      <c r="B727" s="111" t="s">
        <v>121</v>
      </c>
      <c r="C727" s="105">
        <f>_xlfn.XLOOKUP(D727,ingredientes!B:B,ingredientes!A:A,"não")</f>
        <v>6</v>
      </c>
      <c r="D727" s="30" t="s">
        <v>606</v>
      </c>
      <c r="E727" s="27">
        <v>65</v>
      </c>
      <c r="H727">
        <f t="shared" si="42"/>
        <v>340</v>
      </c>
      <c r="I727">
        <f t="shared" si="43"/>
        <v>6</v>
      </c>
      <c r="J727">
        <f t="shared" si="44"/>
        <v>65</v>
      </c>
      <c r="K727">
        <f t="shared" si="45"/>
        <v>346</v>
      </c>
    </row>
    <row r="728" spans="1:11" x14ac:dyDescent="0.2">
      <c r="A728" s="106">
        <f>_xlfn.XLOOKUP(B728,pratos!B:B,pratos!A:A,"não")</f>
        <v>340</v>
      </c>
      <c r="B728" s="111" t="s">
        <v>121</v>
      </c>
      <c r="C728" s="105">
        <f>_xlfn.XLOOKUP(D728,ingredientes!B:B,ingredientes!A:A,"não")</f>
        <v>177</v>
      </c>
      <c r="D728" s="16" t="s">
        <v>6</v>
      </c>
      <c r="E728" s="26">
        <v>20</v>
      </c>
      <c r="H728">
        <f t="shared" si="42"/>
        <v>340</v>
      </c>
      <c r="I728">
        <f t="shared" si="43"/>
        <v>177</v>
      </c>
      <c r="J728">
        <f t="shared" si="44"/>
        <v>20</v>
      </c>
      <c r="K728">
        <f t="shared" si="45"/>
        <v>517</v>
      </c>
    </row>
    <row r="729" spans="1:11" x14ac:dyDescent="0.2">
      <c r="A729" s="106">
        <f>_xlfn.XLOOKUP(B729,pratos!B:B,pratos!A:A,"não")</f>
        <v>340</v>
      </c>
      <c r="B729" s="111" t="s">
        <v>121</v>
      </c>
      <c r="C729" s="105">
        <f>_xlfn.XLOOKUP(D729,ingredientes!B:B,ingredientes!A:A,"não")</f>
        <v>198</v>
      </c>
      <c r="D729" s="9" t="s">
        <v>4</v>
      </c>
      <c r="E729" s="26">
        <v>5</v>
      </c>
      <c r="H729">
        <f t="shared" si="42"/>
        <v>340</v>
      </c>
      <c r="I729">
        <f t="shared" si="43"/>
        <v>198</v>
      </c>
      <c r="J729">
        <f t="shared" si="44"/>
        <v>5</v>
      </c>
      <c r="K729">
        <f t="shared" si="45"/>
        <v>538</v>
      </c>
    </row>
    <row r="730" spans="1:11" x14ac:dyDescent="0.2">
      <c r="A730" s="106">
        <f>_xlfn.XLOOKUP(B730,pratos!B:B,pratos!A:A,"não")</f>
        <v>341</v>
      </c>
      <c r="B730" s="116" t="s">
        <v>563</v>
      </c>
      <c r="C730" s="105">
        <f>_xlfn.XLOOKUP(D730,ingredientes!B:B,ingredientes!A:A,"não")</f>
        <v>23</v>
      </c>
      <c r="D730" s="30" t="s">
        <v>608</v>
      </c>
      <c r="E730" s="87">
        <v>65</v>
      </c>
      <c r="H730">
        <f t="shared" si="42"/>
        <v>341</v>
      </c>
      <c r="I730">
        <f t="shared" si="43"/>
        <v>23</v>
      </c>
      <c r="J730">
        <f t="shared" si="44"/>
        <v>65</v>
      </c>
      <c r="K730">
        <f t="shared" si="45"/>
        <v>364</v>
      </c>
    </row>
    <row r="731" spans="1:11" x14ac:dyDescent="0.2">
      <c r="A731" s="106">
        <f>_xlfn.XLOOKUP(B731,pratos!B:B,pratos!A:A,"não")</f>
        <v>342</v>
      </c>
      <c r="B731" s="52" t="s">
        <v>160</v>
      </c>
      <c r="C731" s="105">
        <f>_xlfn.XLOOKUP(D731,ingredientes!B:B,ingredientes!A:A,"não")</f>
        <v>23</v>
      </c>
      <c r="D731" s="30" t="s">
        <v>608</v>
      </c>
      <c r="E731" s="10">
        <v>65</v>
      </c>
      <c r="H731">
        <f t="shared" si="42"/>
        <v>342</v>
      </c>
      <c r="I731">
        <f t="shared" si="43"/>
        <v>23</v>
      </c>
      <c r="J731">
        <f t="shared" si="44"/>
        <v>65</v>
      </c>
      <c r="K731">
        <f t="shared" si="45"/>
        <v>365</v>
      </c>
    </row>
    <row r="732" spans="1:11" x14ac:dyDescent="0.2">
      <c r="A732" s="106">
        <f>_xlfn.XLOOKUP(B732,pratos!B:B,pratos!A:A,"não")</f>
        <v>342</v>
      </c>
      <c r="B732" s="52" t="s">
        <v>160</v>
      </c>
      <c r="C732" s="105">
        <f>_xlfn.XLOOKUP(D732,ingredientes!B:B,ingredientes!A:A,"não")</f>
        <v>177</v>
      </c>
      <c r="D732" s="177" t="s">
        <v>6</v>
      </c>
      <c r="E732" s="5">
        <v>20</v>
      </c>
      <c r="H732">
        <f t="shared" si="42"/>
        <v>342</v>
      </c>
      <c r="I732">
        <f t="shared" si="43"/>
        <v>177</v>
      </c>
      <c r="J732">
        <f t="shared" si="44"/>
        <v>20</v>
      </c>
      <c r="K732">
        <f t="shared" si="45"/>
        <v>519</v>
      </c>
    </row>
    <row r="733" spans="1:11" x14ac:dyDescent="0.2">
      <c r="A733" s="106">
        <f>_xlfn.XLOOKUP(B733,pratos!B:B,pratos!A:A,"não")</f>
        <v>342</v>
      </c>
      <c r="B733" s="52" t="s">
        <v>160</v>
      </c>
      <c r="C733" s="105">
        <f>_xlfn.XLOOKUP(D733,ingredientes!B:B,ingredientes!A:A,"não")</f>
        <v>198</v>
      </c>
      <c r="D733" s="177" t="s">
        <v>4</v>
      </c>
      <c r="E733" s="5">
        <v>5</v>
      </c>
      <c r="H733">
        <f t="shared" si="42"/>
        <v>342</v>
      </c>
      <c r="I733">
        <f t="shared" si="43"/>
        <v>198</v>
      </c>
      <c r="J733">
        <f t="shared" si="44"/>
        <v>5</v>
      </c>
      <c r="K733">
        <f t="shared" si="45"/>
        <v>540</v>
      </c>
    </row>
    <row r="734" spans="1:11" x14ac:dyDescent="0.2">
      <c r="A734" s="106">
        <f>_xlfn.XLOOKUP(B734,pratos!B:B,pratos!A:A,"não")</f>
        <v>343</v>
      </c>
      <c r="B734" s="52" t="s">
        <v>152</v>
      </c>
      <c r="C734" s="105">
        <f>_xlfn.XLOOKUP(D734,ingredientes!B:B,ingredientes!A:A,"não")</f>
        <v>23</v>
      </c>
      <c r="D734" s="30" t="s">
        <v>608</v>
      </c>
      <c r="E734" s="10">
        <v>65</v>
      </c>
      <c r="H734">
        <f t="shared" si="42"/>
        <v>343</v>
      </c>
      <c r="I734">
        <f t="shared" si="43"/>
        <v>23</v>
      </c>
      <c r="J734">
        <f t="shared" si="44"/>
        <v>65</v>
      </c>
      <c r="K734">
        <f t="shared" si="45"/>
        <v>366</v>
      </c>
    </row>
    <row r="735" spans="1:11" x14ac:dyDescent="0.2">
      <c r="A735" s="106">
        <f>_xlfn.XLOOKUP(B735,pratos!B:B,pratos!A:A,"não")</f>
        <v>343</v>
      </c>
      <c r="B735" s="52" t="s">
        <v>152</v>
      </c>
      <c r="C735" s="105">
        <f>_xlfn.XLOOKUP(D735,ingredientes!B:B,ingredientes!A:A,"não")</f>
        <v>177</v>
      </c>
      <c r="D735" s="42" t="s">
        <v>6</v>
      </c>
      <c r="E735" s="5">
        <v>20</v>
      </c>
      <c r="H735">
        <f t="shared" si="42"/>
        <v>343</v>
      </c>
      <c r="I735">
        <f t="shared" si="43"/>
        <v>177</v>
      </c>
      <c r="J735">
        <f t="shared" si="44"/>
        <v>20</v>
      </c>
      <c r="K735">
        <f t="shared" si="45"/>
        <v>520</v>
      </c>
    </row>
    <row r="736" spans="1:11" x14ac:dyDescent="0.2">
      <c r="A736" s="106">
        <f>_xlfn.XLOOKUP(B736,pratos!B:B,pratos!A:A,"não")</f>
        <v>343</v>
      </c>
      <c r="B736" s="52" t="s">
        <v>152</v>
      </c>
      <c r="C736" s="105">
        <f>_xlfn.XLOOKUP(D736,ingredientes!B:B,ingredientes!A:A,"não")</f>
        <v>198</v>
      </c>
      <c r="D736" s="42" t="s">
        <v>4</v>
      </c>
      <c r="E736" s="5">
        <v>5</v>
      </c>
      <c r="H736">
        <f t="shared" si="42"/>
        <v>343</v>
      </c>
      <c r="I736">
        <f t="shared" si="43"/>
        <v>198</v>
      </c>
      <c r="J736">
        <f t="shared" si="44"/>
        <v>5</v>
      </c>
      <c r="K736">
        <f t="shared" si="45"/>
        <v>541</v>
      </c>
    </row>
    <row r="737" spans="1:11" x14ac:dyDescent="0.2">
      <c r="A737" s="106">
        <f>_xlfn.XLOOKUP(B737,pratos!B:B,pratos!A:A,"não")</f>
        <v>343</v>
      </c>
      <c r="B737" s="52" t="s">
        <v>152</v>
      </c>
      <c r="C737" s="105">
        <f>_xlfn.XLOOKUP(D737,ingredientes!B:B,ingredientes!A:A,"não")</f>
        <v>277</v>
      </c>
      <c r="D737" s="20" t="s">
        <v>29</v>
      </c>
      <c r="E737" s="10">
        <v>10</v>
      </c>
      <c r="H737">
        <f t="shared" si="42"/>
        <v>343</v>
      </c>
      <c r="I737">
        <f t="shared" si="43"/>
        <v>277</v>
      </c>
      <c r="J737">
        <f t="shared" si="44"/>
        <v>10</v>
      </c>
      <c r="K737">
        <f t="shared" si="45"/>
        <v>620</v>
      </c>
    </row>
    <row r="738" spans="1:11" x14ac:dyDescent="0.2">
      <c r="A738" s="106">
        <f>_xlfn.XLOOKUP(B738,pratos!B:B,pratos!A:A,"não")</f>
        <v>344</v>
      </c>
      <c r="B738" s="116" t="s">
        <v>566</v>
      </c>
      <c r="C738" s="105">
        <f>_xlfn.XLOOKUP(D738,ingredientes!B:B,ingredientes!A:A,"não")</f>
        <v>23</v>
      </c>
      <c r="D738" s="30" t="s">
        <v>608</v>
      </c>
      <c r="E738" s="93">
        <v>65</v>
      </c>
      <c r="H738">
        <f t="shared" si="42"/>
        <v>344</v>
      </c>
      <c r="I738">
        <f t="shared" si="43"/>
        <v>23</v>
      </c>
      <c r="J738">
        <f t="shared" si="44"/>
        <v>65</v>
      </c>
      <c r="K738">
        <f t="shared" si="45"/>
        <v>367</v>
      </c>
    </row>
    <row r="739" spans="1:11" x14ac:dyDescent="0.2">
      <c r="A739" s="106">
        <f>_xlfn.XLOOKUP(B739,pratos!B:B,pratos!A:A,"não")</f>
        <v>345</v>
      </c>
      <c r="B739" s="116" t="s">
        <v>246</v>
      </c>
      <c r="C739" s="105">
        <f>_xlfn.XLOOKUP(D739,ingredientes!B:B,ingredientes!A:A,"não")</f>
        <v>177</v>
      </c>
      <c r="D739" s="72" t="s">
        <v>6</v>
      </c>
      <c r="E739" s="65">
        <v>20</v>
      </c>
      <c r="H739">
        <f t="shared" si="42"/>
        <v>345</v>
      </c>
      <c r="I739">
        <f t="shared" si="43"/>
        <v>177</v>
      </c>
      <c r="J739">
        <f t="shared" si="44"/>
        <v>20</v>
      </c>
      <c r="K739">
        <f t="shared" si="45"/>
        <v>522</v>
      </c>
    </row>
    <row r="740" spans="1:11" x14ac:dyDescent="0.2">
      <c r="A740" s="106">
        <f>_xlfn.XLOOKUP(B740,pratos!B:B,pratos!A:A,"não")</f>
        <v>345</v>
      </c>
      <c r="B740" s="111" t="s">
        <v>246</v>
      </c>
      <c r="C740" s="105">
        <f>_xlfn.XLOOKUP(D740,ingredientes!B:B,ingredientes!A:A,"não")</f>
        <v>275</v>
      </c>
      <c r="D740" s="30" t="s">
        <v>686</v>
      </c>
      <c r="E740" s="19">
        <v>100</v>
      </c>
      <c r="H740">
        <f t="shared" si="42"/>
        <v>345</v>
      </c>
      <c r="I740">
        <f t="shared" si="43"/>
        <v>275</v>
      </c>
      <c r="J740">
        <f t="shared" si="44"/>
        <v>100</v>
      </c>
      <c r="K740">
        <f t="shared" si="45"/>
        <v>620</v>
      </c>
    </row>
    <row r="741" spans="1:11" x14ac:dyDescent="0.2">
      <c r="A741" s="106">
        <f>_xlfn.XLOOKUP(B741,pratos!B:B,pratos!A:A,"não")</f>
        <v>345</v>
      </c>
      <c r="B741" s="116" t="s">
        <v>246</v>
      </c>
      <c r="C741" s="105">
        <f>_xlfn.XLOOKUP(D741,ingredientes!B:B,ingredientes!A:A,"não")</f>
        <v>275</v>
      </c>
      <c r="D741" s="30" t="s">
        <v>686</v>
      </c>
      <c r="E741" s="65">
        <v>65</v>
      </c>
      <c r="H741">
        <f t="shared" si="42"/>
        <v>345</v>
      </c>
      <c r="I741">
        <f t="shared" si="43"/>
        <v>275</v>
      </c>
      <c r="J741">
        <f t="shared" si="44"/>
        <v>65</v>
      </c>
      <c r="K741">
        <f t="shared" si="45"/>
        <v>620</v>
      </c>
    </row>
    <row r="742" spans="1:11" x14ac:dyDescent="0.2">
      <c r="A742" s="106">
        <f>_xlfn.XLOOKUP(B742,pratos!B:B,pratos!A:A,"não")</f>
        <v>346</v>
      </c>
      <c r="B742" s="111" t="s">
        <v>194</v>
      </c>
      <c r="C742" s="105">
        <f>_xlfn.XLOOKUP(D742,ingredientes!B:B,ingredientes!A:A,"não")</f>
        <v>52</v>
      </c>
      <c r="D742" s="30" t="s">
        <v>614</v>
      </c>
      <c r="E742" s="10">
        <v>65</v>
      </c>
      <c r="H742">
        <f t="shared" si="42"/>
        <v>346</v>
      </c>
      <c r="I742">
        <f t="shared" si="43"/>
        <v>52</v>
      </c>
      <c r="J742">
        <f t="shared" si="44"/>
        <v>65</v>
      </c>
      <c r="K742">
        <f t="shared" si="45"/>
        <v>398</v>
      </c>
    </row>
    <row r="743" spans="1:11" x14ac:dyDescent="0.2">
      <c r="A743" s="106">
        <f>_xlfn.XLOOKUP(B743,pratos!B:B,pratos!A:A,"não")</f>
        <v>346</v>
      </c>
      <c r="B743" s="116" t="s">
        <v>194</v>
      </c>
      <c r="C743" s="105">
        <f>_xlfn.XLOOKUP(D743,ingredientes!B:B,ingredientes!A:A,"não")</f>
        <v>276</v>
      </c>
      <c r="D743" s="71" t="s">
        <v>194</v>
      </c>
      <c r="E743" s="81">
        <v>65</v>
      </c>
      <c r="H743">
        <f t="shared" si="42"/>
        <v>346</v>
      </c>
      <c r="I743">
        <f t="shared" si="43"/>
        <v>276</v>
      </c>
      <c r="J743">
        <f t="shared" si="44"/>
        <v>65</v>
      </c>
      <c r="K743">
        <f t="shared" si="45"/>
        <v>622</v>
      </c>
    </row>
    <row r="744" spans="1:11" x14ac:dyDescent="0.2">
      <c r="A744" s="106">
        <f>_xlfn.XLOOKUP(B744,pratos!B:B,pratos!A:A,"não")</f>
        <v>347</v>
      </c>
      <c r="B744" s="116" t="s">
        <v>499</v>
      </c>
      <c r="C744" s="105">
        <f>_xlfn.XLOOKUP(D744,ingredientes!B:B,ingredientes!A:A,"não")</f>
        <v>54</v>
      </c>
      <c r="D744" s="92" t="s">
        <v>500</v>
      </c>
      <c r="E744" s="87">
        <v>65</v>
      </c>
      <c r="H744">
        <f t="shared" si="42"/>
        <v>347</v>
      </c>
      <c r="I744">
        <f t="shared" si="43"/>
        <v>54</v>
      </c>
      <c r="J744">
        <f t="shared" si="44"/>
        <v>65</v>
      </c>
      <c r="K744">
        <f t="shared" si="45"/>
        <v>401</v>
      </c>
    </row>
    <row r="745" spans="1:11" x14ac:dyDescent="0.2">
      <c r="A745" s="106">
        <f>_xlfn.XLOOKUP(B745,pratos!B:B,pratos!A:A,"não")</f>
        <v>348</v>
      </c>
      <c r="B745" s="111" t="s">
        <v>178</v>
      </c>
      <c r="C745" s="105">
        <f>_xlfn.XLOOKUP(D745,ingredientes!B:B,ingredientes!A:A,"não")</f>
        <v>58</v>
      </c>
      <c r="D745" s="30" t="s">
        <v>618</v>
      </c>
      <c r="E745" s="10">
        <v>65</v>
      </c>
      <c r="H745">
        <f t="shared" si="42"/>
        <v>348</v>
      </c>
      <c r="I745">
        <f t="shared" si="43"/>
        <v>58</v>
      </c>
      <c r="J745">
        <f t="shared" si="44"/>
        <v>65</v>
      </c>
      <c r="K745">
        <f t="shared" si="45"/>
        <v>406</v>
      </c>
    </row>
    <row r="746" spans="1:11" x14ac:dyDescent="0.2">
      <c r="A746" s="106">
        <f>_xlfn.XLOOKUP(B746,pratos!B:B,pratos!A:A,"não")</f>
        <v>348</v>
      </c>
      <c r="B746" s="116" t="s">
        <v>178</v>
      </c>
      <c r="C746" s="105">
        <f>_xlfn.XLOOKUP(D746,ingredientes!B:B,ingredientes!A:A,"não")</f>
        <v>58</v>
      </c>
      <c r="D746" s="30" t="s">
        <v>618</v>
      </c>
      <c r="E746" s="65">
        <v>100</v>
      </c>
      <c r="H746">
        <f t="shared" si="42"/>
        <v>348</v>
      </c>
      <c r="I746">
        <f t="shared" si="43"/>
        <v>58</v>
      </c>
      <c r="J746">
        <f t="shared" si="44"/>
        <v>100</v>
      </c>
      <c r="K746">
        <f t="shared" si="45"/>
        <v>406</v>
      </c>
    </row>
    <row r="747" spans="1:11" x14ac:dyDescent="0.2">
      <c r="A747" s="106">
        <f>_xlfn.XLOOKUP(B747,pratos!B:B,pratos!A:A,"não")</f>
        <v>349</v>
      </c>
      <c r="B747" s="111" t="s">
        <v>116</v>
      </c>
      <c r="C747" s="105">
        <f>_xlfn.XLOOKUP(D747,ingredientes!B:B,ingredientes!A:A,"não")</f>
        <v>96</v>
      </c>
      <c r="D747" s="30" t="s">
        <v>641</v>
      </c>
      <c r="E747" s="19">
        <v>65</v>
      </c>
      <c r="H747">
        <f t="shared" si="42"/>
        <v>349</v>
      </c>
      <c r="I747">
        <f t="shared" si="43"/>
        <v>96</v>
      </c>
      <c r="J747">
        <f t="shared" si="44"/>
        <v>65</v>
      </c>
      <c r="K747">
        <f t="shared" si="45"/>
        <v>445</v>
      </c>
    </row>
    <row r="748" spans="1:11" x14ac:dyDescent="0.2">
      <c r="A748" s="106">
        <f>_xlfn.XLOOKUP(B748,pratos!B:B,pratos!A:A,"não")</f>
        <v>349</v>
      </c>
      <c r="B748" s="111" t="s">
        <v>116</v>
      </c>
      <c r="C748" s="105">
        <f>_xlfn.XLOOKUP(D748,ingredientes!B:B,ingredientes!A:A,"não")</f>
        <v>177</v>
      </c>
      <c r="D748" s="16" t="s">
        <v>6</v>
      </c>
      <c r="E748" s="5">
        <v>20</v>
      </c>
      <c r="H748">
        <f t="shared" si="42"/>
        <v>349</v>
      </c>
      <c r="I748">
        <f t="shared" si="43"/>
        <v>177</v>
      </c>
      <c r="J748">
        <f t="shared" si="44"/>
        <v>20</v>
      </c>
      <c r="K748">
        <f t="shared" si="45"/>
        <v>526</v>
      </c>
    </row>
    <row r="749" spans="1:11" x14ac:dyDescent="0.2">
      <c r="A749" s="106">
        <f>_xlfn.XLOOKUP(B749,pratos!B:B,pratos!A:A,"não")</f>
        <v>349</v>
      </c>
      <c r="B749" s="111" t="s">
        <v>116</v>
      </c>
      <c r="C749" s="105">
        <f>_xlfn.XLOOKUP(D749,ingredientes!B:B,ingredientes!A:A,"não")</f>
        <v>198</v>
      </c>
      <c r="D749" s="9" t="s">
        <v>4</v>
      </c>
      <c r="E749" s="5">
        <v>5</v>
      </c>
      <c r="H749">
        <f t="shared" si="42"/>
        <v>349</v>
      </c>
      <c r="I749">
        <f t="shared" si="43"/>
        <v>198</v>
      </c>
      <c r="J749">
        <f t="shared" si="44"/>
        <v>5</v>
      </c>
      <c r="K749">
        <f t="shared" si="45"/>
        <v>547</v>
      </c>
    </row>
    <row r="750" spans="1:11" x14ac:dyDescent="0.2">
      <c r="A750" s="106">
        <f>_xlfn.XLOOKUP(B750,pratos!B:B,pratos!A:A,"não")</f>
        <v>350</v>
      </c>
      <c r="B750" s="111" t="s">
        <v>372</v>
      </c>
      <c r="C750" s="105">
        <f>_xlfn.XLOOKUP(D750,ingredientes!B:B,ingredientes!A:A,"não")</f>
        <v>169</v>
      </c>
      <c r="D750" s="30" t="s">
        <v>666</v>
      </c>
      <c r="E750" s="19">
        <v>65</v>
      </c>
      <c r="H750">
        <f t="shared" si="42"/>
        <v>350</v>
      </c>
      <c r="I750">
        <f t="shared" si="43"/>
        <v>169</v>
      </c>
      <c r="J750">
        <f t="shared" si="44"/>
        <v>65</v>
      </c>
      <c r="K750">
        <f t="shared" si="45"/>
        <v>519</v>
      </c>
    </row>
    <row r="751" spans="1:11" x14ac:dyDescent="0.2">
      <c r="A751" s="106">
        <f>_xlfn.XLOOKUP(B751,pratos!B:B,pratos!A:A,"não")</f>
        <v>351</v>
      </c>
      <c r="B751" s="128" t="s">
        <v>427</v>
      </c>
      <c r="C751" s="105">
        <f>_xlfn.XLOOKUP(D751,ingredientes!B:B,ingredientes!A:A,"não")</f>
        <v>58</v>
      </c>
      <c r="D751" s="30" t="s">
        <v>618</v>
      </c>
      <c r="E751" s="31">
        <v>35</v>
      </c>
      <c r="H751">
        <f t="shared" si="42"/>
        <v>351</v>
      </c>
      <c r="I751">
        <f t="shared" si="43"/>
        <v>58</v>
      </c>
      <c r="J751">
        <f t="shared" si="44"/>
        <v>35</v>
      </c>
      <c r="K751">
        <f t="shared" si="45"/>
        <v>409</v>
      </c>
    </row>
    <row r="752" spans="1:11" x14ac:dyDescent="0.2">
      <c r="A752" s="106">
        <f>_xlfn.XLOOKUP(B752,pratos!B:B,pratos!A:A,"não")</f>
        <v>351</v>
      </c>
      <c r="B752" s="128" t="s">
        <v>427</v>
      </c>
      <c r="C752" s="105">
        <f>_xlfn.XLOOKUP(D752,ingredientes!B:B,ingredientes!A:A,"não")</f>
        <v>64</v>
      </c>
      <c r="D752" s="30" t="s">
        <v>624</v>
      </c>
      <c r="E752" s="17">
        <v>35</v>
      </c>
      <c r="H752">
        <f t="shared" si="42"/>
        <v>351</v>
      </c>
      <c r="I752">
        <f t="shared" si="43"/>
        <v>64</v>
      </c>
      <c r="J752">
        <f t="shared" si="44"/>
        <v>35</v>
      </c>
      <c r="K752">
        <f t="shared" si="45"/>
        <v>415</v>
      </c>
    </row>
    <row r="753" spans="1:11" x14ac:dyDescent="0.2">
      <c r="A753" s="106">
        <f>_xlfn.XLOOKUP(B753,pratos!B:B,pratos!A:A,"não")</f>
        <v>352</v>
      </c>
      <c r="B753" s="116" t="s">
        <v>484</v>
      </c>
      <c r="C753" s="105">
        <f>_xlfn.XLOOKUP(D753,ingredientes!B:B,ingredientes!A:A,"não")</f>
        <v>3</v>
      </c>
      <c r="D753" s="30" t="s">
        <v>604</v>
      </c>
      <c r="E753" s="10">
        <v>50</v>
      </c>
      <c r="H753">
        <f t="shared" si="42"/>
        <v>352</v>
      </c>
      <c r="I753">
        <f t="shared" si="43"/>
        <v>3</v>
      </c>
      <c r="J753">
        <f t="shared" si="44"/>
        <v>50</v>
      </c>
      <c r="K753">
        <f t="shared" si="45"/>
        <v>355</v>
      </c>
    </row>
    <row r="754" spans="1:11" x14ac:dyDescent="0.2">
      <c r="A754" s="106">
        <f>_xlfn.XLOOKUP(B754,pratos!B:B,pratos!A:A,"não")</f>
        <v>352</v>
      </c>
      <c r="B754" s="116" t="s">
        <v>484</v>
      </c>
      <c r="C754" s="105">
        <f>_xlfn.XLOOKUP(D754,ingredientes!B:B,ingredientes!A:A,"não")</f>
        <v>281</v>
      </c>
      <c r="D754" s="30" t="s">
        <v>688</v>
      </c>
      <c r="E754" s="10">
        <v>50</v>
      </c>
      <c r="H754">
        <f t="shared" si="42"/>
        <v>352</v>
      </c>
      <c r="I754">
        <f t="shared" si="43"/>
        <v>281</v>
      </c>
      <c r="J754">
        <f t="shared" si="44"/>
        <v>50</v>
      </c>
      <c r="K754">
        <f t="shared" si="45"/>
        <v>633</v>
      </c>
    </row>
    <row r="755" spans="1:11" x14ac:dyDescent="0.2">
      <c r="A755" s="106">
        <f>_xlfn.XLOOKUP(B755,pratos!B:B,pratos!A:A,"não")</f>
        <v>353</v>
      </c>
      <c r="B755" s="52" t="s">
        <v>165</v>
      </c>
      <c r="C755" s="105">
        <f>_xlfn.XLOOKUP(D755,ingredientes!B:B,ingredientes!A:A,"não")</f>
        <v>283</v>
      </c>
      <c r="D755" s="30" t="s">
        <v>690</v>
      </c>
      <c r="E755" s="10">
        <v>100</v>
      </c>
      <c r="H755">
        <f t="shared" si="42"/>
        <v>353</v>
      </c>
      <c r="I755">
        <f t="shared" si="43"/>
        <v>283</v>
      </c>
      <c r="J755">
        <f t="shared" si="44"/>
        <v>100</v>
      </c>
      <c r="K755">
        <f t="shared" si="45"/>
        <v>636</v>
      </c>
    </row>
    <row r="756" spans="1:11" x14ac:dyDescent="0.2">
      <c r="A756" s="106">
        <f>_xlfn.XLOOKUP(B756,pratos!B:B,pratos!A:A,"não")</f>
        <v>354</v>
      </c>
      <c r="B756" s="109" t="s">
        <v>479</v>
      </c>
      <c r="C756" s="105">
        <f>_xlfn.XLOOKUP(D756,ingredientes!B:B,ingredientes!A:A,"não")</f>
        <v>284</v>
      </c>
      <c r="D756" s="8" t="s">
        <v>479</v>
      </c>
      <c r="E756" s="68">
        <v>100</v>
      </c>
      <c r="H756">
        <f t="shared" si="42"/>
        <v>354</v>
      </c>
      <c r="I756">
        <f t="shared" si="43"/>
        <v>284</v>
      </c>
      <c r="J756">
        <f t="shared" si="44"/>
        <v>100</v>
      </c>
      <c r="K756">
        <f t="shared" si="45"/>
        <v>638</v>
      </c>
    </row>
    <row r="757" spans="1:11" x14ac:dyDescent="0.2">
      <c r="A757" s="106">
        <f>_xlfn.XLOOKUP(B757,pratos!B:B,pratos!A:A,"não")</f>
        <v>355</v>
      </c>
      <c r="B757" s="52" t="s">
        <v>219</v>
      </c>
      <c r="C757" s="105">
        <f>_xlfn.XLOOKUP(D757,ingredientes!B:B,ingredientes!A:A,"não")</f>
        <v>285</v>
      </c>
      <c r="D757" s="9" t="s">
        <v>220</v>
      </c>
      <c r="E757" s="10">
        <v>100</v>
      </c>
      <c r="H757">
        <f t="shared" si="42"/>
        <v>355</v>
      </c>
      <c r="I757">
        <f t="shared" si="43"/>
        <v>285</v>
      </c>
      <c r="J757">
        <f t="shared" si="44"/>
        <v>100</v>
      </c>
      <c r="K757">
        <f t="shared" si="45"/>
        <v>640</v>
      </c>
    </row>
    <row r="758" spans="1:11" x14ac:dyDescent="0.2">
      <c r="A758" s="106">
        <f>_xlfn.XLOOKUP(B758,pratos!B:B,pratos!A:A,"não")</f>
        <v>356</v>
      </c>
      <c r="B758" s="109" t="s">
        <v>439</v>
      </c>
      <c r="C758" s="105">
        <f>_xlfn.XLOOKUP(D758,ingredientes!B:B,ingredientes!A:A,"não")</f>
        <v>174</v>
      </c>
      <c r="D758" s="9" t="s">
        <v>137</v>
      </c>
      <c r="E758" s="17">
        <v>40</v>
      </c>
      <c r="H758">
        <f t="shared" si="42"/>
        <v>356</v>
      </c>
      <c r="I758">
        <f t="shared" si="43"/>
        <v>174</v>
      </c>
      <c r="J758">
        <f t="shared" si="44"/>
        <v>40</v>
      </c>
      <c r="K758">
        <f t="shared" si="45"/>
        <v>530</v>
      </c>
    </row>
    <row r="759" spans="1:11" x14ac:dyDescent="0.2">
      <c r="A759" s="106">
        <f>_xlfn.XLOOKUP(B759,pratos!B:B,pratos!A:A,"não")</f>
        <v>356</v>
      </c>
      <c r="B759" s="109" t="s">
        <v>439</v>
      </c>
      <c r="C759" s="105">
        <f>_xlfn.XLOOKUP(D759,ingredientes!B:B,ingredientes!A:A,"não")</f>
        <v>287</v>
      </c>
      <c r="D759" s="61" t="s">
        <v>440</v>
      </c>
      <c r="E759" s="17">
        <v>60</v>
      </c>
      <c r="H759">
        <f t="shared" si="42"/>
        <v>356</v>
      </c>
      <c r="I759">
        <f t="shared" si="43"/>
        <v>287</v>
      </c>
      <c r="J759">
        <f t="shared" si="44"/>
        <v>60</v>
      </c>
      <c r="K759">
        <f t="shared" si="45"/>
        <v>643</v>
      </c>
    </row>
    <row r="760" spans="1:11" x14ac:dyDescent="0.2">
      <c r="A760" s="106">
        <f>_xlfn.XLOOKUP(B760,pratos!B:B,pratos!A:A,"não")</f>
        <v>356</v>
      </c>
      <c r="B760" s="109" t="s">
        <v>439</v>
      </c>
      <c r="C760" s="105">
        <f>_xlfn.XLOOKUP(D760,ingredientes!B:B,ingredientes!A:A,"não")</f>
        <v>287</v>
      </c>
      <c r="D760" s="69" t="s">
        <v>440</v>
      </c>
      <c r="E760" s="10">
        <v>50</v>
      </c>
      <c r="H760">
        <f t="shared" si="42"/>
        <v>356</v>
      </c>
      <c r="I760">
        <f t="shared" si="43"/>
        <v>287</v>
      </c>
      <c r="J760">
        <f t="shared" si="44"/>
        <v>50</v>
      </c>
      <c r="K760">
        <f t="shared" si="45"/>
        <v>643</v>
      </c>
    </row>
    <row r="761" spans="1:11" x14ac:dyDescent="0.2">
      <c r="A761" s="106">
        <f>_xlfn.XLOOKUP(B761,pratos!B:B,pratos!A:A,"não")</f>
        <v>357</v>
      </c>
      <c r="B761" s="128" t="s">
        <v>456</v>
      </c>
      <c r="C761" s="105">
        <f>_xlfn.XLOOKUP(D761,ingredientes!B:B,ingredientes!A:A,"não")</f>
        <v>287</v>
      </c>
      <c r="D761" s="61" t="s">
        <v>440</v>
      </c>
      <c r="E761" s="10">
        <v>25</v>
      </c>
      <c r="H761">
        <f t="shared" si="42"/>
        <v>357</v>
      </c>
      <c r="I761">
        <f t="shared" si="43"/>
        <v>287</v>
      </c>
      <c r="J761">
        <f t="shared" si="44"/>
        <v>25</v>
      </c>
      <c r="K761">
        <f t="shared" si="45"/>
        <v>644</v>
      </c>
    </row>
    <row r="762" spans="1:11" x14ac:dyDescent="0.2">
      <c r="A762" s="106">
        <f>_xlfn.XLOOKUP(B762,pratos!B:B,pratos!A:A,"não")</f>
        <v>357</v>
      </c>
      <c r="B762" s="128" t="s">
        <v>456</v>
      </c>
      <c r="C762" s="105">
        <f>_xlfn.XLOOKUP(D762,ingredientes!B:B,ingredientes!A:A,"não")</f>
        <v>310</v>
      </c>
      <c r="D762" s="61" t="s">
        <v>150</v>
      </c>
      <c r="E762" s="82">
        <v>25</v>
      </c>
      <c r="H762">
        <f t="shared" si="42"/>
        <v>357</v>
      </c>
      <c r="I762">
        <f t="shared" si="43"/>
        <v>310</v>
      </c>
      <c r="J762">
        <f t="shared" si="44"/>
        <v>25</v>
      </c>
      <c r="K762">
        <f t="shared" si="45"/>
        <v>667</v>
      </c>
    </row>
    <row r="763" spans="1:11" x14ac:dyDescent="0.2">
      <c r="A763" s="106">
        <f>_xlfn.XLOOKUP(B763,pratos!B:B,pratos!A:A,"não")</f>
        <v>358</v>
      </c>
      <c r="B763" s="52" t="s">
        <v>56</v>
      </c>
      <c r="C763" s="105">
        <f>_xlfn.XLOOKUP(D763,ingredientes!B:B,ingredientes!A:A,"não")</f>
        <v>288</v>
      </c>
      <c r="D763" s="9" t="s">
        <v>57</v>
      </c>
      <c r="E763" s="10">
        <v>100</v>
      </c>
      <c r="H763">
        <f t="shared" si="42"/>
        <v>358</v>
      </c>
      <c r="I763">
        <f t="shared" si="43"/>
        <v>288</v>
      </c>
      <c r="J763">
        <f t="shared" si="44"/>
        <v>100</v>
      </c>
      <c r="K763">
        <f t="shared" si="45"/>
        <v>646</v>
      </c>
    </row>
    <row r="764" spans="1:11" x14ac:dyDescent="0.2">
      <c r="A764" s="106">
        <f>_xlfn.XLOOKUP(B764,pratos!B:B,pratos!A:A,"não")</f>
        <v>359</v>
      </c>
      <c r="B764" s="108" t="s">
        <v>226</v>
      </c>
      <c r="C764" s="105">
        <f>_xlfn.XLOOKUP(D764,ingredientes!B:B,ingredientes!A:A,"não")</f>
        <v>290</v>
      </c>
      <c r="D764" s="48" t="s">
        <v>209</v>
      </c>
      <c r="E764" s="10">
        <v>70</v>
      </c>
      <c r="H764">
        <f t="shared" si="42"/>
        <v>359</v>
      </c>
      <c r="I764">
        <f t="shared" si="43"/>
        <v>290</v>
      </c>
      <c r="J764">
        <f t="shared" si="44"/>
        <v>70</v>
      </c>
      <c r="K764">
        <f t="shared" si="45"/>
        <v>649</v>
      </c>
    </row>
    <row r="765" spans="1:11" x14ac:dyDescent="0.2">
      <c r="A765" s="106">
        <f>_xlfn.XLOOKUP(B765,pratos!B:B,pratos!A:A,"não")</f>
        <v>359</v>
      </c>
      <c r="B765" s="108" t="s">
        <v>226</v>
      </c>
      <c r="C765" s="105">
        <f>_xlfn.XLOOKUP(D765,ingredientes!B:B,ingredientes!A:A,"não")</f>
        <v>290</v>
      </c>
      <c r="D765" s="50" t="s">
        <v>209</v>
      </c>
      <c r="E765" s="10">
        <v>50</v>
      </c>
      <c r="H765">
        <f t="shared" si="42"/>
        <v>359</v>
      </c>
      <c r="I765">
        <f t="shared" si="43"/>
        <v>290</v>
      </c>
      <c r="J765">
        <f t="shared" si="44"/>
        <v>50</v>
      </c>
      <c r="K765">
        <f t="shared" si="45"/>
        <v>649</v>
      </c>
    </row>
    <row r="766" spans="1:11" x14ac:dyDescent="0.2">
      <c r="A766" s="106">
        <f>_xlfn.XLOOKUP(B766,pratos!B:B,pratos!A:A,"não")</f>
        <v>360</v>
      </c>
      <c r="B766" s="123" t="s">
        <v>374</v>
      </c>
      <c r="C766" s="105">
        <f>_xlfn.XLOOKUP(D766,ingredientes!B:B,ingredientes!A:A,"não")</f>
        <v>289</v>
      </c>
      <c r="D766" s="9" t="s">
        <v>226</v>
      </c>
      <c r="E766" s="10">
        <v>50</v>
      </c>
      <c r="H766">
        <f t="shared" si="42"/>
        <v>360</v>
      </c>
      <c r="I766">
        <f t="shared" si="43"/>
        <v>289</v>
      </c>
      <c r="J766">
        <f t="shared" si="44"/>
        <v>50</v>
      </c>
      <c r="K766">
        <f t="shared" si="45"/>
        <v>649</v>
      </c>
    </row>
    <row r="767" spans="1:11" x14ac:dyDescent="0.2">
      <c r="A767" s="106">
        <f>_xlfn.XLOOKUP(B767,pratos!B:B,pratos!A:A,"não")</f>
        <v>360</v>
      </c>
      <c r="B767" s="123" t="s">
        <v>374</v>
      </c>
      <c r="C767" s="105">
        <f>_xlfn.XLOOKUP(D767,ingredientes!B:B,ingredientes!A:A,"não")</f>
        <v>313</v>
      </c>
      <c r="D767" s="64" t="s">
        <v>25</v>
      </c>
      <c r="E767" s="51">
        <v>50</v>
      </c>
      <c r="H767">
        <f t="shared" si="42"/>
        <v>360</v>
      </c>
      <c r="I767">
        <f t="shared" si="43"/>
        <v>313</v>
      </c>
      <c r="J767">
        <f t="shared" si="44"/>
        <v>50</v>
      </c>
      <c r="K767">
        <f t="shared" si="45"/>
        <v>673</v>
      </c>
    </row>
    <row r="768" spans="1:11" x14ac:dyDescent="0.2">
      <c r="A768" s="106">
        <f>_xlfn.XLOOKUP(B768,pratos!B:B,pratos!A:A,"não")</f>
        <v>361</v>
      </c>
      <c r="B768" s="52" t="s">
        <v>188</v>
      </c>
      <c r="C768" s="105">
        <f>_xlfn.XLOOKUP(D768,ingredientes!B:B,ingredientes!A:A,"não")</f>
        <v>293</v>
      </c>
      <c r="D768" s="38" t="s">
        <v>144</v>
      </c>
      <c r="E768" s="10">
        <v>30</v>
      </c>
      <c r="H768">
        <f t="shared" ref="H768:H831" si="46">A768</f>
        <v>361</v>
      </c>
      <c r="I768">
        <f t="shared" ref="I768:I831" si="47">C768</f>
        <v>293</v>
      </c>
      <c r="J768">
        <f t="shared" ref="J768:J831" si="48">E768</f>
        <v>30</v>
      </c>
      <c r="K768">
        <f t="shared" si="45"/>
        <v>654</v>
      </c>
    </row>
    <row r="769" spans="1:11" x14ac:dyDescent="0.2">
      <c r="A769" s="106">
        <f>_xlfn.XLOOKUP(B769,pratos!B:B,pratos!A:A,"não")</f>
        <v>362</v>
      </c>
      <c r="B769" s="111" t="s">
        <v>143</v>
      </c>
      <c r="C769" s="105">
        <f>_xlfn.XLOOKUP(D769,ingredientes!B:B,ingredientes!A:A,"não")</f>
        <v>193</v>
      </c>
      <c r="D769" s="29" t="s">
        <v>145</v>
      </c>
      <c r="E769" s="10">
        <v>70</v>
      </c>
      <c r="H769">
        <f t="shared" si="46"/>
        <v>362</v>
      </c>
      <c r="I769">
        <f t="shared" si="47"/>
        <v>193</v>
      </c>
      <c r="J769">
        <f t="shared" si="48"/>
        <v>70</v>
      </c>
      <c r="K769">
        <f t="shared" si="45"/>
        <v>555</v>
      </c>
    </row>
    <row r="770" spans="1:11" x14ac:dyDescent="0.2">
      <c r="A770" s="106">
        <f>_xlfn.XLOOKUP(B770,pratos!B:B,pratos!A:A,"não")</f>
        <v>362</v>
      </c>
      <c r="B770" s="111" t="s">
        <v>143</v>
      </c>
      <c r="C770" s="105">
        <f>_xlfn.XLOOKUP(D770,ingredientes!B:B,ingredientes!A:A,"não")</f>
        <v>193</v>
      </c>
      <c r="D770" s="29" t="s">
        <v>145</v>
      </c>
      <c r="E770" s="17">
        <v>30</v>
      </c>
      <c r="H770">
        <f t="shared" si="46"/>
        <v>362</v>
      </c>
      <c r="I770">
        <f t="shared" si="47"/>
        <v>193</v>
      </c>
      <c r="J770">
        <f t="shared" si="48"/>
        <v>30</v>
      </c>
      <c r="K770">
        <f t="shared" si="45"/>
        <v>555</v>
      </c>
    </row>
    <row r="771" spans="1:11" x14ac:dyDescent="0.2">
      <c r="A771" s="106">
        <f>_xlfn.XLOOKUP(B771,pratos!B:B,pratos!A:A,"não")</f>
        <v>362</v>
      </c>
      <c r="B771" s="52" t="s">
        <v>143</v>
      </c>
      <c r="C771" s="105">
        <f>_xlfn.XLOOKUP(D771,ingredientes!B:B,ingredientes!A:A,"não")</f>
        <v>293</v>
      </c>
      <c r="D771" s="38" t="s">
        <v>144</v>
      </c>
      <c r="E771" s="10">
        <v>30</v>
      </c>
      <c r="H771">
        <f t="shared" si="46"/>
        <v>362</v>
      </c>
      <c r="I771">
        <f t="shared" si="47"/>
        <v>293</v>
      </c>
      <c r="J771">
        <f t="shared" si="48"/>
        <v>30</v>
      </c>
      <c r="K771">
        <f t="shared" ref="K771:K834" si="49">H771+I771</f>
        <v>655</v>
      </c>
    </row>
    <row r="772" spans="1:11" x14ac:dyDescent="0.2">
      <c r="A772" s="106">
        <f>_xlfn.XLOOKUP(B772,pratos!B:B,pratos!A:A,"não")</f>
        <v>362</v>
      </c>
      <c r="B772" s="52" t="s">
        <v>143</v>
      </c>
      <c r="C772" s="105">
        <f>_xlfn.XLOOKUP(D772,ingredientes!B:B,ingredientes!A:A,"não")</f>
        <v>293</v>
      </c>
      <c r="D772" s="38" t="s">
        <v>144</v>
      </c>
      <c r="E772" s="10">
        <v>20</v>
      </c>
      <c r="H772">
        <f t="shared" si="46"/>
        <v>362</v>
      </c>
      <c r="I772">
        <f t="shared" si="47"/>
        <v>293</v>
      </c>
      <c r="J772">
        <f t="shared" si="48"/>
        <v>20</v>
      </c>
      <c r="K772">
        <f t="shared" si="49"/>
        <v>655</v>
      </c>
    </row>
    <row r="773" spans="1:11" x14ac:dyDescent="0.2">
      <c r="A773" s="106">
        <f>_xlfn.XLOOKUP(B773,pratos!B:B,pratos!A:A,"não")</f>
        <v>363</v>
      </c>
      <c r="B773" s="52" t="s">
        <v>43</v>
      </c>
      <c r="C773" s="105">
        <f>_xlfn.XLOOKUP(D773,ingredientes!B:B,ingredientes!A:A,"não")</f>
        <v>294</v>
      </c>
      <c r="D773" s="9" t="s">
        <v>43</v>
      </c>
      <c r="E773" s="10">
        <v>2</v>
      </c>
      <c r="H773">
        <f t="shared" si="46"/>
        <v>363</v>
      </c>
      <c r="I773">
        <f t="shared" si="47"/>
        <v>294</v>
      </c>
      <c r="J773">
        <f t="shared" si="48"/>
        <v>2</v>
      </c>
      <c r="K773">
        <f t="shared" si="49"/>
        <v>657</v>
      </c>
    </row>
    <row r="774" spans="1:11" x14ac:dyDescent="0.2">
      <c r="A774" s="106">
        <f>_xlfn.XLOOKUP(B774,pratos!B:B,pratos!A:A,"não")</f>
        <v>364</v>
      </c>
      <c r="B774" s="111" t="s">
        <v>272</v>
      </c>
      <c r="C774" s="105">
        <f>_xlfn.XLOOKUP(D774,ingredientes!B:B,ingredientes!A:A,"não")</f>
        <v>6</v>
      </c>
      <c r="D774" s="30" t="s">
        <v>606</v>
      </c>
      <c r="E774" s="17">
        <v>100</v>
      </c>
      <c r="H774">
        <f t="shared" si="46"/>
        <v>364</v>
      </c>
      <c r="I774">
        <f t="shared" si="47"/>
        <v>6</v>
      </c>
      <c r="J774">
        <f t="shared" si="48"/>
        <v>100</v>
      </c>
      <c r="K774">
        <f t="shared" si="49"/>
        <v>370</v>
      </c>
    </row>
    <row r="775" spans="1:11" x14ac:dyDescent="0.2">
      <c r="A775" s="106">
        <f>_xlfn.XLOOKUP(B775,pratos!B:B,pratos!A:A,"não")</f>
        <v>365</v>
      </c>
      <c r="B775" s="111" t="s">
        <v>353</v>
      </c>
      <c r="C775" s="105">
        <f>_xlfn.XLOOKUP(D775,ingredientes!B:B,ingredientes!A:A,"não")</f>
        <v>96</v>
      </c>
      <c r="D775" s="30" t="s">
        <v>641</v>
      </c>
      <c r="E775" s="17">
        <v>50</v>
      </c>
      <c r="H775">
        <f t="shared" si="46"/>
        <v>365</v>
      </c>
      <c r="I775">
        <f t="shared" si="47"/>
        <v>96</v>
      </c>
      <c r="J775">
        <f t="shared" si="48"/>
        <v>50</v>
      </c>
      <c r="K775">
        <f t="shared" si="49"/>
        <v>461</v>
      </c>
    </row>
    <row r="776" spans="1:11" x14ac:dyDescent="0.2">
      <c r="A776" s="106">
        <f>_xlfn.XLOOKUP(B776,pratos!B:B,pratos!A:A,"não")</f>
        <v>365</v>
      </c>
      <c r="B776" s="111" t="s">
        <v>369</v>
      </c>
      <c r="C776" s="105">
        <f>_xlfn.XLOOKUP(D776,ingredientes!B:B,ingredientes!A:A,"não")</f>
        <v>96</v>
      </c>
      <c r="D776" s="30" t="s">
        <v>641</v>
      </c>
      <c r="E776" s="10">
        <v>25</v>
      </c>
      <c r="H776">
        <f t="shared" si="46"/>
        <v>365</v>
      </c>
      <c r="I776">
        <f t="shared" si="47"/>
        <v>96</v>
      </c>
      <c r="J776">
        <f t="shared" si="48"/>
        <v>25</v>
      </c>
      <c r="K776">
        <f t="shared" si="49"/>
        <v>461</v>
      </c>
    </row>
    <row r="777" spans="1:11" x14ac:dyDescent="0.2">
      <c r="A777" s="106">
        <f>_xlfn.XLOOKUP(B777,pratos!B:B,pratos!A:A,"não")</f>
        <v>365</v>
      </c>
      <c r="B777" s="111" t="s">
        <v>353</v>
      </c>
      <c r="C777" s="105">
        <f>_xlfn.XLOOKUP(D777,ingredientes!B:B,ingredientes!A:A,"não")</f>
        <v>320</v>
      </c>
      <c r="D777" s="30" t="s">
        <v>705</v>
      </c>
      <c r="E777" s="17">
        <v>50</v>
      </c>
      <c r="H777">
        <f t="shared" si="46"/>
        <v>365</v>
      </c>
      <c r="I777">
        <f t="shared" si="47"/>
        <v>320</v>
      </c>
      <c r="J777">
        <f t="shared" si="48"/>
        <v>50</v>
      </c>
      <c r="K777">
        <f t="shared" si="49"/>
        <v>685</v>
      </c>
    </row>
    <row r="778" spans="1:11" x14ac:dyDescent="0.2">
      <c r="A778" s="106">
        <f>_xlfn.XLOOKUP(B778,pratos!B:B,pratos!A:A,"não")</f>
        <v>365</v>
      </c>
      <c r="B778" s="111" t="s">
        <v>369</v>
      </c>
      <c r="C778" s="105">
        <f>_xlfn.XLOOKUP(D778,ingredientes!B:B,ingredientes!A:A,"não")</f>
        <v>320</v>
      </c>
      <c r="D778" s="30" t="s">
        <v>705</v>
      </c>
      <c r="E778" s="10">
        <v>25</v>
      </c>
      <c r="H778">
        <f t="shared" si="46"/>
        <v>365</v>
      </c>
      <c r="I778">
        <f t="shared" si="47"/>
        <v>320</v>
      </c>
      <c r="J778">
        <f t="shared" si="48"/>
        <v>25</v>
      </c>
      <c r="K778">
        <f t="shared" si="49"/>
        <v>685</v>
      </c>
    </row>
    <row r="779" spans="1:11" x14ac:dyDescent="0.2">
      <c r="A779" s="106">
        <f>_xlfn.XLOOKUP(B779,pratos!B:B,pratos!A:A,"não")</f>
        <v>366</v>
      </c>
      <c r="B779" s="111" t="s">
        <v>365</v>
      </c>
      <c r="C779" s="105">
        <f>_xlfn.XLOOKUP(D779,ingredientes!B:B,ingredientes!A:A,"não")</f>
        <v>96</v>
      </c>
      <c r="D779" s="30" t="s">
        <v>641</v>
      </c>
      <c r="E779" s="10">
        <v>50</v>
      </c>
      <c r="H779">
        <f t="shared" si="46"/>
        <v>366</v>
      </c>
      <c r="I779">
        <f t="shared" si="47"/>
        <v>96</v>
      </c>
      <c r="J779">
        <f t="shared" si="48"/>
        <v>50</v>
      </c>
      <c r="K779">
        <f t="shared" si="49"/>
        <v>462</v>
      </c>
    </row>
    <row r="780" spans="1:11" x14ac:dyDescent="0.2">
      <c r="A780" s="106">
        <f>_xlfn.XLOOKUP(B780,pratos!B:B,pratos!A:A,"não")</f>
        <v>366</v>
      </c>
      <c r="B780" s="111" t="s">
        <v>365</v>
      </c>
      <c r="C780" s="105">
        <f>_xlfn.XLOOKUP(D780,ingredientes!B:B,ingredientes!A:A,"não")</f>
        <v>320</v>
      </c>
      <c r="D780" s="30" t="s">
        <v>705</v>
      </c>
      <c r="E780" s="10">
        <v>50</v>
      </c>
      <c r="H780">
        <f t="shared" si="46"/>
        <v>366</v>
      </c>
      <c r="I780">
        <f t="shared" si="47"/>
        <v>320</v>
      </c>
      <c r="J780">
        <f t="shared" si="48"/>
        <v>50</v>
      </c>
      <c r="K780">
        <f t="shared" si="49"/>
        <v>686</v>
      </c>
    </row>
    <row r="781" spans="1:11" x14ac:dyDescent="0.2">
      <c r="A781" s="106">
        <f>_xlfn.XLOOKUP(B781,pratos!B:B,pratos!A:A,"não")</f>
        <v>367</v>
      </c>
      <c r="B781" s="52" t="s">
        <v>553</v>
      </c>
      <c r="C781" s="105">
        <f>_xlfn.XLOOKUP(D781,ingredientes!B:B,ingredientes!A:A,"não")</f>
        <v>49</v>
      </c>
      <c r="D781" s="143" t="s">
        <v>554</v>
      </c>
      <c r="E781" s="10">
        <v>40</v>
      </c>
      <c r="H781">
        <f t="shared" si="46"/>
        <v>367</v>
      </c>
      <c r="I781">
        <f t="shared" si="47"/>
        <v>49</v>
      </c>
      <c r="J781">
        <f t="shared" si="48"/>
        <v>40</v>
      </c>
      <c r="K781">
        <f t="shared" si="49"/>
        <v>416</v>
      </c>
    </row>
    <row r="782" spans="1:11" x14ac:dyDescent="0.2">
      <c r="A782" s="106">
        <f>_xlfn.XLOOKUP(B782,pratos!B:B,pratos!A:A,"não")</f>
        <v>367</v>
      </c>
      <c r="B782" s="52" t="s">
        <v>553</v>
      </c>
      <c r="C782" s="105">
        <f>_xlfn.XLOOKUP(D782,ingredientes!B:B,ingredientes!A:A,"não")</f>
        <v>174</v>
      </c>
      <c r="D782" s="143" t="s">
        <v>137</v>
      </c>
      <c r="E782" s="10">
        <v>30</v>
      </c>
      <c r="H782">
        <f t="shared" si="46"/>
        <v>367</v>
      </c>
      <c r="I782">
        <f t="shared" si="47"/>
        <v>174</v>
      </c>
      <c r="J782">
        <f t="shared" si="48"/>
        <v>30</v>
      </c>
      <c r="K782">
        <f t="shared" si="49"/>
        <v>541</v>
      </c>
    </row>
    <row r="783" spans="1:11" x14ac:dyDescent="0.2">
      <c r="A783" s="106">
        <f>_xlfn.XLOOKUP(B783,pratos!B:B,pratos!A:A,"não")</f>
        <v>367</v>
      </c>
      <c r="B783" s="52" t="s">
        <v>553</v>
      </c>
      <c r="C783" s="105">
        <f>_xlfn.XLOOKUP(D783,ingredientes!B:B,ingredientes!A:A,"não")</f>
        <v>184</v>
      </c>
      <c r="D783" s="155" t="s">
        <v>512</v>
      </c>
      <c r="E783" s="10">
        <v>40</v>
      </c>
      <c r="H783">
        <f t="shared" si="46"/>
        <v>367</v>
      </c>
      <c r="I783">
        <f t="shared" si="47"/>
        <v>184</v>
      </c>
      <c r="J783">
        <f t="shared" si="48"/>
        <v>40</v>
      </c>
      <c r="K783">
        <f t="shared" si="49"/>
        <v>551</v>
      </c>
    </row>
    <row r="784" spans="1:11" x14ac:dyDescent="0.2">
      <c r="A784" s="106">
        <f>_xlfn.XLOOKUP(B784,pratos!B:B,pratos!A:A,"não")</f>
        <v>367</v>
      </c>
      <c r="B784" s="52" t="s">
        <v>553</v>
      </c>
      <c r="C784" s="105">
        <f>_xlfn.XLOOKUP(D784,ingredientes!B:B,ingredientes!A:A,"não")</f>
        <v>191</v>
      </c>
      <c r="D784" s="38" t="s">
        <v>205</v>
      </c>
      <c r="E784" s="10">
        <v>40</v>
      </c>
      <c r="H784">
        <f t="shared" si="46"/>
        <v>367</v>
      </c>
      <c r="I784">
        <f t="shared" si="47"/>
        <v>191</v>
      </c>
      <c r="J784">
        <f t="shared" si="48"/>
        <v>40</v>
      </c>
      <c r="K784">
        <f t="shared" si="49"/>
        <v>558</v>
      </c>
    </row>
    <row r="785" spans="1:11" x14ac:dyDescent="0.2">
      <c r="A785" s="106">
        <f>_xlfn.XLOOKUP(B785,pratos!B:B,pratos!A:A,"não")</f>
        <v>367</v>
      </c>
      <c r="B785" s="52" t="s">
        <v>553</v>
      </c>
      <c r="C785" s="105">
        <f>_xlfn.XLOOKUP(D785,ingredientes!B:B,ingredientes!A:A,"não")</f>
        <v>263</v>
      </c>
      <c r="D785" s="9" t="s">
        <v>338</v>
      </c>
      <c r="E785" s="68">
        <v>40</v>
      </c>
      <c r="H785">
        <f t="shared" si="46"/>
        <v>367</v>
      </c>
      <c r="I785">
        <f t="shared" si="47"/>
        <v>263</v>
      </c>
      <c r="J785">
        <f t="shared" si="48"/>
        <v>40</v>
      </c>
      <c r="K785">
        <f t="shared" si="49"/>
        <v>630</v>
      </c>
    </row>
    <row r="786" spans="1:11" x14ac:dyDescent="0.2">
      <c r="A786" s="106">
        <f>_xlfn.XLOOKUP(B786,pratos!B:B,pratos!A:A,"não")</f>
        <v>368</v>
      </c>
      <c r="B786" s="111" t="s">
        <v>100</v>
      </c>
      <c r="C786" s="105">
        <f>_xlfn.XLOOKUP(D786,ingredientes!B:B,ingredientes!A:A,"não")</f>
        <v>313</v>
      </c>
      <c r="D786" s="28" t="s">
        <v>25</v>
      </c>
      <c r="E786" s="27">
        <v>50</v>
      </c>
      <c r="H786">
        <f t="shared" si="46"/>
        <v>368</v>
      </c>
      <c r="I786">
        <f t="shared" si="47"/>
        <v>313</v>
      </c>
      <c r="J786">
        <f t="shared" si="48"/>
        <v>50</v>
      </c>
      <c r="K786">
        <f t="shared" si="49"/>
        <v>681</v>
      </c>
    </row>
    <row r="787" spans="1:11" x14ac:dyDescent="0.2">
      <c r="A787" s="106">
        <f>_xlfn.XLOOKUP(B787,pratos!B:B,pratos!A:A,"não")</f>
        <v>369</v>
      </c>
      <c r="B787" s="111" t="s">
        <v>302</v>
      </c>
      <c r="C787" s="105">
        <f>_xlfn.XLOOKUP(D787,ingredientes!B:B,ingredientes!A:A,"não")</f>
        <v>296</v>
      </c>
      <c r="D787" s="30" t="s">
        <v>694</v>
      </c>
      <c r="E787" s="17">
        <v>100</v>
      </c>
      <c r="H787">
        <f t="shared" si="46"/>
        <v>369</v>
      </c>
      <c r="I787">
        <f t="shared" si="47"/>
        <v>296</v>
      </c>
      <c r="J787">
        <f t="shared" si="48"/>
        <v>100</v>
      </c>
      <c r="K787">
        <f t="shared" si="49"/>
        <v>665</v>
      </c>
    </row>
    <row r="788" spans="1:11" x14ac:dyDescent="0.2">
      <c r="A788" s="106">
        <f>_xlfn.XLOOKUP(B788,pratos!B:B,pratos!A:A,"não")</f>
        <v>370</v>
      </c>
      <c r="B788" s="117" t="s">
        <v>240</v>
      </c>
      <c r="C788" s="105">
        <f>_xlfn.XLOOKUP(D788,ingredientes!B:B,ingredientes!A:A,"não")</f>
        <v>297</v>
      </c>
      <c r="D788" t="s">
        <v>387</v>
      </c>
      <c r="E788" s="10">
        <v>150</v>
      </c>
      <c r="H788">
        <f t="shared" si="46"/>
        <v>370</v>
      </c>
      <c r="I788">
        <f t="shared" si="47"/>
        <v>297</v>
      </c>
      <c r="J788">
        <f t="shared" si="48"/>
        <v>150</v>
      </c>
      <c r="K788">
        <f t="shared" si="49"/>
        <v>667</v>
      </c>
    </row>
    <row r="789" spans="1:11" x14ac:dyDescent="0.2">
      <c r="A789" s="106">
        <f>_xlfn.XLOOKUP(B789,pratos!B:B,pratos!A:A,"não")</f>
        <v>371</v>
      </c>
      <c r="B789" s="116" t="s">
        <v>469</v>
      </c>
      <c r="C789" s="105">
        <f>_xlfn.XLOOKUP(D789,ingredientes!B:B,ingredientes!A:A,"não")</f>
        <v>203</v>
      </c>
      <c r="D789" s="143" t="s">
        <v>344</v>
      </c>
      <c r="E789" s="10">
        <v>5</v>
      </c>
      <c r="H789">
        <f t="shared" si="46"/>
        <v>371</v>
      </c>
      <c r="I789">
        <f t="shared" si="47"/>
        <v>203</v>
      </c>
      <c r="J789">
        <f t="shared" si="48"/>
        <v>5</v>
      </c>
      <c r="K789">
        <f t="shared" si="49"/>
        <v>574</v>
      </c>
    </row>
    <row r="790" spans="1:11" x14ac:dyDescent="0.2">
      <c r="A790" s="106">
        <f>_xlfn.XLOOKUP(B790,pratos!B:B,pratos!A:A,"não")</f>
        <v>371</v>
      </c>
      <c r="B790" s="116" t="s">
        <v>469</v>
      </c>
      <c r="C790" s="105">
        <f>_xlfn.XLOOKUP(D790,ingredientes!B:B,ingredientes!A:A,"não")</f>
        <v>203</v>
      </c>
      <c r="D790" s="143" t="s">
        <v>344</v>
      </c>
      <c r="E790" s="10">
        <v>10</v>
      </c>
      <c r="H790">
        <f t="shared" si="46"/>
        <v>371</v>
      </c>
      <c r="I790">
        <f t="shared" si="47"/>
        <v>203</v>
      </c>
      <c r="J790">
        <f t="shared" si="48"/>
        <v>10</v>
      </c>
      <c r="K790">
        <f t="shared" si="49"/>
        <v>574</v>
      </c>
    </row>
    <row r="791" spans="1:11" x14ac:dyDescent="0.2">
      <c r="A791" s="106">
        <f>_xlfn.XLOOKUP(B791,pratos!B:B,pratos!A:A,"não")</f>
        <v>371</v>
      </c>
      <c r="B791" s="109" t="s">
        <v>469</v>
      </c>
      <c r="C791" s="105">
        <f>_xlfn.XLOOKUP(D791,ingredientes!B:B,ingredientes!A:A,"não")</f>
        <v>252</v>
      </c>
      <c r="D791" s="143" t="s">
        <v>312</v>
      </c>
      <c r="E791" s="10">
        <v>10</v>
      </c>
      <c r="H791">
        <f t="shared" si="46"/>
        <v>371</v>
      </c>
      <c r="I791">
        <f t="shared" si="47"/>
        <v>252</v>
      </c>
      <c r="J791">
        <f t="shared" si="48"/>
        <v>10</v>
      </c>
      <c r="K791">
        <f t="shared" si="49"/>
        <v>623</v>
      </c>
    </row>
    <row r="792" spans="1:11" x14ac:dyDescent="0.2">
      <c r="A792" s="106">
        <f>_xlfn.XLOOKUP(B792,pratos!B:B,pratos!A:A,"não")</f>
        <v>371</v>
      </c>
      <c r="B792" s="109" t="s">
        <v>469</v>
      </c>
      <c r="C792" s="105">
        <f>_xlfn.XLOOKUP(D792,ingredientes!B:B,ingredientes!A:A,"não")</f>
        <v>297</v>
      </c>
      <c r="D792" t="s">
        <v>387</v>
      </c>
      <c r="E792" s="17">
        <v>150</v>
      </c>
      <c r="H792">
        <f t="shared" si="46"/>
        <v>371</v>
      </c>
      <c r="I792">
        <f t="shared" si="47"/>
        <v>297</v>
      </c>
      <c r="J792">
        <f t="shared" si="48"/>
        <v>150</v>
      </c>
      <c r="K792">
        <f t="shared" si="49"/>
        <v>668</v>
      </c>
    </row>
    <row r="793" spans="1:11" x14ac:dyDescent="0.2">
      <c r="A793" s="106">
        <f>_xlfn.XLOOKUP(B793,pratos!B:B,pratos!A:A,"não")</f>
        <v>372</v>
      </c>
      <c r="B793" s="123" t="s">
        <v>394</v>
      </c>
      <c r="C793" s="105">
        <f>_xlfn.XLOOKUP(D793,ingredientes!B:B,ingredientes!A:A,"não")</f>
        <v>297</v>
      </c>
      <c r="D793" t="s">
        <v>387</v>
      </c>
      <c r="E793" s="10">
        <v>50</v>
      </c>
      <c r="H793">
        <f t="shared" si="46"/>
        <v>372</v>
      </c>
      <c r="I793">
        <f t="shared" si="47"/>
        <v>297</v>
      </c>
      <c r="J793">
        <f t="shared" si="48"/>
        <v>50</v>
      </c>
      <c r="K793">
        <f t="shared" si="49"/>
        <v>669</v>
      </c>
    </row>
    <row r="794" spans="1:11" x14ac:dyDescent="0.2">
      <c r="A794" s="106">
        <f>_xlfn.XLOOKUP(B794,pratos!B:B,pratos!A:A,"não")</f>
        <v>372</v>
      </c>
      <c r="B794" s="123" t="s">
        <v>394</v>
      </c>
      <c r="C794" s="105">
        <f>_xlfn.XLOOKUP(D794,ingredientes!B:B,ingredientes!A:A,"não")</f>
        <v>297</v>
      </c>
      <c r="D794" t="s">
        <v>387</v>
      </c>
      <c r="E794" s="10">
        <v>100</v>
      </c>
      <c r="H794">
        <f t="shared" si="46"/>
        <v>372</v>
      </c>
      <c r="I794">
        <f t="shared" si="47"/>
        <v>297</v>
      </c>
      <c r="J794">
        <f t="shared" si="48"/>
        <v>100</v>
      </c>
      <c r="K794">
        <f t="shared" si="49"/>
        <v>669</v>
      </c>
    </row>
    <row r="795" spans="1:11" x14ac:dyDescent="0.2">
      <c r="A795" s="106">
        <f>_xlfn.XLOOKUP(B795,pratos!B:B,pratos!A:A,"não")</f>
        <v>373</v>
      </c>
      <c r="B795" s="109" t="s">
        <v>413</v>
      </c>
      <c r="C795" s="105">
        <f>_xlfn.XLOOKUP(D795,ingredientes!B:B,ingredientes!A:A,"não")</f>
        <v>297</v>
      </c>
      <c r="D795" t="s">
        <v>387</v>
      </c>
      <c r="E795" s="10">
        <v>150</v>
      </c>
      <c r="H795">
        <f t="shared" si="46"/>
        <v>373</v>
      </c>
      <c r="I795">
        <f t="shared" si="47"/>
        <v>297</v>
      </c>
      <c r="J795">
        <f t="shared" si="48"/>
        <v>150</v>
      </c>
      <c r="K795">
        <f t="shared" si="49"/>
        <v>670</v>
      </c>
    </row>
    <row r="796" spans="1:11" x14ac:dyDescent="0.2">
      <c r="A796" s="106">
        <f>_xlfn.XLOOKUP(B796,pratos!B:B,pratos!A:A,"não")</f>
        <v>373</v>
      </c>
      <c r="B796" s="109" t="s">
        <v>413</v>
      </c>
      <c r="C796" s="105">
        <f>_xlfn.XLOOKUP(D796,ingredientes!B:B,ingredientes!A:A,"não")</f>
        <v>297</v>
      </c>
      <c r="D796" t="s">
        <v>387</v>
      </c>
      <c r="E796" s="10">
        <v>50</v>
      </c>
      <c r="H796">
        <f t="shared" si="46"/>
        <v>373</v>
      </c>
      <c r="I796">
        <f t="shared" si="47"/>
        <v>297</v>
      </c>
      <c r="J796">
        <f t="shared" si="48"/>
        <v>50</v>
      </c>
      <c r="K796">
        <f t="shared" si="49"/>
        <v>670</v>
      </c>
    </row>
    <row r="797" spans="1:11" x14ac:dyDescent="0.2">
      <c r="A797" s="106">
        <f>_xlfn.XLOOKUP(B797,pratos!B:B,pratos!A:A,"não")</f>
        <v>373</v>
      </c>
      <c r="B797" s="109" t="s">
        <v>413</v>
      </c>
      <c r="C797" s="105">
        <f>_xlfn.XLOOKUP(D797,ingredientes!B:B,ingredientes!A:A,"não")</f>
        <v>297</v>
      </c>
      <c r="D797" t="s">
        <v>387</v>
      </c>
      <c r="E797" s="17">
        <v>100</v>
      </c>
      <c r="H797">
        <f t="shared" si="46"/>
        <v>373</v>
      </c>
      <c r="I797">
        <f t="shared" si="47"/>
        <v>297</v>
      </c>
      <c r="J797">
        <f t="shared" si="48"/>
        <v>100</v>
      </c>
      <c r="K797">
        <f t="shared" si="49"/>
        <v>670</v>
      </c>
    </row>
    <row r="798" spans="1:11" x14ac:dyDescent="0.2">
      <c r="A798" s="106">
        <f>_xlfn.XLOOKUP(B798,pratos!B:B,pratos!A:A,"não")</f>
        <v>374</v>
      </c>
      <c r="B798" s="123" t="s">
        <v>375</v>
      </c>
      <c r="C798" s="105">
        <f>_xlfn.XLOOKUP(D798,ingredientes!B:B,ingredientes!A:A,"não")</f>
        <v>281</v>
      </c>
      <c r="D798" t="s">
        <v>688</v>
      </c>
      <c r="E798" s="10">
        <v>30</v>
      </c>
      <c r="H798">
        <f t="shared" si="46"/>
        <v>374</v>
      </c>
      <c r="I798">
        <f t="shared" si="47"/>
        <v>281</v>
      </c>
      <c r="J798">
        <f t="shared" si="48"/>
        <v>30</v>
      </c>
      <c r="K798">
        <f t="shared" si="49"/>
        <v>655</v>
      </c>
    </row>
    <row r="799" spans="1:11" x14ac:dyDescent="0.2">
      <c r="A799" s="106">
        <f>_xlfn.XLOOKUP(B799,pratos!B:B,pratos!A:A,"não")</f>
        <v>374</v>
      </c>
      <c r="B799" s="123" t="s">
        <v>375</v>
      </c>
      <c r="C799" s="105">
        <f>_xlfn.XLOOKUP(D799,ingredientes!B:B,ingredientes!A:A,"não")</f>
        <v>297</v>
      </c>
      <c r="D799" t="s">
        <v>387</v>
      </c>
      <c r="E799" s="10">
        <v>150</v>
      </c>
      <c r="H799">
        <f t="shared" si="46"/>
        <v>374</v>
      </c>
      <c r="I799">
        <f t="shared" si="47"/>
        <v>297</v>
      </c>
      <c r="J799">
        <f t="shared" si="48"/>
        <v>150</v>
      </c>
      <c r="K799">
        <f t="shared" si="49"/>
        <v>671</v>
      </c>
    </row>
    <row r="800" spans="1:11" x14ac:dyDescent="0.2">
      <c r="A800" s="106">
        <f>_xlfn.XLOOKUP(B800,pratos!B:B,pratos!A:A,"não")</f>
        <v>374</v>
      </c>
      <c r="B800" s="123" t="s">
        <v>375</v>
      </c>
      <c r="C800" s="105">
        <f>_xlfn.XLOOKUP(D800,ingredientes!B:B,ingredientes!A:A,"não")</f>
        <v>297</v>
      </c>
      <c r="D800" t="s">
        <v>387</v>
      </c>
      <c r="E800" s="10">
        <v>50</v>
      </c>
      <c r="H800">
        <f t="shared" si="46"/>
        <v>374</v>
      </c>
      <c r="I800">
        <f t="shared" si="47"/>
        <v>297</v>
      </c>
      <c r="J800">
        <f t="shared" si="48"/>
        <v>50</v>
      </c>
      <c r="K800">
        <f t="shared" si="49"/>
        <v>671</v>
      </c>
    </row>
    <row r="801" spans="1:11" x14ac:dyDescent="0.2">
      <c r="A801" s="106">
        <f>_xlfn.XLOOKUP(B801,pratos!B:B,pratos!A:A,"não")</f>
        <v>375</v>
      </c>
      <c r="B801" s="116" t="s">
        <v>478</v>
      </c>
      <c r="C801" s="105">
        <f>_xlfn.XLOOKUP(D801,ingredientes!B:B,ingredientes!A:A,"não")</f>
        <v>251</v>
      </c>
      <c r="D801" s="143" t="s">
        <v>313</v>
      </c>
      <c r="E801" s="10">
        <v>10</v>
      </c>
      <c r="H801">
        <f t="shared" si="46"/>
        <v>375</v>
      </c>
      <c r="I801">
        <f t="shared" si="47"/>
        <v>251</v>
      </c>
      <c r="J801">
        <f t="shared" si="48"/>
        <v>10</v>
      </c>
      <c r="K801">
        <f t="shared" si="49"/>
        <v>626</v>
      </c>
    </row>
    <row r="802" spans="1:11" x14ac:dyDescent="0.2">
      <c r="A802" s="106">
        <f>_xlfn.XLOOKUP(B802,pratos!B:B,pratos!A:A,"não")</f>
        <v>375</v>
      </c>
      <c r="B802" s="116" t="s">
        <v>478</v>
      </c>
      <c r="C802" s="105">
        <f>_xlfn.XLOOKUP(D802,ingredientes!B:B,ingredientes!A:A,"não")</f>
        <v>251</v>
      </c>
      <c r="D802" s="161" t="s">
        <v>313</v>
      </c>
      <c r="E802" s="17">
        <v>5</v>
      </c>
      <c r="H802">
        <f t="shared" si="46"/>
        <v>375</v>
      </c>
      <c r="I802">
        <f t="shared" si="47"/>
        <v>251</v>
      </c>
      <c r="J802">
        <f t="shared" si="48"/>
        <v>5</v>
      </c>
      <c r="K802">
        <f t="shared" si="49"/>
        <v>626</v>
      </c>
    </row>
    <row r="803" spans="1:11" x14ac:dyDescent="0.2">
      <c r="A803" s="106">
        <f>_xlfn.XLOOKUP(B803,pratos!B:B,pratos!A:A,"não")</f>
        <v>375</v>
      </c>
      <c r="B803" s="109" t="s">
        <v>478</v>
      </c>
      <c r="C803" s="105">
        <f>_xlfn.XLOOKUP(D803,ingredientes!B:B,ingredientes!A:A,"não")</f>
        <v>252</v>
      </c>
      <c r="D803" s="143" t="s">
        <v>312</v>
      </c>
      <c r="E803" s="10">
        <v>10</v>
      </c>
      <c r="H803">
        <f t="shared" si="46"/>
        <v>375</v>
      </c>
      <c r="I803">
        <f t="shared" si="47"/>
        <v>252</v>
      </c>
      <c r="J803">
        <f t="shared" si="48"/>
        <v>10</v>
      </c>
      <c r="K803">
        <f t="shared" si="49"/>
        <v>627</v>
      </c>
    </row>
    <row r="804" spans="1:11" x14ac:dyDescent="0.2">
      <c r="A804" s="106">
        <f>_xlfn.XLOOKUP(B804,pratos!B:B,pratos!A:A,"não")</f>
        <v>375</v>
      </c>
      <c r="B804" s="109" t="s">
        <v>478</v>
      </c>
      <c r="C804" s="105">
        <f>_xlfn.XLOOKUP(D804,ingredientes!B:B,ingredientes!A:A,"não")</f>
        <v>252</v>
      </c>
      <c r="D804" s="161" t="s">
        <v>312</v>
      </c>
      <c r="E804" s="17">
        <v>5</v>
      </c>
      <c r="H804">
        <f t="shared" si="46"/>
        <v>375</v>
      </c>
      <c r="I804">
        <f t="shared" si="47"/>
        <v>252</v>
      </c>
      <c r="J804">
        <f t="shared" si="48"/>
        <v>5</v>
      </c>
      <c r="K804">
        <f t="shared" si="49"/>
        <v>627</v>
      </c>
    </row>
    <row r="805" spans="1:11" x14ac:dyDescent="0.2">
      <c r="A805" s="106">
        <f>_xlfn.XLOOKUP(B805,pratos!B:B,pratos!A:A,"não")</f>
        <v>375</v>
      </c>
      <c r="B805" s="116" t="s">
        <v>478</v>
      </c>
      <c r="C805" s="105">
        <f>_xlfn.XLOOKUP(D805,ingredientes!B:B,ingredientes!A:A,"não")</f>
        <v>253</v>
      </c>
      <c r="D805" s="143" t="s">
        <v>314</v>
      </c>
      <c r="E805" s="10">
        <v>10</v>
      </c>
      <c r="H805">
        <f t="shared" si="46"/>
        <v>375</v>
      </c>
      <c r="I805">
        <f t="shared" si="47"/>
        <v>253</v>
      </c>
      <c r="J805">
        <f t="shared" si="48"/>
        <v>10</v>
      </c>
      <c r="K805">
        <f t="shared" si="49"/>
        <v>628</v>
      </c>
    </row>
    <row r="806" spans="1:11" x14ac:dyDescent="0.2">
      <c r="A806" s="106">
        <f>_xlfn.XLOOKUP(B806,pratos!B:B,pratos!A:A,"não")</f>
        <v>375</v>
      </c>
      <c r="B806" s="116" t="s">
        <v>478</v>
      </c>
      <c r="C806" s="105">
        <f>_xlfn.XLOOKUP(D806,ingredientes!B:B,ingredientes!A:A,"não")</f>
        <v>253</v>
      </c>
      <c r="D806" s="161" t="s">
        <v>314</v>
      </c>
      <c r="E806" s="17">
        <v>5</v>
      </c>
      <c r="H806">
        <f t="shared" si="46"/>
        <v>375</v>
      </c>
      <c r="I806">
        <f t="shared" si="47"/>
        <v>253</v>
      </c>
      <c r="J806">
        <f t="shared" si="48"/>
        <v>5</v>
      </c>
      <c r="K806">
        <f t="shared" si="49"/>
        <v>628</v>
      </c>
    </row>
    <row r="807" spans="1:11" x14ac:dyDescent="0.2">
      <c r="A807" s="106">
        <f>_xlfn.XLOOKUP(B807,pratos!B:B,pratos!A:A,"não")</f>
        <v>375</v>
      </c>
      <c r="B807" s="109" t="s">
        <v>478</v>
      </c>
      <c r="C807" s="105">
        <f>_xlfn.XLOOKUP(D807,ingredientes!B:B,ingredientes!A:A,"não")</f>
        <v>297</v>
      </c>
      <c r="D807" t="s">
        <v>387</v>
      </c>
      <c r="E807" s="17">
        <v>150</v>
      </c>
      <c r="H807">
        <f t="shared" si="46"/>
        <v>375</v>
      </c>
      <c r="I807">
        <f t="shared" si="47"/>
        <v>297</v>
      </c>
      <c r="J807">
        <f t="shared" si="48"/>
        <v>150</v>
      </c>
      <c r="K807">
        <f t="shared" si="49"/>
        <v>672</v>
      </c>
    </row>
    <row r="808" spans="1:11" x14ac:dyDescent="0.2">
      <c r="A808" s="106">
        <f>_xlfn.XLOOKUP(B808,pratos!B:B,pratos!A:A,"não")</f>
        <v>375</v>
      </c>
      <c r="B808" s="109" t="s">
        <v>478</v>
      </c>
      <c r="C808" s="105">
        <f>_xlfn.XLOOKUP(D808,ingredientes!B:B,ingredientes!A:A,"não")</f>
        <v>297</v>
      </c>
      <c r="D808" t="s">
        <v>387</v>
      </c>
      <c r="E808" s="17">
        <v>50</v>
      </c>
      <c r="H808">
        <f t="shared" si="46"/>
        <v>375</v>
      </c>
      <c r="I808">
        <f t="shared" si="47"/>
        <v>297</v>
      </c>
      <c r="J808">
        <f t="shared" si="48"/>
        <v>50</v>
      </c>
      <c r="K808">
        <f t="shared" si="49"/>
        <v>672</v>
      </c>
    </row>
    <row r="809" spans="1:11" x14ac:dyDescent="0.2">
      <c r="A809" s="106">
        <f>_xlfn.XLOOKUP(B809,pratos!B:B,pratos!A:A,"não")</f>
        <v>375</v>
      </c>
      <c r="B809" s="109" t="s">
        <v>478</v>
      </c>
      <c r="C809" s="105">
        <f>_xlfn.XLOOKUP(D809,ingredientes!B:B,ingredientes!A:A,"não")</f>
        <v>297</v>
      </c>
      <c r="D809" t="s">
        <v>387</v>
      </c>
      <c r="E809" s="17">
        <v>100</v>
      </c>
      <c r="H809">
        <f t="shared" si="46"/>
        <v>375</v>
      </c>
      <c r="I809">
        <f t="shared" si="47"/>
        <v>297</v>
      </c>
      <c r="J809">
        <f t="shared" si="48"/>
        <v>100</v>
      </c>
      <c r="K809">
        <f t="shared" si="49"/>
        <v>672</v>
      </c>
    </row>
    <row r="810" spans="1:11" x14ac:dyDescent="0.2">
      <c r="A810" s="106">
        <f>_xlfn.XLOOKUP(B810,pratos!B:B,pratos!A:A,"não")</f>
        <v>376</v>
      </c>
      <c r="B810" s="52" t="s">
        <v>228</v>
      </c>
      <c r="C810" s="105">
        <f>_xlfn.XLOOKUP(D810,ingredientes!B:B,ingredientes!A:A,"não")</f>
        <v>24</v>
      </c>
      <c r="D810" s="150" t="s">
        <v>102</v>
      </c>
      <c r="E810" s="10">
        <v>1</v>
      </c>
      <c r="H810">
        <f t="shared" si="46"/>
        <v>376</v>
      </c>
      <c r="I810">
        <f t="shared" si="47"/>
        <v>24</v>
      </c>
      <c r="J810">
        <f t="shared" si="48"/>
        <v>1</v>
      </c>
      <c r="K810">
        <f t="shared" si="49"/>
        <v>400</v>
      </c>
    </row>
    <row r="811" spans="1:11" x14ac:dyDescent="0.2">
      <c r="A811" s="106">
        <f>_xlfn.XLOOKUP(B811,pratos!B:B,pratos!A:A,"não")</f>
        <v>376</v>
      </c>
      <c r="B811" s="52" t="s">
        <v>228</v>
      </c>
      <c r="C811" s="105">
        <f>_xlfn.XLOOKUP(D811,ingredientes!B:B,ingredientes!A:A,"não")</f>
        <v>92</v>
      </c>
      <c r="D811" s="138" t="s">
        <v>216</v>
      </c>
      <c r="E811" s="10">
        <v>5</v>
      </c>
      <c r="H811">
        <f t="shared" si="46"/>
        <v>376</v>
      </c>
      <c r="I811">
        <f t="shared" si="47"/>
        <v>92</v>
      </c>
      <c r="J811">
        <f t="shared" si="48"/>
        <v>5</v>
      </c>
      <c r="K811">
        <f t="shared" si="49"/>
        <v>468</v>
      </c>
    </row>
    <row r="812" spans="1:11" x14ac:dyDescent="0.2">
      <c r="A812" s="106">
        <f>_xlfn.XLOOKUP(B812,pratos!B:B,pratos!A:A,"não")</f>
        <v>376</v>
      </c>
      <c r="B812" s="52" t="s">
        <v>228</v>
      </c>
      <c r="C812" s="105">
        <f>_xlfn.XLOOKUP(D812,ingredientes!B:B,ingredientes!A:A,"não")</f>
        <v>96</v>
      </c>
      <c r="D812" t="s">
        <v>641</v>
      </c>
      <c r="E812" s="10">
        <v>5</v>
      </c>
      <c r="H812">
        <f t="shared" si="46"/>
        <v>376</v>
      </c>
      <c r="I812">
        <f t="shared" si="47"/>
        <v>96</v>
      </c>
      <c r="J812">
        <f t="shared" si="48"/>
        <v>5</v>
      </c>
      <c r="K812">
        <f t="shared" si="49"/>
        <v>472</v>
      </c>
    </row>
    <row r="813" spans="1:11" x14ac:dyDescent="0.2">
      <c r="A813" s="106">
        <f>_xlfn.XLOOKUP(B813,pratos!B:B,pratos!A:A,"não")</f>
        <v>376</v>
      </c>
      <c r="B813" s="52" t="s">
        <v>228</v>
      </c>
      <c r="C813" s="105">
        <f>_xlfn.XLOOKUP(D813,ingredientes!B:B,ingredientes!A:A,"não")</f>
        <v>297</v>
      </c>
      <c r="D813" t="s">
        <v>387</v>
      </c>
      <c r="E813" s="17">
        <v>150</v>
      </c>
      <c r="H813">
        <f t="shared" si="46"/>
        <v>376</v>
      </c>
      <c r="I813">
        <f t="shared" si="47"/>
        <v>297</v>
      </c>
      <c r="J813">
        <f t="shared" si="48"/>
        <v>150</v>
      </c>
      <c r="K813">
        <f t="shared" si="49"/>
        <v>673</v>
      </c>
    </row>
    <row r="814" spans="1:11" x14ac:dyDescent="0.2">
      <c r="A814" s="106">
        <f>_xlfn.XLOOKUP(B814,pratos!B:B,pratos!A:A,"não")</f>
        <v>376</v>
      </c>
      <c r="B814" s="52" t="s">
        <v>228</v>
      </c>
      <c r="C814" s="105">
        <f>_xlfn.XLOOKUP(D814,ingredientes!B:B,ingredientes!A:A,"não")</f>
        <v>297</v>
      </c>
      <c r="D814" t="s">
        <v>387</v>
      </c>
      <c r="E814" s="10">
        <v>50</v>
      </c>
      <c r="H814">
        <f t="shared" si="46"/>
        <v>376</v>
      </c>
      <c r="I814">
        <f t="shared" si="47"/>
        <v>297</v>
      </c>
      <c r="J814">
        <f t="shared" si="48"/>
        <v>50</v>
      </c>
      <c r="K814">
        <f t="shared" si="49"/>
        <v>673</v>
      </c>
    </row>
    <row r="815" spans="1:11" x14ac:dyDescent="0.2">
      <c r="A815" s="106">
        <f>_xlfn.XLOOKUP(B815,pratos!B:B,pratos!A:A,"não")</f>
        <v>376</v>
      </c>
      <c r="B815" s="52" t="s">
        <v>228</v>
      </c>
      <c r="C815" s="105">
        <f>_xlfn.XLOOKUP(D815,ingredientes!B:B,ingredientes!A:A,"não")</f>
        <v>297</v>
      </c>
      <c r="D815" t="s">
        <v>387</v>
      </c>
      <c r="E815" s="10">
        <v>100</v>
      </c>
      <c r="H815">
        <f t="shared" si="46"/>
        <v>376</v>
      </c>
      <c r="I815">
        <f t="shared" si="47"/>
        <v>297</v>
      </c>
      <c r="J815">
        <f t="shared" si="48"/>
        <v>100</v>
      </c>
      <c r="K815">
        <f t="shared" si="49"/>
        <v>673</v>
      </c>
    </row>
    <row r="816" spans="1:11" x14ac:dyDescent="0.2">
      <c r="A816" s="106">
        <f>_xlfn.XLOOKUP(B816,pratos!B:B,pratos!A:A,"não")</f>
        <v>376</v>
      </c>
      <c r="B816" s="52" t="s">
        <v>228</v>
      </c>
      <c r="C816" s="105">
        <f>_xlfn.XLOOKUP(D816,ingredientes!B:B,ingredientes!A:A,"não")</f>
        <v>311</v>
      </c>
      <c r="D816" s="165" t="s">
        <v>217</v>
      </c>
      <c r="E816" s="10">
        <v>5</v>
      </c>
      <c r="H816">
        <f t="shared" si="46"/>
        <v>376</v>
      </c>
      <c r="I816">
        <f t="shared" si="47"/>
        <v>311</v>
      </c>
      <c r="J816">
        <f t="shared" si="48"/>
        <v>5</v>
      </c>
      <c r="K816">
        <f t="shared" si="49"/>
        <v>687</v>
      </c>
    </row>
    <row r="817" spans="1:11" ht="25.5" x14ac:dyDescent="0.2">
      <c r="A817" s="106">
        <f>_xlfn.XLOOKUP(B817,pratos!B:B,pratos!A:A,"não")</f>
        <v>377</v>
      </c>
      <c r="B817" s="52" t="s">
        <v>215</v>
      </c>
      <c r="C817" s="105">
        <f>_xlfn.XLOOKUP(D817,ingredientes!B:B,ingredientes!A:A,"não")</f>
        <v>24</v>
      </c>
      <c r="D817" s="49" t="s">
        <v>102</v>
      </c>
      <c r="E817" s="10">
        <v>1</v>
      </c>
      <c r="H817">
        <f t="shared" si="46"/>
        <v>377</v>
      </c>
      <c r="I817">
        <f t="shared" si="47"/>
        <v>24</v>
      </c>
      <c r="J817">
        <f t="shared" si="48"/>
        <v>1</v>
      </c>
      <c r="K817">
        <f t="shared" si="49"/>
        <v>401</v>
      </c>
    </row>
    <row r="818" spans="1:11" ht="25.5" x14ac:dyDescent="0.2">
      <c r="A818" s="106">
        <f>_xlfn.XLOOKUP(B818,pratos!B:B,pratos!A:A,"não")</f>
        <v>377</v>
      </c>
      <c r="B818" s="52" t="s">
        <v>215</v>
      </c>
      <c r="C818" s="105">
        <f>_xlfn.XLOOKUP(D818,ingredientes!B:B,ingredientes!A:A,"não")</f>
        <v>43</v>
      </c>
      <c r="D818" s="24" t="s">
        <v>218</v>
      </c>
      <c r="E818" s="10">
        <v>5</v>
      </c>
      <c r="H818">
        <f t="shared" si="46"/>
        <v>377</v>
      </c>
      <c r="I818">
        <f t="shared" si="47"/>
        <v>43</v>
      </c>
      <c r="J818">
        <f t="shared" si="48"/>
        <v>5</v>
      </c>
      <c r="K818">
        <f t="shared" si="49"/>
        <v>420</v>
      </c>
    </row>
    <row r="819" spans="1:11" ht="25.5" x14ac:dyDescent="0.2">
      <c r="A819" s="106">
        <f>_xlfn.XLOOKUP(B819,pratos!B:B,pratos!A:A,"não")</f>
        <v>377</v>
      </c>
      <c r="B819" s="52" t="s">
        <v>215</v>
      </c>
      <c r="C819" s="105">
        <f>_xlfn.XLOOKUP(D819,ingredientes!B:B,ingredientes!A:A,"não")</f>
        <v>92</v>
      </c>
      <c r="D819" s="9" t="s">
        <v>216</v>
      </c>
      <c r="E819" s="10">
        <v>5</v>
      </c>
      <c r="H819">
        <f t="shared" si="46"/>
        <v>377</v>
      </c>
      <c r="I819">
        <f t="shared" si="47"/>
        <v>92</v>
      </c>
      <c r="J819">
        <f t="shared" si="48"/>
        <v>5</v>
      </c>
      <c r="K819">
        <f t="shared" si="49"/>
        <v>469</v>
      </c>
    </row>
    <row r="820" spans="1:11" ht="25.5" x14ac:dyDescent="0.2">
      <c r="A820" s="106">
        <f>_xlfn.XLOOKUP(B820,pratos!B:B,pratos!A:A,"não")</f>
        <v>377</v>
      </c>
      <c r="B820" s="52" t="s">
        <v>215</v>
      </c>
      <c r="C820" s="105">
        <f>_xlfn.XLOOKUP(D820,ingredientes!B:B,ingredientes!A:A,"não")</f>
        <v>96</v>
      </c>
      <c r="D820" s="30" t="s">
        <v>641</v>
      </c>
      <c r="E820" s="10">
        <v>5</v>
      </c>
      <c r="H820">
        <f t="shared" si="46"/>
        <v>377</v>
      </c>
      <c r="I820">
        <f t="shared" si="47"/>
        <v>96</v>
      </c>
      <c r="J820">
        <f t="shared" si="48"/>
        <v>5</v>
      </c>
      <c r="K820">
        <f t="shared" si="49"/>
        <v>473</v>
      </c>
    </row>
    <row r="821" spans="1:11" ht="25.5" x14ac:dyDescent="0.2">
      <c r="A821" s="106">
        <f>_xlfn.XLOOKUP(B821,pratos!B:B,pratos!A:A,"não")</f>
        <v>377</v>
      </c>
      <c r="B821" s="52" t="s">
        <v>215</v>
      </c>
      <c r="C821" s="105">
        <f>_xlfn.XLOOKUP(D821,ingredientes!B:B,ingredientes!A:A,"não")</f>
        <v>297</v>
      </c>
      <c r="D821" s="30" t="s">
        <v>387</v>
      </c>
      <c r="E821" s="10">
        <v>150</v>
      </c>
      <c r="H821">
        <f t="shared" si="46"/>
        <v>377</v>
      </c>
      <c r="I821">
        <f t="shared" si="47"/>
        <v>297</v>
      </c>
      <c r="J821">
        <f t="shared" si="48"/>
        <v>150</v>
      </c>
      <c r="K821">
        <f t="shared" si="49"/>
        <v>674</v>
      </c>
    </row>
    <row r="822" spans="1:11" ht="25.5" x14ac:dyDescent="0.2">
      <c r="A822" s="106">
        <f>_xlfn.XLOOKUP(B822,pratos!B:B,pratos!A:A,"não")</f>
        <v>377</v>
      </c>
      <c r="B822" s="52" t="s">
        <v>215</v>
      </c>
      <c r="C822" s="105">
        <f>_xlfn.XLOOKUP(D822,ingredientes!B:B,ingredientes!A:A,"não")</f>
        <v>311</v>
      </c>
      <c r="D822" s="14" t="s">
        <v>217</v>
      </c>
      <c r="E822" s="10">
        <v>5</v>
      </c>
      <c r="H822">
        <f t="shared" si="46"/>
        <v>377</v>
      </c>
      <c r="I822">
        <f t="shared" si="47"/>
        <v>311</v>
      </c>
      <c r="J822">
        <f t="shared" si="48"/>
        <v>5</v>
      </c>
      <c r="K822">
        <f t="shared" si="49"/>
        <v>688</v>
      </c>
    </row>
    <row r="823" spans="1:11" x14ac:dyDescent="0.2">
      <c r="A823" s="106">
        <f>_xlfn.XLOOKUP(B823,pratos!B:B,pratos!A:A,"não")</f>
        <v>378</v>
      </c>
      <c r="B823" s="116" t="s">
        <v>488</v>
      </c>
      <c r="C823" s="105">
        <f>_xlfn.XLOOKUP(D823,ingredientes!B:B,ingredientes!A:A,"não")</f>
        <v>297</v>
      </c>
      <c r="D823" s="30" t="s">
        <v>387</v>
      </c>
      <c r="E823" s="17">
        <v>150</v>
      </c>
      <c r="H823">
        <f t="shared" si="46"/>
        <v>378</v>
      </c>
      <c r="I823">
        <f t="shared" si="47"/>
        <v>297</v>
      </c>
      <c r="J823">
        <f t="shared" si="48"/>
        <v>150</v>
      </c>
      <c r="K823">
        <f t="shared" si="49"/>
        <v>675</v>
      </c>
    </row>
    <row r="824" spans="1:11" x14ac:dyDescent="0.2">
      <c r="A824" s="106">
        <f>_xlfn.XLOOKUP(B824,pratos!B:B,pratos!A:A,"não")</f>
        <v>379</v>
      </c>
      <c r="B824" s="52" t="s">
        <v>386</v>
      </c>
      <c r="C824" s="105">
        <f>_xlfn.XLOOKUP(D824,ingredientes!B:B,ingredientes!A:A,"não")</f>
        <v>297</v>
      </c>
      <c r="D824" s="138" t="s">
        <v>387</v>
      </c>
      <c r="E824" s="10">
        <v>150</v>
      </c>
      <c r="H824">
        <f t="shared" si="46"/>
        <v>379</v>
      </c>
      <c r="I824">
        <f t="shared" si="47"/>
        <v>297</v>
      </c>
      <c r="J824">
        <f t="shared" si="48"/>
        <v>150</v>
      </c>
      <c r="K824">
        <f t="shared" si="49"/>
        <v>676</v>
      </c>
    </row>
    <row r="825" spans="1:11" x14ac:dyDescent="0.2">
      <c r="A825" s="106">
        <f>_xlfn.XLOOKUP(B825,pratos!B:B,pratos!A:A,"não")</f>
        <v>380</v>
      </c>
      <c r="B825" s="109" t="s">
        <v>392</v>
      </c>
      <c r="C825" s="105">
        <f>_xlfn.XLOOKUP(D825,ingredientes!B:B,ingredientes!A:A,"não")</f>
        <v>297</v>
      </c>
      <c r="D825" t="s">
        <v>387</v>
      </c>
      <c r="E825" s="10">
        <v>150</v>
      </c>
      <c r="H825">
        <f t="shared" si="46"/>
        <v>380</v>
      </c>
      <c r="I825">
        <f t="shared" si="47"/>
        <v>297</v>
      </c>
      <c r="J825">
        <f t="shared" si="48"/>
        <v>150</v>
      </c>
      <c r="K825">
        <f t="shared" si="49"/>
        <v>677</v>
      </c>
    </row>
    <row r="826" spans="1:11" x14ac:dyDescent="0.2">
      <c r="A826" s="106">
        <f>_xlfn.XLOOKUP(B826,pratos!B:B,pratos!A:A,"não")</f>
        <v>381</v>
      </c>
      <c r="B826" s="116" t="s">
        <v>575</v>
      </c>
      <c r="C826" s="105">
        <f>_xlfn.XLOOKUP(D826,ingredientes!B:B,ingredientes!A:A,"não")</f>
        <v>117</v>
      </c>
      <c r="D826" t="s">
        <v>648</v>
      </c>
      <c r="E826" s="31">
        <v>55</v>
      </c>
      <c r="H826">
        <f t="shared" si="46"/>
        <v>381</v>
      </c>
      <c r="I826">
        <f t="shared" si="47"/>
        <v>117</v>
      </c>
      <c r="J826">
        <f t="shared" si="48"/>
        <v>55</v>
      </c>
      <c r="K826">
        <f t="shared" si="49"/>
        <v>498</v>
      </c>
    </row>
    <row r="827" spans="1:11" x14ac:dyDescent="0.2">
      <c r="A827" s="106">
        <f>_xlfn.XLOOKUP(B827,pratos!B:B,pratos!A:A,"não")</f>
        <v>382</v>
      </c>
      <c r="B827" s="116" t="s">
        <v>582</v>
      </c>
      <c r="C827" s="105">
        <f>_xlfn.XLOOKUP(D827,ingredientes!B:B,ingredientes!A:A,"não")</f>
        <v>117</v>
      </c>
      <c r="D827" s="30" t="s">
        <v>648</v>
      </c>
      <c r="E827" s="31">
        <v>55</v>
      </c>
      <c r="H827">
        <f t="shared" si="46"/>
        <v>382</v>
      </c>
      <c r="I827">
        <f t="shared" si="47"/>
        <v>117</v>
      </c>
      <c r="J827">
        <f t="shared" si="48"/>
        <v>55</v>
      </c>
      <c r="K827">
        <f t="shared" si="49"/>
        <v>499</v>
      </c>
    </row>
    <row r="828" spans="1:11" x14ac:dyDescent="0.2">
      <c r="A828" s="106">
        <f>_xlfn.XLOOKUP(B828,pratos!B:B,pratos!A:A,"não")</f>
        <v>382</v>
      </c>
      <c r="B828" s="116" t="s">
        <v>582</v>
      </c>
      <c r="C828" s="105">
        <f>_xlfn.XLOOKUP(D828,ingredientes!B:B,ingredientes!A:A,"não")</f>
        <v>117</v>
      </c>
      <c r="D828" s="30" t="s">
        <v>648</v>
      </c>
      <c r="E828" s="31">
        <v>90</v>
      </c>
      <c r="H828">
        <f t="shared" si="46"/>
        <v>382</v>
      </c>
      <c r="I828">
        <f t="shared" si="47"/>
        <v>117</v>
      </c>
      <c r="J828">
        <f t="shared" si="48"/>
        <v>90</v>
      </c>
      <c r="K828">
        <f t="shared" si="49"/>
        <v>499</v>
      </c>
    </row>
    <row r="829" spans="1:11" x14ac:dyDescent="0.2">
      <c r="A829" s="106">
        <f>_xlfn.XLOOKUP(B829,pratos!B:B,pratos!A:A,"não")</f>
        <v>383</v>
      </c>
      <c r="B829" s="108" t="s">
        <v>108</v>
      </c>
      <c r="C829" s="105">
        <f>_xlfn.XLOOKUP(D829,ingredientes!B:B,ingredientes!A:A,"não")</f>
        <v>117</v>
      </c>
      <c r="D829" s="30" t="s">
        <v>648</v>
      </c>
      <c r="E829" s="31">
        <v>65</v>
      </c>
      <c r="H829">
        <f t="shared" si="46"/>
        <v>383</v>
      </c>
      <c r="I829">
        <f t="shared" si="47"/>
        <v>117</v>
      </c>
      <c r="J829">
        <f t="shared" si="48"/>
        <v>65</v>
      </c>
      <c r="K829">
        <f t="shared" si="49"/>
        <v>500</v>
      </c>
    </row>
    <row r="830" spans="1:11" x14ac:dyDescent="0.2">
      <c r="A830" s="106">
        <f>_xlfn.XLOOKUP(B830,pratos!B:B,pratos!A:A,"não")</f>
        <v>383</v>
      </c>
      <c r="B830" s="111" t="s">
        <v>128</v>
      </c>
      <c r="C830" s="105">
        <f>_xlfn.XLOOKUP(D830,ingredientes!B:B,ingredientes!A:A,"não")</f>
        <v>117</v>
      </c>
      <c r="D830" s="30" t="s">
        <v>648</v>
      </c>
      <c r="E830" s="31">
        <v>90</v>
      </c>
      <c r="H830">
        <f t="shared" si="46"/>
        <v>383</v>
      </c>
      <c r="I830">
        <f t="shared" si="47"/>
        <v>117</v>
      </c>
      <c r="J830">
        <f t="shared" si="48"/>
        <v>90</v>
      </c>
      <c r="K830">
        <f t="shared" si="49"/>
        <v>500</v>
      </c>
    </row>
    <row r="831" spans="1:11" x14ac:dyDescent="0.2">
      <c r="A831" s="106">
        <f>_xlfn.XLOOKUP(B831,pratos!B:B,pratos!A:A,"não")</f>
        <v>383</v>
      </c>
      <c r="B831" s="108" t="s">
        <v>108</v>
      </c>
      <c r="C831" s="105">
        <f>_xlfn.XLOOKUP(D831,ingredientes!B:B,ingredientes!A:A,"não")</f>
        <v>177</v>
      </c>
      <c r="D831" s="33" t="s">
        <v>6</v>
      </c>
      <c r="E831" s="34">
        <v>100</v>
      </c>
      <c r="H831">
        <f t="shared" si="46"/>
        <v>383</v>
      </c>
      <c r="I831">
        <f t="shared" si="47"/>
        <v>177</v>
      </c>
      <c r="J831">
        <f t="shared" si="48"/>
        <v>100</v>
      </c>
      <c r="K831">
        <f t="shared" si="49"/>
        <v>560</v>
      </c>
    </row>
    <row r="832" spans="1:11" x14ac:dyDescent="0.2">
      <c r="A832" s="106">
        <f>_xlfn.XLOOKUP(B832,pratos!B:B,pratos!A:A,"não")</f>
        <v>383</v>
      </c>
      <c r="B832" s="113" t="s">
        <v>128</v>
      </c>
      <c r="C832" s="105">
        <f>_xlfn.XLOOKUP(D832,ingredientes!B:B,ingredientes!A:A,"não")</f>
        <v>177</v>
      </c>
      <c r="D832" s="33" t="s">
        <v>6</v>
      </c>
      <c r="E832" s="34">
        <v>135</v>
      </c>
      <c r="H832">
        <f t="shared" ref="H832:H895" si="50">A832</f>
        <v>383</v>
      </c>
      <c r="I832">
        <f t="shared" ref="I832:I895" si="51">C832</f>
        <v>177</v>
      </c>
      <c r="J832">
        <f t="shared" ref="J832:J895" si="52">E832</f>
        <v>135</v>
      </c>
      <c r="K832">
        <f t="shared" si="49"/>
        <v>560</v>
      </c>
    </row>
    <row r="833" spans="1:11" x14ac:dyDescent="0.2">
      <c r="A833" s="106">
        <f>_xlfn.XLOOKUP(B833,pratos!B:B,pratos!A:A,"não")</f>
        <v>383</v>
      </c>
      <c r="B833" s="108" t="s">
        <v>108</v>
      </c>
      <c r="C833" s="105">
        <f>_xlfn.XLOOKUP(D833,ingredientes!B:B,ingredientes!A:A,"não")</f>
        <v>197</v>
      </c>
      <c r="D833" s="30" t="s">
        <v>109</v>
      </c>
      <c r="E833" s="32">
        <v>5</v>
      </c>
      <c r="H833">
        <f t="shared" si="50"/>
        <v>383</v>
      </c>
      <c r="I833">
        <f t="shared" si="51"/>
        <v>197</v>
      </c>
      <c r="J833">
        <f t="shared" si="52"/>
        <v>5</v>
      </c>
      <c r="K833">
        <f t="shared" si="49"/>
        <v>580</v>
      </c>
    </row>
    <row r="834" spans="1:11" x14ac:dyDescent="0.2">
      <c r="A834" s="106">
        <f>_xlfn.XLOOKUP(B834,pratos!B:B,pratos!A:A,"não")</f>
        <v>383</v>
      </c>
      <c r="B834" s="113" t="s">
        <v>128</v>
      </c>
      <c r="C834" s="105">
        <f>_xlfn.XLOOKUP(D834,ingredientes!B:B,ingredientes!A:A,"não")</f>
        <v>197</v>
      </c>
      <c r="D834" s="30" t="s">
        <v>109</v>
      </c>
      <c r="E834" s="32">
        <v>6.5</v>
      </c>
      <c r="H834">
        <f t="shared" si="50"/>
        <v>383</v>
      </c>
      <c r="I834">
        <f t="shared" si="51"/>
        <v>197</v>
      </c>
      <c r="J834">
        <f t="shared" si="52"/>
        <v>6.5</v>
      </c>
      <c r="K834">
        <f t="shared" si="49"/>
        <v>580</v>
      </c>
    </row>
    <row r="835" spans="1:11" x14ac:dyDescent="0.2">
      <c r="A835" s="106">
        <f>_xlfn.XLOOKUP(B835,pratos!B:B,pratos!A:A,"não")</f>
        <v>383</v>
      </c>
      <c r="B835" s="113" t="s">
        <v>128</v>
      </c>
      <c r="C835" s="105">
        <f>_xlfn.XLOOKUP(D835,ingredientes!B:B,ingredientes!A:A,"não")</f>
        <v>242</v>
      </c>
      <c r="D835" s="30" t="s">
        <v>276</v>
      </c>
      <c r="E835" s="10">
        <v>60</v>
      </c>
      <c r="H835">
        <f t="shared" si="50"/>
        <v>383</v>
      </c>
      <c r="I835">
        <f t="shared" si="51"/>
        <v>242</v>
      </c>
      <c r="J835">
        <f t="shared" si="52"/>
        <v>60</v>
      </c>
      <c r="K835">
        <f t="shared" ref="K835:K898" si="53">H835+I835</f>
        <v>625</v>
      </c>
    </row>
    <row r="836" spans="1:11" x14ac:dyDescent="0.2">
      <c r="A836" s="106">
        <f>_xlfn.XLOOKUP(B836,pratos!B:B,pratos!A:A,"não")</f>
        <v>383</v>
      </c>
      <c r="B836" s="108" t="s">
        <v>108</v>
      </c>
      <c r="C836" s="105">
        <f>_xlfn.XLOOKUP(D836,ingredientes!B:B,ingredientes!A:A,"não")</f>
        <v>315</v>
      </c>
      <c r="D836" s="30" t="s">
        <v>110</v>
      </c>
      <c r="E836" s="31">
        <v>8</v>
      </c>
      <c r="H836">
        <f t="shared" si="50"/>
        <v>383</v>
      </c>
      <c r="I836">
        <f t="shared" si="51"/>
        <v>315</v>
      </c>
      <c r="J836">
        <f t="shared" si="52"/>
        <v>8</v>
      </c>
      <c r="K836">
        <f t="shared" si="53"/>
        <v>698</v>
      </c>
    </row>
    <row r="837" spans="1:11" x14ac:dyDescent="0.2">
      <c r="A837" s="106">
        <f>_xlfn.XLOOKUP(B837,pratos!B:B,pratos!A:A,"não")</f>
        <v>383</v>
      </c>
      <c r="B837" s="113" t="s">
        <v>128</v>
      </c>
      <c r="C837" s="105">
        <f>_xlfn.XLOOKUP(D837,ingredientes!B:B,ingredientes!A:A,"não")</f>
        <v>315</v>
      </c>
      <c r="D837" s="30" t="s">
        <v>110</v>
      </c>
      <c r="E837" s="31">
        <v>11</v>
      </c>
      <c r="H837">
        <f t="shared" si="50"/>
        <v>383</v>
      </c>
      <c r="I837">
        <f t="shared" si="51"/>
        <v>315</v>
      </c>
      <c r="J837">
        <f t="shared" si="52"/>
        <v>11</v>
      </c>
      <c r="K837">
        <f t="shared" si="53"/>
        <v>698</v>
      </c>
    </row>
    <row r="838" spans="1:11" x14ac:dyDescent="0.2">
      <c r="A838" s="106">
        <f>_xlfn.XLOOKUP(B838,pratos!B:B,pratos!A:A,"não")</f>
        <v>384</v>
      </c>
      <c r="B838" s="111" t="s">
        <v>120</v>
      </c>
      <c r="C838" s="105">
        <f>_xlfn.XLOOKUP(D838,ingredientes!B:B,ingredientes!A:A,"não")</f>
        <v>117</v>
      </c>
      <c r="D838" s="30" t="s">
        <v>648</v>
      </c>
      <c r="E838" s="31">
        <v>65</v>
      </c>
      <c r="H838">
        <f t="shared" si="50"/>
        <v>384</v>
      </c>
      <c r="I838">
        <f t="shared" si="51"/>
        <v>117</v>
      </c>
      <c r="J838">
        <f t="shared" si="52"/>
        <v>65</v>
      </c>
      <c r="K838">
        <f t="shared" si="53"/>
        <v>501</v>
      </c>
    </row>
    <row r="839" spans="1:11" x14ac:dyDescent="0.2">
      <c r="A839" s="106">
        <f>_xlfn.XLOOKUP(B839,pratos!B:B,pratos!A:A,"não")</f>
        <v>384</v>
      </c>
      <c r="B839" s="111" t="s">
        <v>120</v>
      </c>
      <c r="C839" s="105">
        <f>_xlfn.XLOOKUP(D839,ingredientes!B:B,ingredientes!A:A,"não")</f>
        <v>117</v>
      </c>
      <c r="D839" s="30" t="s">
        <v>648</v>
      </c>
      <c r="E839" s="31">
        <v>90</v>
      </c>
      <c r="H839">
        <f t="shared" si="50"/>
        <v>384</v>
      </c>
      <c r="I839">
        <f t="shared" si="51"/>
        <v>117</v>
      </c>
      <c r="J839">
        <f t="shared" si="52"/>
        <v>90</v>
      </c>
      <c r="K839">
        <f t="shared" si="53"/>
        <v>501</v>
      </c>
    </row>
    <row r="840" spans="1:11" x14ac:dyDescent="0.2">
      <c r="A840" s="106">
        <f>_xlfn.XLOOKUP(B840,pratos!B:B,pratos!A:A,"não")</f>
        <v>384</v>
      </c>
      <c r="B840" s="111" t="s">
        <v>120</v>
      </c>
      <c r="C840" s="105">
        <f>_xlfn.XLOOKUP(D840,ingredientes!B:B,ingredientes!A:A,"não")</f>
        <v>177</v>
      </c>
      <c r="D840" s="33" t="s">
        <v>6</v>
      </c>
      <c r="E840" s="34">
        <v>100</v>
      </c>
      <c r="H840">
        <f t="shared" si="50"/>
        <v>384</v>
      </c>
      <c r="I840">
        <f t="shared" si="51"/>
        <v>177</v>
      </c>
      <c r="J840">
        <f t="shared" si="52"/>
        <v>100</v>
      </c>
      <c r="K840">
        <f t="shared" si="53"/>
        <v>561</v>
      </c>
    </row>
    <row r="841" spans="1:11" x14ac:dyDescent="0.2">
      <c r="A841" s="106">
        <f>_xlfn.XLOOKUP(B841,pratos!B:B,pratos!A:A,"não")</f>
        <v>384</v>
      </c>
      <c r="B841" s="116" t="s">
        <v>120</v>
      </c>
      <c r="C841" s="105">
        <f>_xlfn.XLOOKUP(D841,ingredientes!B:B,ingredientes!A:A,"não")</f>
        <v>177</v>
      </c>
      <c r="D841" s="33" t="s">
        <v>6</v>
      </c>
      <c r="E841" s="34">
        <v>135</v>
      </c>
      <c r="H841">
        <f t="shared" si="50"/>
        <v>384</v>
      </c>
      <c r="I841">
        <f t="shared" si="51"/>
        <v>177</v>
      </c>
      <c r="J841">
        <f t="shared" si="52"/>
        <v>135</v>
      </c>
      <c r="K841">
        <f t="shared" si="53"/>
        <v>561</v>
      </c>
    </row>
    <row r="842" spans="1:11" x14ac:dyDescent="0.2">
      <c r="A842" s="106">
        <f>_xlfn.XLOOKUP(B842,pratos!B:B,pratos!A:A,"não")</f>
        <v>384</v>
      </c>
      <c r="B842" s="111" t="s">
        <v>120</v>
      </c>
      <c r="C842" s="105">
        <f>_xlfn.XLOOKUP(D842,ingredientes!B:B,ingredientes!A:A,"não")</f>
        <v>197</v>
      </c>
      <c r="D842" s="30" t="s">
        <v>109</v>
      </c>
      <c r="E842" s="32">
        <v>5</v>
      </c>
      <c r="H842">
        <f t="shared" si="50"/>
        <v>384</v>
      </c>
      <c r="I842">
        <f t="shared" si="51"/>
        <v>197</v>
      </c>
      <c r="J842">
        <f t="shared" si="52"/>
        <v>5</v>
      </c>
      <c r="K842">
        <f t="shared" si="53"/>
        <v>581</v>
      </c>
    </row>
    <row r="843" spans="1:11" x14ac:dyDescent="0.2">
      <c r="A843" s="106">
        <f>_xlfn.XLOOKUP(B843,pratos!B:B,pratos!A:A,"não")</f>
        <v>384</v>
      </c>
      <c r="B843" s="116" t="s">
        <v>120</v>
      </c>
      <c r="C843" s="105">
        <f>_xlfn.XLOOKUP(D843,ingredientes!B:B,ingredientes!A:A,"não")</f>
        <v>197</v>
      </c>
      <c r="D843" s="30" t="s">
        <v>109</v>
      </c>
      <c r="E843" s="32">
        <v>6.5</v>
      </c>
      <c r="H843">
        <f t="shared" si="50"/>
        <v>384</v>
      </c>
      <c r="I843">
        <f t="shared" si="51"/>
        <v>197</v>
      </c>
      <c r="J843">
        <f t="shared" si="52"/>
        <v>6.5</v>
      </c>
      <c r="K843">
        <f t="shared" si="53"/>
        <v>581</v>
      </c>
    </row>
    <row r="844" spans="1:11" x14ac:dyDescent="0.2">
      <c r="A844" s="106">
        <f>_xlfn.XLOOKUP(B844,pratos!B:B,pratos!A:A,"não")</f>
        <v>384</v>
      </c>
      <c r="B844" s="111" t="s">
        <v>120</v>
      </c>
      <c r="C844" s="105">
        <f>_xlfn.XLOOKUP(D844,ingredientes!B:B,ingredientes!A:A,"não")</f>
        <v>242</v>
      </c>
      <c r="D844" s="30" t="s">
        <v>276</v>
      </c>
      <c r="E844" s="17">
        <v>60</v>
      </c>
      <c r="H844">
        <f t="shared" si="50"/>
        <v>384</v>
      </c>
      <c r="I844">
        <f t="shared" si="51"/>
        <v>242</v>
      </c>
      <c r="J844">
        <f t="shared" si="52"/>
        <v>60</v>
      </c>
      <c r="K844">
        <f t="shared" si="53"/>
        <v>626</v>
      </c>
    </row>
    <row r="845" spans="1:11" x14ac:dyDescent="0.2">
      <c r="A845" s="106">
        <f>_xlfn.XLOOKUP(B845,pratos!B:B,pratos!A:A,"não")</f>
        <v>384</v>
      </c>
      <c r="B845" s="111" t="s">
        <v>120</v>
      </c>
      <c r="C845" s="105">
        <f>_xlfn.XLOOKUP(D845,ingredientes!B:B,ingredientes!A:A,"não")</f>
        <v>315</v>
      </c>
      <c r="D845" s="30" t="s">
        <v>110</v>
      </c>
      <c r="E845" s="31">
        <v>8</v>
      </c>
      <c r="H845">
        <f t="shared" si="50"/>
        <v>384</v>
      </c>
      <c r="I845">
        <f t="shared" si="51"/>
        <v>315</v>
      </c>
      <c r="J845">
        <f t="shared" si="52"/>
        <v>8</v>
      </c>
      <c r="K845">
        <f t="shared" si="53"/>
        <v>699</v>
      </c>
    </row>
    <row r="846" spans="1:11" x14ac:dyDescent="0.2">
      <c r="A846" s="106">
        <f>_xlfn.XLOOKUP(B846,pratos!B:B,pratos!A:A,"não")</f>
        <v>384</v>
      </c>
      <c r="B846" s="116" t="s">
        <v>120</v>
      </c>
      <c r="C846" s="105">
        <f>_xlfn.XLOOKUP(D846,ingredientes!B:B,ingredientes!A:A,"não")</f>
        <v>315</v>
      </c>
      <c r="D846" s="30" t="s">
        <v>110</v>
      </c>
      <c r="E846" s="31">
        <v>11</v>
      </c>
      <c r="H846">
        <f t="shared" si="50"/>
        <v>384</v>
      </c>
      <c r="I846">
        <f t="shared" si="51"/>
        <v>315</v>
      </c>
      <c r="J846">
        <f t="shared" si="52"/>
        <v>11</v>
      </c>
      <c r="K846">
        <f t="shared" si="53"/>
        <v>699</v>
      </c>
    </row>
    <row r="847" spans="1:11" x14ac:dyDescent="0.2">
      <c r="A847" s="106">
        <f>_xlfn.XLOOKUP(B847,pratos!B:B,pratos!A:A,"não")</f>
        <v>385</v>
      </c>
      <c r="B847" s="111" t="s">
        <v>590</v>
      </c>
      <c r="C847" s="105">
        <f>_xlfn.XLOOKUP(D847,ingredientes!B:B,ingredientes!A:A,"não")</f>
        <v>95</v>
      </c>
      <c r="D847" s="22" t="s">
        <v>591</v>
      </c>
      <c r="E847" s="19">
        <v>25</v>
      </c>
      <c r="H847">
        <f t="shared" si="50"/>
        <v>385</v>
      </c>
      <c r="I847">
        <f t="shared" si="51"/>
        <v>95</v>
      </c>
      <c r="J847">
        <f t="shared" si="52"/>
        <v>25</v>
      </c>
      <c r="K847">
        <f t="shared" si="53"/>
        <v>480</v>
      </c>
    </row>
    <row r="848" spans="1:11" x14ac:dyDescent="0.2">
      <c r="A848" s="106">
        <f>_xlfn.XLOOKUP(B848,pratos!B:B,pratos!A:A,"não")</f>
        <v>385</v>
      </c>
      <c r="B848" s="111" t="s">
        <v>590</v>
      </c>
      <c r="C848" s="105">
        <f>_xlfn.XLOOKUP(D848,ingredientes!B:B,ingredientes!A:A,"não")</f>
        <v>105</v>
      </c>
      <c r="D848" s="22" t="s">
        <v>592</v>
      </c>
      <c r="E848" s="19">
        <v>25</v>
      </c>
      <c r="H848">
        <f t="shared" si="50"/>
        <v>385</v>
      </c>
      <c r="I848">
        <f t="shared" si="51"/>
        <v>105</v>
      </c>
      <c r="J848">
        <f t="shared" si="52"/>
        <v>25</v>
      </c>
      <c r="K848">
        <f t="shared" si="53"/>
        <v>490</v>
      </c>
    </row>
    <row r="849" spans="1:11" x14ac:dyDescent="0.2">
      <c r="A849" s="106">
        <f>_xlfn.XLOOKUP(B849,pratos!B:B,pratos!A:A,"não")</f>
        <v>385</v>
      </c>
      <c r="B849" s="111" t="s">
        <v>590</v>
      </c>
      <c r="C849" s="105">
        <f>_xlfn.XLOOKUP(D849,ingredientes!B:B,ingredientes!A:A,"não")</f>
        <v>117</v>
      </c>
      <c r="D849" s="30" t="s">
        <v>648</v>
      </c>
      <c r="E849" s="19">
        <v>25</v>
      </c>
      <c r="H849">
        <f t="shared" si="50"/>
        <v>385</v>
      </c>
      <c r="I849">
        <f t="shared" si="51"/>
        <v>117</v>
      </c>
      <c r="J849">
        <f t="shared" si="52"/>
        <v>25</v>
      </c>
      <c r="K849">
        <f t="shared" si="53"/>
        <v>502</v>
      </c>
    </row>
    <row r="850" spans="1:11" x14ac:dyDescent="0.2">
      <c r="A850" s="106">
        <f>_xlfn.XLOOKUP(B850,pratos!B:B,pratos!A:A,"não")</f>
        <v>385</v>
      </c>
      <c r="B850" s="111" t="s">
        <v>590</v>
      </c>
      <c r="C850" s="105">
        <f>_xlfn.XLOOKUP(D850,ingredientes!B:B,ingredientes!A:A,"não")</f>
        <v>266</v>
      </c>
      <c r="D850" s="144" t="s">
        <v>593</v>
      </c>
      <c r="E850" s="19">
        <v>12</v>
      </c>
      <c r="H850">
        <f t="shared" si="50"/>
        <v>385</v>
      </c>
      <c r="I850">
        <f t="shared" si="51"/>
        <v>266</v>
      </c>
      <c r="J850">
        <f t="shared" si="52"/>
        <v>12</v>
      </c>
      <c r="K850">
        <f t="shared" si="53"/>
        <v>651</v>
      </c>
    </row>
    <row r="851" spans="1:11" x14ac:dyDescent="0.2">
      <c r="A851" s="106">
        <f>_xlfn.XLOOKUP(B851,pratos!B:B,pratos!A:A,"não")</f>
        <v>385</v>
      </c>
      <c r="B851" s="111" t="s">
        <v>590</v>
      </c>
      <c r="C851" s="105">
        <f>_xlfn.XLOOKUP(D851,ingredientes!B:B,ingredientes!A:A,"não")</f>
        <v>294</v>
      </c>
      <c r="D851" s="144" t="s">
        <v>43</v>
      </c>
      <c r="E851" s="19">
        <v>0.5</v>
      </c>
      <c r="H851">
        <f t="shared" si="50"/>
        <v>385</v>
      </c>
      <c r="I851">
        <f t="shared" si="51"/>
        <v>294</v>
      </c>
      <c r="J851">
        <f t="shared" si="52"/>
        <v>0.5</v>
      </c>
      <c r="K851">
        <f t="shared" si="53"/>
        <v>679</v>
      </c>
    </row>
    <row r="852" spans="1:11" x14ac:dyDescent="0.2">
      <c r="A852" s="106">
        <f>_xlfn.XLOOKUP(B852,pratos!B:B,pratos!A:A,"não")</f>
        <v>386</v>
      </c>
      <c r="B852" s="128" t="s">
        <v>398</v>
      </c>
      <c r="C852" s="105">
        <f>_xlfn.XLOOKUP(D852,ingredientes!B:B,ingredientes!A:A,"não")</f>
        <v>3</v>
      </c>
      <c r="D852" t="s">
        <v>604</v>
      </c>
      <c r="E852" s="10">
        <v>45</v>
      </c>
      <c r="H852">
        <f t="shared" si="50"/>
        <v>386</v>
      </c>
      <c r="I852">
        <f t="shared" si="51"/>
        <v>3</v>
      </c>
      <c r="J852">
        <f t="shared" si="52"/>
        <v>45</v>
      </c>
      <c r="K852">
        <f t="shared" si="53"/>
        <v>389</v>
      </c>
    </row>
    <row r="853" spans="1:11" x14ac:dyDescent="0.2">
      <c r="A853" s="106">
        <f>_xlfn.XLOOKUP(B853,pratos!B:B,pratos!A:A,"não")</f>
        <v>386</v>
      </c>
      <c r="B853" s="127" t="s">
        <v>398</v>
      </c>
      <c r="C853" s="105">
        <f>_xlfn.XLOOKUP(D853,ingredientes!B:B,ingredientes!A:A,"não")</f>
        <v>58</v>
      </c>
      <c r="D853" t="s">
        <v>618</v>
      </c>
      <c r="E853" s="68">
        <v>45</v>
      </c>
      <c r="H853">
        <f t="shared" si="50"/>
        <v>386</v>
      </c>
      <c r="I853">
        <f t="shared" si="51"/>
        <v>58</v>
      </c>
      <c r="J853">
        <f t="shared" si="52"/>
        <v>45</v>
      </c>
      <c r="K853">
        <f t="shared" si="53"/>
        <v>444</v>
      </c>
    </row>
    <row r="854" spans="1:11" x14ac:dyDescent="0.2">
      <c r="A854" s="106">
        <f>_xlfn.XLOOKUP(B854,pratos!B:B,pratos!A:A,"não")</f>
        <v>387</v>
      </c>
      <c r="B854" s="128" t="s">
        <v>400</v>
      </c>
      <c r="C854" s="105">
        <f>_xlfn.XLOOKUP(D854,ingredientes!B:B,ingredientes!A:A,"não")</f>
        <v>3</v>
      </c>
      <c r="D854" t="s">
        <v>604</v>
      </c>
      <c r="E854" s="10">
        <v>45</v>
      </c>
      <c r="H854">
        <f t="shared" si="50"/>
        <v>387</v>
      </c>
      <c r="I854">
        <f t="shared" si="51"/>
        <v>3</v>
      </c>
      <c r="J854">
        <f t="shared" si="52"/>
        <v>45</v>
      </c>
      <c r="K854">
        <f t="shared" si="53"/>
        <v>390</v>
      </c>
    </row>
    <row r="855" spans="1:11" x14ac:dyDescent="0.2">
      <c r="A855" s="106">
        <f>_xlfn.XLOOKUP(B855,pratos!B:B,pratos!A:A,"não")</f>
        <v>387</v>
      </c>
      <c r="B855" s="127" t="s">
        <v>400</v>
      </c>
      <c r="C855" s="105">
        <f>_xlfn.XLOOKUP(D855,ingredientes!B:B,ingredientes!A:A,"não")</f>
        <v>3</v>
      </c>
      <c r="D855" s="30" t="s">
        <v>604</v>
      </c>
      <c r="E855" s="10">
        <v>55</v>
      </c>
      <c r="H855">
        <f t="shared" si="50"/>
        <v>387</v>
      </c>
      <c r="I855">
        <f t="shared" si="51"/>
        <v>3</v>
      </c>
      <c r="J855">
        <f t="shared" si="52"/>
        <v>55</v>
      </c>
      <c r="K855">
        <f t="shared" si="53"/>
        <v>390</v>
      </c>
    </row>
    <row r="856" spans="1:11" x14ac:dyDescent="0.2">
      <c r="A856" s="106">
        <f>_xlfn.XLOOKUP(B856,pratos!B:B,pratos!A:A,"não")</f>
        <v>387</v>
      </c>
      <c r="B856" s="127" t="s">
        <v>400</v>
      </c>
      <c r="C856" s="105">
        <f>_xlfn.XLOOKUP(D856,ingredientes!B:B,ingredientes!A:A,"não")</f>
        <v>58</v>
      </c>
      <c r="D856" s="30" t="s">
        <v>618</v>
      </c>
      <c r="E856" s="68">
        <v>45</v>
      </c>
      <c r="H856">
        <f t="shared" si="50"/>
        <v>387</v>
      </c>
      <c r="I856">
        <f t="shared" si="51"/>
        <v>58</v>
      </c>
      <c r="J856">
        <f t="shared" si="52"/>
        <v>45</v>
      </c>
      <c r="K856">
        <f t="shared" si="53"/>
        <v>445</v>
      </c>
    </row>
    <row r="857" spans="1:11" x14ac:dyDescent="0.2">
      <c r="A857" s="106">
        <f>_xlfn.XLOOKUP(B857,pratos!B:B,pratos!A:A,"não")</f>
        <v>387</v>
      </c>
      <c r="B857" s="127" t="s">
        <v>400</v>
      </c>
      <c r="C857" s="105">
        <f>_xlfn.XLOOKUP(D857,ingredientes!B:B,ingredientes!A:A,"não")</f>
        <v>58</v>
      </c>
      <c r="D857" s="30" t="s">
        <v>618</v>
      </c>
      <c r="E857" s="68">
        <v>50</v>
      </c>
      <c r="H857">
        <f t="shared" si="50"/>
        <v>387</v>
      </c>
      <c r="I857">
        <f t="shared" si="51"/>
        <v>58</v>
      </c>
      <c r="J857">
        <f t="shared" si="52"/>
        <v>50</v>
      </c>
      <c r="K857">
        <f t="shared" si="53"/>
        <v>445</v>
      </c>
    </row>
    <row r="858" spans="1:11" x14ac:dyDescent="0.2">
      <c r="A858" s="106">
        <f>_xlfn.XLOOKUP(B858,pratos!B:B,pratos!A:A,"não")</f>
        <v>388</v>
      </c>
      <c r="B858" s="111" t="s">
        <v>193</v>
      </c>
      <c r="C858" s="105">
        <f>_xlfn.XLOOKUP(D858,ingredientes!B:B,ingredientes!A:A,"não")</f>
        <v>23</v>
      </c>
      <c r="D858" s="30" t="s">
        <v>608</v>
      </c>
      <c r="E858" s="19">
        <v>90</v>
      </c>
      <c r="H858">
        <f t="shared" si="50"/>
        <v>388</v>
      </c>
      <c r="I858">
        <f t="shared" si="51"/>
        <v>23</v>
      </c>
      <c r="J858">
        <f t="shared" si="52"/>
        <v>90</v>
      </c>
      <c r="K858">
        <f t="shared" si="53"/>
        <v>411</v>
      </c>
    </row>
    <row r="859" spans="1:11" x14ac:dyDescent="0.2">
      <c r="A859" s="106">
        <f>_xlfn.XLOOKUP(B859,pratos!B:B,pratos!A:A,"não")</f>
        <v>389</v>
      </c>
      <c r="B859" s="116" t="s">
        <v>532</v>
      </c>
      <c r="C859" s="105">
        <f>_xlfn.XLOOKUP(D859,ingredientes!B:B,ingredientes!A:A,"não")</f>
        <v>18</v>
      </c>
      <c r="D859" s="96" t="s">
        <v>504</v>
      </c>
      <c r="E859" s="93">
        <v>10</v>
      </c>
      <c r="H859">
        <f t="shared" si="50"/>
        <v>389</v>
      </c>
      <c r="I859">
        <f t="shared" si="51"/>
        <v>18</v>
      </c>
      <c r="J859">
        <f t="shared" si="52"/>
        <v>10</v>
      </c>
      <c r="K859">
        <f t="shared" si="53"/>
        <v>407</v>
      </c>
    </row>
    <row r="860" spans="1:11" x14ac:dyDescent="0.2">
      <c r="A860" s="106">
        <f>_xlfn.XLOOKUP(B860,pratos!B:B,pratos!A:A,"não")</f>
        <v>389</v>
      </c>
      <c r="B860" s="116" t="s">
        <v>532</v>
      </c>
      <c r="C860" s="105">
        <f>_xlfn.XLOOKUP(D860,ingredientes!B:B,ingredientes!A:A,"não")</f>
        <v>21</v>
      </c>
      <c r="D860" s="96" t="s">
        <v>533</v>
      </c>
      <c r="E860" s="93">
        <v>80</v>
      </c>
      <c r="H860">
        <f t="shared" si="50"/>
        <v>389</v>
      </c>
      <c r="I860">
        <f t="shared" si="51"/>
        <v>21</v>
      </c>
      <c r="J860">
        <f t="shared" si="52"/>
        <v>80</v>
      </c>
      <c r="K860">
        <f t="shared" si="53"/>
        <v>410</v>
      </c>
    </row>
    <row r="861" spans="1:11" x14ac:dyDescent="0.2">
      <c r="A861" s="106">
        <f>_xlfn.XLOOKUP(B861,pratos!B:B,pratos!A:A,"não")</f>
        <v>390</v>
      </c>
      <c r="B861" s="116" t="s">
        <v>537</v>
      </c>
      <c r="C861" s="105">
        <f>_xlfn.XLOOKUP(D861,ingredientes!B:B,ingredientes!A:A,"não")</f>
        <v>18</v>
      </c>
      <c r="D861" s="96" t="s">
        <v>504</v>
      </c>
      <c r="E861" s="87">
        <v>10</v>
      </c>
      <c r="H861">
        <f t="shared" si="50"/>
        <v>390</v>
      </c>
      <c r="I861">
        <f t="shared" si="51"/>
        <v>18</v>
      </c>
      <c r="J861">
        <f t="shared" si="52"/>
        <v>10</v>
      </c>
      <c r="K861">
        <f t="shared" si="53"/>
        <v>408</v>
      </c>
    </row>
    <row r="862" spans="1:11" x14ac:dyDescent="0.2">
      <c r="A862" s="106">
        <f>_xlfn.XLOOKUP(B862,pratos!B:B,pratos!A:A,"não")</f>
        <v>390</v>
      </c>
      <c r="B862" s="116" t="s">
        <v>537</v>
      </c>
      <c r="C862" s="105">
        <f>_xlfn.XLOOKUP(D862,ingredientes!B:B,ingredientes!A:A,"não")</f>
        <v>21</v>
      </c>
      <c r="D862" s="96" t="s">
        <v>533</v>
      </c>
      <c r="E862" s="87">
        <v>80</v>
      </c>
      <c r="H862">
        <f t="shared" si="50"/>
        <v>390</v>
      </c>
      <c r="I862">
        <f t="shared" si="51"/>
        <v>21</v>
      </c>
      <c r="J862">
        <f t="shared" si="52"/>
        <v>80</v>
      </c>
      <c r="K862">
        <f t="shared" si="53"/>
        <v>411</v>
      </c>
    </row>
    <row r="863" spans="1:11" x14ac:dyDescent="0.2">
      <c r="A863" s="106">
        <f>_xlfn.XLOOKUP(B863,pratos!B:B,pratos!A:A,"não")</f>
        <v>390</v>
      </c>
      <c r="B863" s="116" t="s">
        <v>537</v>
      </c>
      <c r="C863" s="105">
        <f>_xlfn.XLOOKUP(D863,ingredientes!B:B,ingredientes!A:A,"não")</f>
        <v>21</v>
      </c>
      <c r="D863" s="96" t="s">
        <v>533</v>
      </c>
      <c r="E863" s="87">
        <v>95</v>
      </c>
      <c r="H863">
        <f t="shared" si="50"/>
        <v>390</v>
      </c>
      <c r="I863">
        <f t="shared" si="51"/>
        <v>21</v>
      </c>
      <c r="J863">
        <f t="shared" si="52"/>
        <v>95</v>
      </c>
      <c r="K863">
        <f t="shared" si="53"/>
        <v>411</v>
      </c>
    </row>
    <row r="864" spans="1:11" x14ac:dyDescent="0.2">
      <c r="A864" s="106">
        <f>_xlfn.XLOOKUP(B864,pratos!B:B,pratos!A:A,"não")</f>
        <v>391</v>
      </c>
      <c r="B864" s="111" t="s">
        <v>203</v>
      </c>
      <c r="C864" s="105">
        <f>_xlfn.XLOOKUP(D864,ingredientes!B:B,ingredientes!A:A,"não")</f>
        <v>23</v>
      </c>
      <c r="D864" s="30" t="s">
        <v>608</v>
      </c>
      <c r="E864" s="19">
        <v>90</v>
      </c>
      <c r="H864">
        <f t="shared" si="50"/>
        <v>391</v>
      </c>
      <c r="I864">
        <f t="shared" si="51"/>
        <v>23</v>
      </c>
      <c r="J864">
        <f t="shared" si="52"/>
        <v>90</v>
      </c>
      <c r="K864">
        <f t="shared" si="53"/>
        <v>414</v>
      </c>
    </row>
    <row r="865" spans="1:11" x14ac:dyDescent="0.2">
      <c r="A865" s="106">
        <f>_xlfn.XLOOKUP(B865,pratos!B:B,pratos!A:A,"não")</f>
        <v>391</v>
      </c>
      <c r="B865" s="111" t="s">
        <v>203</v>
      </c>
      <c r="C865" s="105">
        <f>_xlfn.XLOOKUP(D865,ingredientes!B:B,ingredientes!A:A,"não")</f>
        <v>23</v>
      </c>
      <c r="D865" s="30" t="s">
        <v>608</v>
      </c>
      <c r="E865" s="19">
        <v>105</v>
      </c>
      <c r="H865">
        <f t="shared" si="50"/>
        <v>391</v>
      </c>
      <c r="I865">
        <f t="shared" si="51"/>
        <v>23</v>
      </c>
      <c r="J865">
        <f t="shared" si="52"/>
        <v>105</v>
      </c>
      <c r="K865">
        <f t="shared" si="53"/>
        <v>414</v>
      </c>
    </row>
    <row r="866" spans="1:11" x14ac:dyDescent="0.2">
      <c r="A866" s="106">
        <f>_xlfn.XLOOKUP(B866,pratos!B:B,pratos!A:A,"não")</f>
        <v>392</v>
      </c>
      <c r="B866" s="130" t="s">
        <v>496</v>
      </c>
      <c r="C866" s="105">
        <f>_xlfn.XLOOKUP(D866,ingredientes!B:B,ingredientes!A:A,"não")</f>
        <v>58</v>
      </c>
      <c r="D866" s="30" t="s">
        <v>618</v>
      </c>
      <c r="E866" s="65">
        <v>30</v>
      </c>
      <c r="H866">
        <f t="shared" si="50"/>
        <v>392</v>
      </c>
      <c r="I866">
        <f t="shared" si="51"/>
        <v>58</v>
      </c>
      <c r="J866">
        <f t="shared" si="52"/>
        <v>30</v>
      </c>
      <c r="K866">
        <f t="shared" si="53"/>
        <v>450</v>
      </c>
    </row>
    <row r="867" spans="1:11" x14ac:dyDescent="0.2">
      <c r="A867" s="106">
        <f>_xlfn.XLOOKUP(B867,pratos!B:B,pratos!A:A,"não")</f>
        <v>393</v>
      </c>
      <c r="B867" s="116" t="s">
        <v>487</v>
      </c>
      <c r="C867" s="105">
        <f>_xlfn.XLOOKUP(D867,ingredientes!B:B,ingredientes!A:A,"não")</f>
        <v>58</v>
      </c>
      <c r="D867" s="30" t="s">
        <v>618</v>
      </c>
      <c r="E867" s="65">
        <v>50</v>
      </c>
      <c r="H867">
        <f t="shared" si="50"/>
        <v>393</v>
      </c>
      <c r="I867">
        <f t="shared" si="51"/>
        <v>58</v>
      </c>
      <c r="J867">
        <f t="shared" si="52"/>
        <v>50</v>
      </c>
      <c r="K867">
        <f t="shared" si="53"/>
        <v>451</v>
      </c>
    </row>
    <row r="868" spans="1:11" x14ac:dyDescent="0.2">
      <c r="A868" s="106">
        <f>_xlfn.XLOOKUP(B868,pratos!B:B,pratos!A:A,"não")</f>
        <v>393</v>
      </c>
      <c r="B868" s="116" t="s">
        <v>487</v>
      </c>
      <c r="C868" s="105">
        <f>_xlfn.XLOOKUP(D868,ingredientes!B:B,ingredientes!A:A,"não")</f>
        <v>242</v>
      </c>
      <c r="D868" s="30" t="s">
        <v>276</v>
      </c>
      <c r="E868" s="10">
        <v>20</v>
      </c>
      <c r="H868">
        <f t="shared" si="50"/>
        <v>393</v>
      </c>
      <c r="I868">
        <f t="shared" si="51"/>
        <v>242</v>
      </c>
      <c r="J868">
        <f t="shared" si="52"/>
        <v>20</v>
      </c>
      <c r="K868">
        <f t="shared" si="53"/>
        <v>635</v>
      </c>
    </row>
    <row r="869" spans="1:11" x14ac:dyDescent="0.2">
      <c r="A869" s="106">
        <f>_xlfn.XLOOKUP(B869,pratos!B:B,pratos!A:A,"não")</f>
        <v>394</v>
      </c>
      <c r="B869" s="130" t="s">
        <v>501</v>
      </c>
      <c r="C869" s="105">
        <f>_xlfn.XLOOKUP(D869,ingredientes!B:B,ingredientes!A:A,"não")</f>
        <v>58</v>
      </c>
      <c r="D869" s="30" t="s">
        <v>618</v>
      </c>
      <c r="E869" s="65">
        <v>30</v>
      </c>
      <c r="H869">
        <f t="shared" si="50"/>
        <v>394</v>
      </c>
      <c r="I869">
        <f t="shared" si="51"/>
        <v>58</v>
      </c>
      <c r="J869">
        <f t="shared" si="52"/>
        <v>30</v>
      </c>
      <c r="K869">
        <f t="shared" si="53"/>
        <v>452</v>
      </c>
    </row>
    <row r="870" spans="1:11" x14ac:dyDescent="0.2">
      <c r="A870" s="106">
        <f>_xlfn.XLOOKUP(B870,pratos!B:B,pratos!A:A,"não")</f>
        <v>394</v>
      </c>
      <c r="B870" s="130" t="s">
        <v>501</v>
      </c>
      <c r="C870" s="105">
        <f>_xlfn.XLOOKUP(D870,ingredientes!B:B,ingredientes!A:A,"não")</f>
        <v>58</v>
      </c>
      <c r="D870" s="30" t="s">
        <v>618</v>
      </c>
      <c r="E870" s="65">
        <v>35</v>
      </c>
      <c r="H870">
        <f t="shared" si="50"/>
        <v>394</v>
      </c>
      <c r="I870">
        <f t="shared" si="51"/>
        <v>58</v>
      </c>
      <c r="J870">
        <f t="shared" si="52"/>
        <v>35</v>
      </c>
      <c r="K870">
        <f t="shared" si="53"/>
        <v>452</v>
      </c>
    </row>
    <row r="871" spans="1:11" x14ac:dyDescent="0.2">
      <c r="A871" s="106">
        <f>_xlfn.XLOOKUP(B871,pratos!B:B,pratos!A:A,"não")</f>
        <v>395</v>
      </c>
      <c r="B871" s="111" t="s">
        <v>247</v>
      </c>
      <c r="C871" s="105">
        <f>_xlfn.XLOOKUP(D871,ingredientes!B:B,ingredientes!A:A,"não")</f>
        <v>58</v>
      </c>
      <c r="D871" s="30" t="s">
        <v>618</v>
      </c>
      <c r="E871" s="19">
        <v>30</v>
      </c>
      <c r="H871">
        <f t="shared" si="50"/>
        <v>395</v>
      </c>
      <c r="I871">
        <f t="shared" si="51"/>
        <v>58</v>
      </c>
      <c r="J871">
        <f t="shared" si="52"/>
        <v>30</v>
      </c>
      <c r="K871">
        <f t="shared" si="53"/>
        <v>453</v>
      </c>
    </row>
    <row r="872" spans="1:11" x14ac:dyDescent="0.2">
      <c r="A872" s="106">
        <f>_xlfn.XLOOKUP(B872,pratos!B:B,pratos!A:A,"não")</f>
        <v>395</v>
      </c>
      <c r="B872" s="111" t="s">
        <v>247</v>
      </c>
      <c r="C872" s="105">
        <f>_xlfn.XLOOKUP(D872,ingredientes!B:B,ingredientes!A:A,"não")</f>
        <v>64</v>
      </c>
      <c r="D872" s="30" t="s">
        <v>624</v>
      </c>
      <c r="E872" s="10">
        <v>30</v>
      </c>
      <c r="H872">
        <f t="shared" si="50"/>
        <v>395</v>
      </c>
      <c r="I872">
        <f t="shared" si="51"/>
        <v>64</v>
      </c>
      <c r="J872">
        <f t="shared" si="52"/>
        <v>30</v>
      </c>
      <c r="K872">
        <f t="shared" si="53"/>
        <v>459</v>
      </c>
    </row>
    <row r="873" spans="1:11" x14ac:dyDescent="0.2">
      <c r="A873" s="106">
        <f>_xlfn.XLOOKUP(B873,pratos!B:B,pratos!A:A,"não")</f>
        <v>395</v>
      </c>
      <c r="B873" s="111" t="s">
        <v>247</v>
      </c>
      <c r="C873" s="105">
        <f>_xlfn.XLOOKUP(D873,ingredientes!B:B,ingredientes!A:A,"não")</f>
        <v>106</v>
      </c>
      <c r="D873" s="30" t="s">
        <v>645</v>
      </c>
      <c r="E873" s="10">
        <v>30</v>
      </c>
      <c r="H873">
        <f t="shared" si="50"/>
        <v>395</v>
      </c>
      <c r="I873">
        <f t="shared" si="51"/>
        <v>106</v>
      </c>
      <c r="J873">
        <f t="shared" si="52"/>
        <v>30</v>
      </c>
      <c r="K873">
        <f t="shared" si="53"/>
        <v>501</v>
      </c>
    </row>
    <row r="874" spans="1:11" x14ac:dyDescent="0.2">
      <c r="A874" s="106">
        <f>_xlfn.XLOOKUP(B874,pratos!B:B,pratos!A:A,"não")</f>
        <v>396</v>
      </c>
      <c r="B874" s="111" t="s">
        <v>249</v>
      </c>
      <c r="C874" s="105">
        <f>_xlfn.XLOOKUP(D874,ingredientes!B:B,ingredientes!A:A,"não")</f>
        <v>58</v>
      </c>
      <c r="D874" s="30" t="s">
        <v>618</v>
      </c>
      <c r="E874" s="19">
        <v>30</v>
      </c>
      <c r="H874">
        <f t="shared" si="50"/>
        <v>396</v>
      </c>
      <c r="I874">
        <f t="shared" si="51"/>
        <v>58</v>
      </c>
      <c r="J874">
        <f t="shared" si="52"/>
        <v>30</v>
      </c>
      <c r="K874">
        <f t="shared" si="53"/>
        <v>454</v>
      </c>
    </row>
    <row r="875" spans="1:11" x14ac:dyDescent="0.2">
      <c r="A875" s="106">
        <f>_xlfn.XLOOKUP(B875,pratos!B:B,pratos!A:A,"não")</f>
        <v>396</v>
      </c>
      <c r="B875" s="111" t="s">
        <v>249</v>
      </c>
      <c r="C875" s="105">
        <f>_xlfn.XLOOKUP(D875,ingredientes!B:B,ingredientes!A:A,"não")</f>
        <v>58</v>
      </c>
      <c r="D875" s="30" t="s">
        <v>618</v>
      </c>
      <c r="E875" s="19">
        <v>35</v>
      </c>
      <c r="H875">
        <f t="shared" si="50"/>
        <v>396</v>
      </c>
      <c r="I875">
        <f t="shared" si="51"/>
        <v>58</v>
      </c>
      <c r="J875">
        <f t="shared" si="52"/>
        <v>35</v>
      </c>
      <c r="K875">
        <f t="shared" si="53"/>
        <v>454</v>
      </c>
    </row>
    <row r="876" spans="1:11" x14ac:dyDescent="0.2">
      <c r="A876" s="106">
        <f>_xlfn.XLOOKUP(B876,pratos!B:B,pratos!A:A,"não")</f>
        <v>396</v>
      </c>
      <c r="B876" s="111" t="s">
        <v>249</v>
      </c>
      <c r="C876" s="105">
        <f>_xlfn.XLOOKUP(D876,ingredientes!B:B,ingredientes!A:A,"não")</f>
        <v>64</v>
      </c>
      <c r="D876" s="30" t="s">
        <v>624</v>
      </c>
      <c r="E876" s="10">
        <v>30</v>
      </c>
      <c r="H876">
        <f t="shared" si="50"/>
        <v>396</v>
      </c>
      <c r="I876">
        <f t="shared" si="51"/>
        <v>64</v>
      </c>
      <c r="J876">
        <f t="shared" si="52"/>
        <v>30</v>
      </c>
      <c r="K876">
        <f t="shared" si="53"/>
        <v>460</v>
      </c>
    </row>
    <row r="877" spans="1:11" x14ac:dyDescent="0.2">
      <c r="A877" s="106">
        <f>_xlfn.XLOOKUP(B877,pratos!B:B,pratos!A:A,"não")</f>
        <v>396</v>
      </c>
      <c r="B877" s="111" t="s">
        <v>249</v>
      </c>
      <c r="C877" s="105">
        <f>_xlfn.XLOOKUP(D877,ingredientes!B:B,ingredientes!A:A,"não")</f>
        <v>64</v>
      </c>
      <c r="D877" s="30" t="s">
        <v>624</v>
      </c>
      <c r="E877" s="10">
        <v>35</v>
      </c>
      <c r="H877">
        <f t="shared" si="50"/>
        <v>396</v>
      </c>
      <c r="I877">
        <f t="shared" si="51"/>
        <v>64</v>
      </c>
      <c r="J877">
        <f t="shared" si="52"/>
        <v>35</v>
      </c>
      <c r="K877">
        <f t="shared" si="53"/>
        <v>460</v>
      </c>
    </row>
    <row r="878" spans="1:11" x14ac:dyDescent="0.2">
      <c r="A878" s="106">
        <f>_xlfn.XLOOKUP(B878,pratos!B:B,pratos!A:A,"não")</f>
        <v>396</v>
      </c>
      <c r="B878" s="111" t="s">
        <v>249</v>
      </c>
      <c r="C878" s="105">
        <f>_xlfn.XLOOKUP(D878,ingredientes!B:B,ingredientes!A:A,"não")</f>
        <v>106</v>
      </c>
      <c r="D878" s="30" t="s">
        <v>645</v>
      </c>
      <c r="E878" s="10">
        <v>30</v>
      </c>
      <c r="H878">
        <f t="shared" si="50"/>
        <v>396</v>
      </c>
      <c r="I878">
        <f t="shared" si="51"/>
        <v>106</v>
      </c>
      <c r="J878">
        <f t="shared" si="52"/>
        <v>30</v>
      </c>
      <c r="K878">
        <f t="shared" si="53"/>
        <v>502</v>
      </c>
    </row>
    <row r="879" spans="1:11" x14ac:dyDescent="0.2">
      <c r="A879" s="106">
        <f>_xlfn.XLOOKUP(B879,pratos!B:B,pratos!A:A,"não")</f>
        <v>396</v>
      </c>
      <c r="B879" s="111" t="s">
        <v>249</v>
      </c>
      <c r="C879" s="105">
        <f>_xlfn.XLOOKUP(D879,ingredientes!B:B,ingredientes!A:A,"não")</f>
        <v>106</v>
      </c>
      <c r="D879" s="30" t="s">
        <v>645</v>
      </c>
      <c r="E879" s="10">
        <v>35</v>
      </c>
      <c r="H879">
        <f t="shared" si="50"/>
        <v>396</v>
      </c>
      <c r="I879">
        <f t="shared" si="51"/>
        <v>106</v>
      </c>
      <c r="J879">
        <f t="shared" si="52"/>
        <v>35</v>
      </c>
      <c r="K879">
        <f t="shared" si="53"/>
        <v>502</v>
      </c>
    </row>
    <row r="880" spans="1:11" x14ac:dyDescent="0.2">
      <c r="A880" s="106">
        <f>_xlfn.XLOOKUP(B880,pratos!B:B,pratos!A:A,"não")</f>
        <v>396</v>
      </c>
      <c r="B880" s="111" t="s">
        <v>249</v>
      </c>
      <c r="C880" s="105">
        <f>_xlfn.XLOOKUP(D880,ingredientes!B:B,ingredientes!A:A,"não")</f>
        <v>242</v>
      </c>
      <c r="D880" s="30" t="s">
        <v>276</v>
      </c>
      <c r="E880" s="17">
        <v>60</v>
      </c>
      <c r="H880">
        <f t="shared" si="50"/>
        <v>396</v>
      </c>
      <c r="I880">
        <f t="shared" si="51"/>
        <v>242</v>
      </c>
      <c r="J880">
        <f t="shared" si="52"/>
        <v>60</v>
      </c>
      <c r="K880">
        <f t="shared" si="53"/>
        <v>638</v>
      </c>
    </row>
    <row r="881" spans="1:11" x14ac:dyDescent="0.2">
      <c r="A881" s="106">
        <f>_xlfn.XLOOKUP(B881,pratos!B:B,pratos!A:A,"não")</f>
        <v>397</v>
      </c>
      <c r="B881" s="116" t="s">
        <v>579</v>
      </c>
      <c r="C881" s="105">
        <f>_xlfn.XLOOKUP(D881,ingredientes!B:B,ingredientes!A:A,"não")</f>
        <v>3</v>
      </c>
      <c r="D881" s="30" t="s">
        <v>604</v>
      </c>
      <c r="E881" s="93">
        <v>30</v>
      </c>
      <c r="H881">
        <f t="shared" si="50"/>
        <v>397</v>
      </c>
      <c r="I881">
        <f t="shared" si="51"/>
        <v>3</v>
      </c>
      <c r="J881">
        <f t="shared" si="52"/>
        <v>30</v>
      </c>
      <c r="K881">
        <f t="shared" si="53"/>
        <v>400</v>
      </c>
    </row>
    <row r="882" spans="1:11" x14ac:dyDescent="0.2">
      <c r="A882" s="106">
        <f>_xlfn.XLOOKUP(B882,pratos!B:B,pratos!A:A,"não")</f>
        <v>397</v>
      </c>
      <c r="B882" s="116" t="s">
        <v>579</v>
      </c>
      <c r="C882" s="105">
        <f>_xlfn.XLOOKUP(D882,ingredientes!B:B,ingredientes!A:A,"não")</f>
        <v>3</v>
      </c>
      <c r="D882" s="30" t="s">
        <v>604</v>
      </c>
      <c r="E882" s="68">
        <v>35</v>
      </c>
      <c r="H882">
        <f t="shared" si="50"/>
        <v>397</v>
      </c>
      <c r="I882">
        <f t="shared" si="51"/>
        <v>3</v>
      </c>
      <c r="J882">
        <f t="shared" si="52"/>
        <v>35</v>
      </c>
      <c r="K882">
        <f t="shared" si="53"/>
        <v>400</v>
      </c>
    </row>
    <row r="883" spans="1:11" x14ac:dyDescent="0.2">
      <c r="A883" s="106">
        <f>_xlfn.XLOOKUP(B883,pratos!B:B,pratos!A:A,"não")</f>
        <v>397</v>
      </c>
      <c r="B883" s="116" t="s">
        <v>579</v>
      </c>
      <c r="C883" s="105">
        <f>_xlfn.XLOOKUP(D883,ingredientes!B:B,ingredientes!A:A,"não")</f>
        <v>96</v>
      </c>
      <c r="D883" s="30" t="s">
        <v>641</v>
      </c>
      <c r="E883" s="93">
        <v>30</v>
      </c>
      <c r="H883">
        <f t="shared" si="50"/>
        <v>397</v>
      </c>
      <c r="I883">
        <f t="shared" si="51"/>
        <v>96</v>
      </c>
      <c r="J883">
        <f t="shared" si="52"/>
        <v>30</v>
      </c>
      <c r="K883">
        <f t="shared" si="53"/>
        <v>493</v>
      </c>
    </row>
    <row r="884" spans="1:11" x14ac:dyDescent="0.2">
      <c r="A884" s="106">
        <f>_xlfn.XLOOKUP(B884,pratos!B:B,pratos!A:A,"não")</f>
        <v>397</v>
      </c>
      <c r="B884" s="116" t="s">
        <v>579</v>
      </c>
      <c r="C884" s="105">
        <f>_xlfn.XLOOKUP(D884,ingredientes!B:B,ingredientes!A:A,"não")</f>
        <v>96</v>
      </c>
      <c r="D884" s="30" t="s">
        <v>641</v>
      </c>
      <c r="E884" s="87">
        <v>35</v>
      </c>
      <c r="H884">
        <f t="shared" si="50"/>
        <v>397</v>
      </c>
      <c r="I884">
        <f t="shared" si="51"/>
        <v>96</v>
      </c>
      <c r="J884">
        <f t="shared" si="52"/>
        <v>35</v>
      </c>
      <c r="K884">
        <f t="shared" si="53"/>
        <v>493</v>
      </c>
    </row>
    <row r="885" spans="1:11" x14ac:dyDescent="0.2">
      <c r="A885" s="106">
        <f>_xlfn.XLOOKUP(B885,pratos!B:B,pratos!A:A,"não")</f>
        <v>398</v>
      </c>
      <c r="B885" s="111" t="s">
        <v>190</v>
      </c>
      <c r="C885" s="105">
        <f>_xlfn.XLOOKUP(D885,ingredientes!B:B,ingredientes!A:A,"não")</f>
        <v>96</v>
      </c>
      <c r="D885" s="30" t="s">
        <v>641</v>
      </c>
      <c r="E885" s="10">
        <v>45</v>
      </c>
      <c r="H885">
        <f t="shared" si="50"/>
        <v>398</v>
      </c>
      <c r="I885">
        <f t="shared" si="51"/>
        <v>96</v>
      </c>
      <c r="J885">
        <f t="shared" si="52"/>
        <v>45</v>
      </c>
      <c r="K885">
        <f t="shared" si="53"/>
        <v>494</v>
      </c>
    </row>
    <row r="886" spans="1:11" x14ac:dyDescent="0.2">
      <c r="A886" s="106">
        <f>_xlfn.XLOOKUP(B886,pratos!B:B,pratos!A:A,"não")</f>
        <v>398</v>
      </c>
      <c r="B886" s="111" t="s">
        <v>190</v>
      </c>
      <c r="C886" s="105">
        <f>_xlfn.XLOOKUP(D886,ingredientes!B:B,ingredientes!A:A,"não")</f>
        <v>106</v>
      </c>
      <c r="D886" s="30" t="s">
        <v>645</v>
      </c>
      <c r="E886" s="10">
        <v>45</v>
      </c>
      <c r="H886">
        <f t="shared" si="50"/>
        <v>398</v>
      </c>
      <c r="I886">
        <f t="shared" si="51"/>
        <v>106</v>
      </c>
      <c r="J886">
        <f t="shared" si="52"/>
        <v>45</v>
      </c>
      <c r="K886">
        <f t="shared" si="53"/>
        <v>504</v>
      </c>
    </row>
    <row r="887" spans="1:11" x14ac:dyDescent="0.2">
      <c r="A887" s="106">
        <f>_xlfn.XLOOKUP(B887,pratos!B:B,pratos!A:A,"não")</f>
        <v>399</v>
      </c>
      <c r="B887" s="111" t="s">
        <v>197</v>
      </c>
      <c r="C887" s="105">
        <f>_xlfn.XLOOKUP(D887,ingredientes!B:B,ingredientes!A:A,"não")</f>
        <v>96</v>
      </c>
      <c r="D887" s="30" t="s">
        <v>641</v>
      </c>
      <c r="E887" s="10">
        <v>45</v>
      </c>
      <c r="H887">
        <f t="shared" si="50"/>
        <v>399</v>
      </c>
      <c r="I887">
        <f t="shared" si="51"/>
        <v>96</v>
      </c>
      <c r="J887">
        <f t="shared" si="52"/>
        <v>45</v>
      </c>
      <c r="K887">
        <f t="shared" si="53"/>
        <v>495</v>
      </c>
    </row>
    <row r="888" spans="1:11" x14ac:dyDescent="0.2">
      <c r="A888" s="106">
        <f>_xlfn.XLOOKUP(B888,pratos!B:B,pratos!A:A,"não")</f>
        <v>399</v>
      </c>
      <c r="B888" s="111" t="s">
        <v>197</v>
      </c>
      <c r="C888" s="105">
        <f>_xlfn.XLOOKUP(D888,ingredientes!B:B,ingredientes!A:A,"não")</f>
        <v>106</v>
      </c>
      <c r="D888" s="30" t="s">
        <v>645</v>
      </c>
      <c r="E888" s="10">
        <v>45</v>
      </c>
      <c r="H888">
        <f t="shared" si="50"/>
        <v>399</v>
      </c>
      <c r="I888">
        <f t="shared" si="51"/>
        <v>106</v>
      </c>
      <c r="J888">
        <f t="shared" si="52"/>
        <v>45</v>
      </c>
      <c r="K888">
        <f t="shared" si="53"/>
        <v>505</v>
      </c>
    </row>
    <row r="889" spans="1:11" x14ac:dyDescent="0.2">
      <c r="A889" s="106">
        <f>_xlfn.XLOOKUP(B889,pratos!B:B,pratos!A:A,"não")</f>
        <v>399</v>
      </c>
      <c r="B889" s="111" t="s">
        <v>197</v>
      </c>
      <c r="C889" s="105">
        <f>_xlfn.XLOOKUP(D889,ingredientes!B:B,ingredientes!A:A,"não")</f>
        <v>238</v>
      </c>
      <c r="D889" s="30" t="s">
        <v>677</v>
      </c>
      <c r="E889" s="10">
        <v>60</v>
      </c>
      <c r="H889">
        <f t="shared" si="50"/>
        <v>399</v>
      </c>
      <c r="I889">
        <f t="shared" si="51"/>
        <v>238</v>
      </c>
      <c r="J889">
        <f t="shared" si="52"/>
        <v>60</v>
      </c>
      <c r="K889">
        <f t="shared" si="53"/>
        <v>637</v>
      </c>
    </row>
    <row r="890" spans="1:11" x14ac:dyDescent="0.2">
      <c r="A890" s="106">
        <f>_xlfn.XLOOKUP(B890,pratos!B:B,pratos!A:A,"não")</f>
        <v>400</v>
      </c>
      <c r="B890" s="109" t="s">
        <v>176</v>
      </c>
      <c r="C890" s="105">
        <f>_xlfn.XLOOKUP(D890,ingredientes!B:B,ingredientes!A:A,"não")</f>
        <v>96</v>
      </c>
      <c r="D890" s="30" t="s">
        <v>641</v>
      </c>
      <c r="E890" s="19">
        <v>50</v>
      </c>
      <c r="H890">
        <f t="shared" si="50"/>
        <v>400</v>
      </c>
      <c r="I890">
        <f t="shared" si="51"/>
        <v>96</v>
      </c>
      <c r="J890">
        <f t="shared" si="52"/>
        <v>50</v>
      </c>
      <c r="K890">
        <f t="shared" si="53"/>
        <v>496</v>
      </c>
    </row>
    <row r="891" spans="1:11" x14ac:dyDescent="0.2">
      <c r="A891" s="106">
        <f>_xlfn.XLOOKUP(B891,pratos!B:B,pratos!A:A,"não")</f>
        <v>400</v>
      </c>
      <c r="B891" s="109" t="s">
        <v>176</v>
      </c>
      <c r="C891" s="105">
        <f>_xlfn.XLOOKUP(D891,ingredientes!B:B,ingredientes!A:A,"não")</f>
        <v>106</v>
      </c>
      <c r="D891" s="30" t="s">
        <v>645</v>
      </c>
      <c r="E891" s="19">
        <v>50</v>
      </c>
      <c r="H891">
        <f t="shared" si="50"/>
        <v>400</v>
      </c>
      <c r="I891">
        <f t="shared" si="51"/>
        <v>106</v>
      </c>
      <c r="J891">
        <f t="shared" si="52"/>
        <v>50</v>
      </c>
      <c r="K891">
        <f t="shared" si="53"/>
        <v>506</v>
      </c>
    </row>
    <row r="892" spans="1:11" x14ac:dyDescent="0.2">
      <c r="A892" s="106">
        <f>_xlfn.XLOOKUP(B892,pratos!B:B,pratos!A:A,"não")</f>
        <v>401</v>
      </c>
      <c r="B892" s="111" t="s">
        <v>204</v>
      </c>
      <c r="C892" s="105">
        <f>_xlfn.XLOOKUP(D892,ingredientes!B:B,ingredientes!A:A,"não")</f>
        <v>96</v>
      </c>
      <c r="D892" s="30" t="s">
        <v>641</v>
      </c>
      <c r="E892" s="10">
        <v>55</v>
      </c>
      <c r="H892">
        <f t="shared" si="50"/>
        <v>401</v>
      </c>
      <c r="I892">
        <f t="shared" si="51"/>
        <v>96</v>
      </c>
      <c r="J892">
        <f t="shared" si="52"/>
        <v>55</v>
      </c>
      <c r="K892">
        <f t="shared" si="53"/>
        <v>497</v>
      </c>
    </row>
    <row r="893" spans="1:11" x14ac:dyDescent="0.2">
      <c r="A893" s="106">
        <f>_xlfn.XLOOKUP(B893,pratos!B:B,pratos!A:A,"não")</f>
        <v>401</v>
      </c>
      <c r="B893" s="111" t="s">
        <v>204</v>
      </c>
      <c r="C893" s="105">
        <f>_xlfn.XLOOKUP(D893,ingredientes!B:B,ingredientes!A:A,"não")</f>
        <v>106</v>
      </c>
      <c r="D893" t="s">
        <v>645</v>
      </c>
      <c r="E893" s="10">
        <v>50</v>
      </c>
      <c r="H893">
        <f t="shared" si="50"/>
        <v>401</v>
      </c>
      <c r="I893">
        <f t="shared" si="51"/>
        <v>106</v>
      </c>
      <c r="J893">
        <f t="shared" si="52"/>
        <v>50</v>
      </c>
      <c r="K893">
        <f t="shared" si="53"/>
        <v>507</v>
      </c>
    </row>
    <row r="894" spans="1:11" x14ac:dyDescent="0.2">
      <c r="A894" s="106">
        <f>_xlfn.XLOOKUP(B894,pratos!B:B,pratos!A:A,"não")</f>
        <v>402</v>
      </c>
      <c r="B894" s="128" t="s">
        <v>462</v>
      </c>
      <c r="C894" s="105">
        <f>_xlfn.XLOOKUP(D894,ingredientes!B:B,ingredientes!A:A,"não")</f>
        <v>58</v>
      </c>
      <c r="D894" t="s">
        <v>618</v>
      </c>
      <c r="E894" s="65">
        <v>80</v>
      </c>
      <c r="H894">
        <f t="shared" si="50"/>
        <v>402</v>
      </c>
      <c r="I894">
        <f t="shared" si="51"/>
        <v>58</v>
      </c>
      <c r="J894">
        <f t="shared" si="52"/>
        <v>80</v>
      </c>
      <c r="K894">
        <f t="shared" si="53"/>
        <v>460</v>
      </c>
    </row>
    <row r="895" spans="1:11" x14ac:dyDescent="0.2">
      <c r="A895" s="106">
        <f>_xlfn.XLOOKUP(B895,pratos!B:B,pratos!A:A,"não")</f>
        <v>402</v>
      </c>
      <c r="B895" s="128" t="s">
        <v>462</v>
      </c>
      <c r="C895" s="105">
        <f>_xlfn.XLOOKUP(D895,ingredientes!B:B,ingredientes!A:A,"não")</f>
        <v>132</v>
      </c>
      <c r="D895" s="69" t="s">
        <v>463</v>
      </c>
      <c r="E895" s="82">
        <v>10</v>
      </c>
      <c r="H895">
        <f t="shared" si="50"/>
        <v>402</v>
      </c>
      <c r="I895">
        <f t="shared" si="51"/>
        <v>132</v>
      </c>
      <c r="J895">
        <f t="shared" si="52"/>
        <v>10</v>
      </c>
      <c r="K895">
        <f t="shared" si="53"/>
        <v>534</v>
      </c>
    </row>
    <row r="896" spans="1:11" x14ac:dyDescent="0.2">
      <c r="A896" s="106">
        <f>_xlfn.XLOOKUP(B896,pratos!B:B,pratos!A:A,"não")</f>
        <v>403</v>
      </c>
      <c r="B896" s="116" t="s">
        <v>498</v>
      </c>
      <c r="C896" s="105">
        <f>_xlfn.XLOOKUP(D896,ingredientes!B:B,ingredientes!A:A,"não")</f>
        <v>58</v>
      </c>
      <c r="D896" s="30" t="s">
        <v>618</v>
      </c>
      <c r="E896" s="65">
        <v>90</v>
      </c>
      <c r="H896">
        <f t="shared" ref="H896:H959" si="54">A896</f>
        <v>403</v>
      </c>
      <c r="I896">
        <f t="shared" ref="I896:I959" si="55">C896</f>
        <v>58</v>
      </c>
      <c r="J896">
        <f t="shared" ref="J896:J959" si="56">E896</f>
        <v>90</v>
      </c>
      <c r="K896">
        <f t="shared" si="53"/>
        <v>461</v>
      </c>
    </row>
    <row r="897" spans="1:11" x14ac:dyDescent="0.2">
      <c r="A897" s="106">
        <f>_xlfn.XLOOKUP(B897,pratos!B:B,pratos!A:A,"não")</f>
        <v>403</v>
      </c>
      <c r="B897" s="130" t="s">
        <v>498</v>
      </c>
      <c r="C897" s="105">
        <f>_xlfn.XLOOKUP(D897,ingredientes!B:B,ingredientes!A:A,"não")</f>
        <v>132</v>
      </c>
      <c r="D897" s="69" t="s">
        <v>463</v>
      </c>
      <c r="E897" s="68">
        <v>10</v>
      </c>
      <c r="H897">
        <f t="shared" si="54"/>
        <v>403</v>
      </c>
      <c r="I897">
        <f t="shared" si="55"/>
        <v>132</v>
      </c>
      <c r="J897">
        <f t="shared" si="56"/>
        <v>10</v>
      </c>
      <c r="K897">
        <f t="shared" si="53"/>
        <v>535</v>
      </c>
    </row>
    <row r="898" spans="1:11" x14ac:dyDescent="0.2">
      <c r="A898" s="106">
        <f>_xlfn.XLOOKUP(B898,pratos!B:B,pratos!A:A,"não")</f>
        <v>404</v>
      </c>
      <c r="B898" s="128" t="s">
        <v>466</v>
      </c>
      <c r="C898" s="105">
        <f>_xlfn.XLOOKUP(D898,ingredientes!B:B,ingredientes!A:A,"não")</f>
        <v>58</v>
      </c>
      <c r="D898" s="30" t="s">
        <v>618</v>
      </c>
      <c r="E898" s="65">
        <v>80</v>
      </c>
      <c r="H898">
        <f t="shared" si="54"/>
        <v>404</v>
      </c>
      <c r="I898">
        <f t="shared" si="55"/>
        <v>58</v>
      </c>
      <c r="J898">
        <f t="shared" si="56"/>
        <v>80</v>
      </c>
      <c r="K898">
        <f t="shared" si="53"/>
        <v>462</v>
      </c>
    </row>
    <row r="899" spans="1:11" x14ac:dyDescent="0.2">
      <c r="A899" s="106">
        <f>_xlfn.XLOOKUP(B899,pratos!B:B,pratos!A:A,"não")</f>
        <v>404</v>
      </c>
      <c r="B899" s="133" t="s">
        <v>466</v>
      </c>
      <c r="C899" s="105">
        <f>_xlfn.XLOOKUP(D899,ingredientes!B:B,ingredientes!A:A,"não")</f>
        <v>132</v>
      </c>
      <c r="D899" s="89" t="s">
        <v>463</v>
      </c>
      <c r="E899" s="68">
        <v>10</v>
      </c>
      <c r="H899">
        <f t="shared" si="54"/>
        <v>404</v>
      </c>
      <c r="I899">
        <f t="shared" si="55"/>
        <v>132</v>
      </c>
      <c r="J899">
        <f t="shared" si="56"/>
        <v>10</v>
      </c>
      <c r="K899">
        <f t="shared" ref="K899:K962" si="57">H899+I899</f>
        <v>536</v>
      </c>
    </row>
    <row r="900" spans="1:11" x14ac:dyDescent="0.2">
      <c r="A900" s="106">
        <f>_xlfn.XLOOKUP(B900,pratos!B:B,pratos!A:A,"não")</f>
        <v>405</v>
      </c>
      <c r="B900" s="116" t="s">
        <v>502</v>
      </c>
      <c r="C900" s="105">
        <f>_xlfn.XLOOKUP(D900,ingredientes!B:B,ingredientes!A:A,"não")</f>
        <v>58</v>
      </c>
      <c r="D900" s="30" t="s">
        <v>618</v>
      </c>
      <c r="E900" s="65">
        <v>90</v>
      </c>
      <c r="H900">
        <f t="shared" si="54"/>
        <v>405</v>
      </c>
      <c r="I900">
        <f t="shared" si="55"/>
        <v>58</v>
      </c>
      <c r="J900">
        <f t="shared" si="56"/>
        <v>90</v>
      </c>
      <c r="K900">
        <f t="shared" si="57"/>
        <v>463</v>
      </c>
    </row>
    <row r="901" spans="1:11" x14ac:dyDescent="0.2">
      <c r="A901" s="106">
        <f>_xlfn.XLOOKUP(B901,pratos!B:B,pratos!A:A,"não")</f>
        <v>405</v>
      </c>
      <c r="B901" s="116" t="s">
        <v>502</v>
      </c>
      <c r="C901" s="105">
        <f>_xlfn.XLOOKUP(D901,ingredientes!B:B,ingredientes!A:A,"não")</f>
        <v>58</v>
      </c>
      <c r="D901" t="s">
        <v>618</v>
      </c>
      <c r="E901" s="65">
        <v>95</v>
      </c>
      <c r="H901">
        <f t="shared" si="54"/>
        <v>405</v>
      </c>
      <c r="I901">
        <f t="shared" si="55"/>
        <v>58</v>
      </c>
      <c r="J901">
        <f t="shared" si="56"/>
        <v>95</v>
      </c>
      <c r="K901">
        <f t="shared" si="57"/>
        <v>463</v>
      </c>
    </row>
    <row r="902" spans="1:11" x14ac:dyDescent="0.2">
      <c r="A902" s="106">
        <f>_xlfn.XLOOKUP(B902,pratos!B:B,pratos!A:A,"não")</f>
        <v>405</v>
      </c>
      <c r="B902" s="130" t="s">
        <v>502</v>
      </c>
      <c r="C902" s="105">
        <f>_xlfn.XLOOKUP(D902,ingredientes!B:B,ingredientes!A:A,"não")</f>
        <v>132</v>
      </c>
      <c r="D902" s="155" t="s">
        <v>463</v>
      </c>
      <c r="E902" s="82">
        <v>10</v>
      </c>
      <c r="H902">
        <f t="shared" si="54"/>
        <v>405</v>
      </c>
      <c r="I902">
        <f t="shared" si="55"/>
        <v>132</v>
      </c>
      <c r="J902">
        <f t="shared" si="56"/>
        <v>10</v>
      </c>
      <c r="K902">
        <f t="shared" si="57"/>
        <v>537</v>
      </c>
    </row>
    <row r="903" spans="1:11" x14ac:dyDescent="0.2">
      <c r="A903" s="106">
        <f>_xlfn.XLOOKUP(B903,pratos!B:B,pratos!A:A,"não")</f>
        <v>406</v>
      </c>
      <c r="B903" s="132" t="s">
        <v>468</v>
      </c>
      <c r="C903" s="105">
        <f>_xlfn.XLOOKUP(D903,ingredientes!B:B,ingredientes!A:A,"não")</f>
        <v>58</v>
      </c>
      <c r="D903" t="s">
        <v>618</v>
      </c>
      <c r="E903" s="65">
        <v>95</v>
      </c>
      <c r="H903">
        <f t="shared" si="54"/>
        <v>406</v>
      </c>
      <c r="I903">
        <f t="shared" si="55"/>
        <v>58</v>
      </c>
      <c r="J903">
        <f t="shared" si="56"/>
        <v>95</v>
      </c>
      <c r="K903">
        <f t="shared" si="57"/>
        <v>464</v>
      </c>
    </row>
    <row r="904" spans="1:11" x14ac:dyDescent="0.2">
      <c r="A904" s="106">
        <f>_xlfn.XLOOKUP(B904,pratos!B:B,pratos!A:A,"não")</f>
        <v>406</v>
      </c>
      <c r="B904" s="116" t="s">
        <v>468</v>
      </c>
      <c r="C904" s="105">
        <f>_xlfn.XLOOKUP(D904,ingredientes!B:B,ingredientes!A:A,"não")</f>
        <v>84</v>
      </c>
      <c r="D904" s="30" t="s">
        <v>635</v>
      </c>
      <c r="E904" s="82">
        <v>60</v>
      </c>
      <c r="H904">
        <f t="shared" si="54"/>
        <v>406</v>
      </c>
      <c r="I904">
        <f t="shared" si="55"/>
        <v>84</v>
      </c>
      <c r="J904">
        <f t="shared" si="56"/>
        <v>60</v>
      </c>
      <c r="K904">
        <f t="shared" si="57"/>
        <v>490</v>
      </c>
    </row>
    <row r="905" spans="1:11" x14ac:dyDescent="0.2">
      <c r="A905" s="106">
        <f>_xlfn.XLOOKUP(B905,pratos!B:B,pratos!A:A,"não")</f>
        <v>406</v>
      </c>
      <c r="B905" s="128" t="s">
        <v>468</v>
      </c>
      <c r="C905" s="105">
        <f>_xlfn.XLOOKUP(D905,ingredientes!B:B,ingredientes!A:A,"não")</f>
        <v>132</v>
      </c>
      <c r="D905" s="61" t="s">
        <v>463</v>
      </c>
      <c r="E905" s="82">
        <v>10</v>
      </c>
      <c r="H905">
        <f t="shared" si="54"/>
        <v>406</v>
      </c>
      <c r="I905">
        <f t="shared" si="55"/>
        <v>132</v>
      </c>
      <c r="J905">
        <f t="shared" si="56"/>
        <v>10</v>
      </c>
      <c r="K905">
        <f t="shared" si="57"/>
        <v>538</v>
      </c>
    </row>
    <row r="906" spans="1:11" x14ac:dyDescent="0.2">
      <c r="A906" s="106">
        <f>_xlfn.XLOOKUP(B906,pratos!B:B,pratos!A:A,"não")</f>
        <v>407</v>
      </c>
      <c r="B906" s="108" t="s">
        <v>114</v>
      </c>
      <c r="C906" s="105">
        <f>_xlfn.XLOOKUP(D906,ingredientes!B:B,ingredientes!A:A,"não")</f>
        <v>154</v>
      </c>
      <c r="D906" s="6" t="s">
        <v>115</v>
      </c>
      <c r="E906" s="5">
        <v>20</v>
      </c>
      <c r="H906">
        <f t="shared" si="54"/>
        <v>407</v>
      </c>
      <c r="I906">
        <f t="shared" si="55"/>
        <v>154</v>
      </c>
      <c r="J906">
        <f t="shared" si="56"/>
        <v>20</v>
      </c>
      <c r="K906">
        <f t="shared" si="57"/>
        <v>561</v>
      </c>
    </row>
    <row r="907" spans="1:11" x14ac:dyDescent="0.2">
      <c r="A907" s="106">
        <f>_xlfn.XLOOKUP(B907,pratos!B:B,pratos!A:A,"não")</f>
        <v>408</v>
      </c>
      <c r="B907" s="111" t="s">
        <v>125</v>
      </c>
      <c r="C907" s="105">
        <f>_xlfn.XLOOKUP(D907,ingredientes!B:B,ingredientes!A:A,"não")</f>
        <v>84</v>
      </c>
      <c r="D907" s="30" t="s">
        <v>635</v>
      </c>
      <c r="E907" s="27">
        <v>60</v>
      </c>
      <c r="H907">
        <f t="shared" si="54"/>
        <v>408</v>
      </c>
      <c r="I907">
        <f t="shared" si="55"/>
        <v>84</v>
      </c>
      <c r="J907">
        <f t="shared" si="56"/>
        <v>60</v>
      </c>
      <c r="K907">
        <f t="shared" si="57"/>
        <v>492</v>
      </c>
    </row>
    <row r="908" spans="1:11" x14ac:dyDescent="0.2">
      <c r="A908" s="106">
        <f>_xlfn.XLOOKUP(B908,pratos!B:B,pratos!A:A,"não")</f>
        <v>408</v>
      </c>
      <c r="B908" s="111" t="s">
        <v>125</v>
      </c>
      <c r="C908" s="105">
        <f>_xlfn.XLOOKUP(D908,ingredientes!B:B,ingredientes!A:A,"não")</f>
        <v>154</v>
      </c>
      <c r="D908" s="6" t="s">
        <v>115</v>
      </c>
      <c r="E908" s="26">
        <v>20</v>
      </c>
      <c r="H908">
        <f t="shared" si="54"/>
        <v>408</v>
      </c>
      <c r="I908">
        <f t="shared" si="55"/>
        <v>154</v>
      </c>
      <c r="J908">
        <f t="shared" si="56"/>
        <v>20</v>
      </c>
      <c r="K908">
        <f t="shared" si="57"/>
        <v>562</v>
      </c>
    </row>
    <row r="909" spans="1:11" x14ac:dyDescent="0.2">
      <c r="A909" s="106">
        <f>_xlfn.XLOOKUP(B909,pratos!B:B,pratos!A:A,"não")</f>
        <v>408</v>
      </c>
      <c r="B909" s="111" t="s">
        <v>125</v>
      </c>
      <c r="C909" s="105">
        <f>_xlfn.XLOOKUP(D909,ingredientes!B:B,ingredientes!A:A,"não")</f>
        <v>154</v>
      </c>
      <c r="D909" s="6" t="s">
        <v>115</v>
      </c>
      <c r="E909" s="5">
        <v>30</v>
      </c>
      <c r="H909">
        <f t="shared" si="54"/>
        <v>408</v>
      </c>
      <c r="I909">
        <f t="shared" si="55"/>
        <v>154</v>
      </c>
      <c r="J909">
        <f t="shared" si="56"/>
        <v>30</v>
      </c>
      <c r="K909">
        <f t="shared" si="57"/>
        <v>562</v>
      </c>
    </row>
    <row r="910" spans="1:11" x14ac:dyDescent="0.2">
      <c r="A910" s="106">
        <f>_xlfn.XLOOKUP(B910,pratos!B:B,pratos!A:A,"não")</f>
        <v>409</v>
      </c>
      <c r="B910" s="111" t="s">
        <v>373</v>
      </c>
      <c r="C910" s="105">
        <f>_xlfn.XLOOKUP(D910,ingredientes!B:B,ingredientes!A:A,"não")</f>
        <v>58</v>
      </c>
      <c r="D910" s="30" t="s">
        <v>618</v>
      </c>
      <c r="E910" s="19">
        <v>30</v>
      </c>
      <c r="H910">
        <f t="shared" si="54"/>
        <v>409</v>
      </c>
      <c r="I910">
        <f t="shared" si="55"/>
        <v>58</v>
      </c>
      <c r="J910">
        <f t="shared" si="56"/>
        <v>30</v>
      </c>
      <c r="K910">
        <f t="shared" si="57"/>
        <v>467</v>
      </c>
    </row>
    <row r="911" spans="1:11" x14ac:dyDescent="0.2">
      <c r="A911" s="106">
        <f>_xlfn.XLOOKUP(B911,pratos!B:B,pratos!A:A,"não")</f>
        <v>409</v>
      </c>
      <c r="B911" s="111" t="s">
        <v>373</v>
      </c>
      <c r="C911" s="105">
        <f>_xlfn.XLOOKUP(D911,ingredientes!B:B,ingredientes!A:A,"não")</f>
        <v>58</v>
      </c>
      <c r="D911" s="30" t="s">
        <v>618</v>
      </c>
      <c r="E911" s="19">
        <v>35</v>
      </c>
      <c r="H911">
        <f t="shared" si="54"/>
        <v>409</v>
      </c>
      <c r="I911">
        <f t="shared" si="55"/>
        <v>58</v>
      </c>
      <c r="J911">
        <f t="shared" si="56"/>
        <v>35</v>
      </c>
      <c r="K911">
        <f t="shared" si="57"/>
        <v>467</v>
      </c>
    </row>
    <row r="912" spans="1:11" x14ac:dyDescent="0.2">
      <c r="A912" s="106">
        <f>_xlfn.XLOOKUP(B912,pratos!B:B,pratos!A:A,"não")</f>
        <v>409</v>
      </c>
      <c r="B912" s="111" t="s">
        <v>373</v>
      </c>
      <c r="C912" s="105">
        <f>_xlfn.XLOOKUP(D912,ingredientes!B:B,ingredientes!A:A,"não")</f>
        <v>96</v>
      </c>
      <c r="D912" s="30" t="s">
        <v>641</v>
      </c>
      <c r="E912" s="10">
        <v>30</v>
      </c>
      <c r="H912">
        <f t="shared" si="54"/>
        <v>409</v>
      </c>
      <c r="I912">
        <f t="shared" si="55"/>
        <v>96</v>
      </c>
      <c r="J912">
        <f t="shared" si="56"/>
        <v>30</v>
      </c>
      <c r="K912">
        <f t="shared" si="57"/>
        <v>505</v>
      </c>
    </row>
    <row r="913" spans="1:11" x14ac:dyDescent="0.2">
      <c r="A913" s="106">
        <f>_xlfn.XLOOKUP(B913,pratos!B:B,pratos!A:A,"não")</f>
        <v>409</v>
      </c>
      <c r="B913" s="111" t="s">
        <v>373</v>
      </c>
      <c r="C913" s="105">
        <f>_xlfn.XLOOKUP(D913,ingredientes!B:B,ingredientes!A:A,"não")</f>
        <v>96</v>
      </c>
      <c r="D913" s="30" t="s">
        <v>641</v>
      </c>
      <c r="E913" s="10">
        <v>35</v>
      </c>
      <c r="H913">
        <f t="shared" si="54"/>
        <v>409</v>
      </c>
      <c r="I913">
        <f t="shared" si="55"/>
        <v>96</v>
      </c>
      <c r="J913">
        <f t="shared" si="56"/>
        <v>35</v>
      </c>
      <c r="K913">
        <f t="shared" si="57"/>
        <v>505</v>
      </c>
    </row>
    <row r="914" spans="1:11" x14ac:dyDescent="0.2">
      <c r="A914" s="106">
        <f>_xlfn.XLOOKUP(B914,pratos!B:B,pratos!A:A,"não")</f>
        <v>409</v>
      </c>
      <c r="B914" s="111" t="s">
        <v>373</v>
      </c>
      <c r="C914" s="105">
        <f>_xlfn.XLOOKUP(D914,ingredientes!B:B,ingredientes!A:A,"não")</f>
        <v>320</v>
      </c>
      <c r="D914" s="30" t="s">
        <v>705</v>
      </c>
      <c r="E914" s="10">
        <v>30</v>
      </c>
      <c r="H914">
        <f t="shared" si="54"/>
        <v>409</v>
      </c>
      <c r="I914">
        <f t="shared" si="55"/>
        <v>320</v>
      </c>
      <c r="J914">
        <f t="shared" si="56"/>
        <v>30</v>
      </c>
      <c r="K914">
        <f t="shared" si="57"/>
        <v>729</v>
      </c>
    </row>
    <row r="915" spans="1:11" x14ac:dyDescent="0.2">
      <c r="A915" s="106">
        <f>_xlfn.XLOOKUP(B915,pratos!B:B,pratos!A:A,"não")</f>
        <v>409</v>
      </c>
      <c r="B915" s="111" t="s">
        <v>373</v>
      </c>
      <c r="C915" s="105">
        <f>_xlfn.XLOOKUP(D915,ingredientes!B:B,ingredientes!A:A,"não")</f>
        <v>320</v>
      </c>
      <c r="D915" s="30" t="s">
        <v>705</v>
      </c>
      <c r="E915" s="10">
        <v>35</v>
      </c>
      <c r="H915">
        <f t="shared" si="54"/>
        <v>409</v>
      </c>
      <c r="I915">
        <f t="shared" si="55"/>
        <v>320</v>
      </c>
      <c r="J915">
        <f t="shared" si="56"/>
        <v>35</v>
      </c>
      <c r="K915">
        <f t="shared" si="57"/>
        <v>729</v>
      </c>
    </row>
    <row r="916" spans="1:11" x14ac:dyDescent="0.2">
      <c r="A916" s="106">
        <f>_xlfn.XLOOKUP(B916,pratos!B:B,pratos!A:A,"não")</f>
        <v>410</v>
      </c>
      <c r="B916" s="114" t="s">
        <v>245</v>
      </c>
      <c r="C916" s="105">
        <f>_xlfn.XLOOKUP(D916,ingredientes!B:B,ingredientes!A:A,"não")</f>
        <v>96</v>
      </c>
      <c r="D916" s="30" t="s">
        <v>641</v>
      </c>
      <c r="E916" s="10">
        <v>30</v>
      </c>
      <c r="H916">
        <f t="shared" si="54"/>
        <v>410</v>
      </c>
      <c r="I916">
        <f t="shared" si="55"/>
        <v>96</v>
      </c>
      <c r="J916">
        <f t="shared" si="56"/>
        <v>30</v>
      </c>
      <c r="K916">
        <f t="shared" si="57"/>
        <v>506</v>
      </c>
    </row>
    <row r="917" spans="1:11" x14ac:dyDescent="0.2">
      <c r="A917" s="106">
        <f>_xlfn.XLOOKUP(B917,pratos!B:B,pratos!A:A,"não")</f>
        <v>410</v>
      </c>
      <c r="B917" s="114" t="s">
        <v>245</v>
      </c>
      <c r="C917" s="105">
        <f>_xlfn.XLOOKUP(D917,ingredientes!B:B,ingredientes!A:A,"não")</f>
        <v>106</v>
      </c>
      <c r="D917" t="s">
        <v>645</v>
      </c>
      <c r="E917" s="10">
        <v>30</v>
      </c>
      <c r="H917">
        <f t="shared" si="54"/>
        <v>410</v>
      </c>
      <c r="I917">
        <f t="shared" si="55"/>
        <v>106</v>
      </c>
      <c r="J917">
        <f t="shared" si="56"/>
        <v>30</v>
      </c>
      <c r="K917">
        <f t="shared" si="57"/>
        <v>516</v>
      </c>
    </row>
    <row r="918" spans="1:11" x14ac:dyDescent="0.2">
      <c r="A918" s="106">
        <f>_xlfn.XLOOKUP(B918,pratos!B:B,pratos!A:A,"não")</f>
        <v>410</v>
      </c>
      <c r="B918" s="114" t="s">
        <v>245</v>
      </c>
      <c r="C918" s="105">
        <f>_xlfn.XLOOKUP(D918,ingredientes!B:B,ingredientes!A:A,"não")</f>
        <v>320</v>
      </c>
      <c r="D918" t="s">
        <v>705</v>
      </c>
      <c r="E918" s="10">
        <v>30</v>
      </c>
      <c r="H918">
        <f t="shared" si="54"/>
        <v>410</v>
      </c>
      <c r="I918">
        <f t="shared" si="55"/>
        <v>320</v>
      </c>
      <c r="J918">
        <f t="shared" si="56"/>
        <v>30</v>
      </c>
      <c r="K918">
        <f t="shared" si="57"/>
        <v>730</v>
      </c>
    </row>
    <row r="919" spans="1:11" x14ac:dyDescent="0.2">
      <c r="A919" s="106">
        <f>_xlfn.XLOOKUP(B919,pratos!B:B,pratos!A:A,"não")</f>
        <v>411</v>
      </c>
      <c r="B919" s="111" t="s">
        <v>248</v>
      </c>
      <c r="C919" s="105">
        <f>_xlfn.XLOOKUP(D919,ingredientes!B:B,ingredientes!A:A,"não")</f>
        <v>84</v>
      </c>
      <c r="D919" t="s">
        <v>635</v>
      </c>
      <c r="E919" s="19">
        <v>60</v>
      </c>
      <c r="H919">
        <f t="shared" si="54"/>
        <v>411</v>
      </c>
      <c r="I919">
        <f t="shared" si="55"/>
        <v>84</v>
      </c>
      <c r="J919">
        <f t="shared" si="56"/>
        <v>60</v>
      </c>
      <c r="K919">
        <f t="shared" si="57"/>
        <v>495</v>
      </c>
    </row>
    <row r="920" spans="1:11" x14ac:dyDescent="0.2">
      <c r="A920" s="106">
        <f>_xlfn.XLOOKUP(B920,pratos!B:B,pratos!A:A,"não")</f>
        <v>411</v>
      </c>
      <c r="B920" s="111" t="s">
        <v>248</v>
      </c>
      <c r="C920" s="105">
        <f>_xlfn.XLOOKUP(D920,ingredientes!B:B,ingredientes!A:A,"não")</f>
        <v>96</v>
      </c>
      <c r="D920" t="s">
        <v>641</v>
      </c>
      <c r="E920" s="10">
        <v>30</v>
      </c>
      <c r="H920">
        <f t="shared" si="54"/>
        <v>411</v>
      </c>
      <c r="I920">
        <f t="shared" si="55"/>
        <v>96</v>
      </c>
      <c r="J920">
        <f t="shared" si="56"/>
        <v>30</v>
      </c>
      <c r="K920">
        <f t="shared" si="57"/>
        <v>507</v>
      </c>
    </row>
    <row r="921" spans="1:11" x14ac:dyDescent="0.2">
      <c r="A921" s="106">
        <f>_xlfn.XLOOKUP(B921,pratos!B:B,pratos!A:A,"não")</f>
        <v>411</v>
      </c>
      <c r="B921" s="111" t="s">
        <v>248</v>
      </c>
      <c r="C921" s="105">
        <f>_xlfn.XLOOKUP(D921,ingredientes!B:B,ingredientes!A:A,"não")</f>
        <v>96</v>
      </c>
      <c r="D921" t="s">
        <v>641</v>
      </c>
      <c r="E921" s="10">
        <v>35</v>
      </c>
      <c r="H921">
        <f t="shared" si="54"/>
        <v>411</v>
      </c>
      <c r="I921">
        <f t="shared" si="55"/>
        <v>96</v>
      </c>
      <c r="J921">
        <f t="shared" si="56"/>
        <v>35</v>
      </c>
      <c r="K921">
        <f t="shared" si="57"/>
        <v>507</v>
      </c>
    </row>
    <row r="922" spans="1:11" x14ac:dyDescent="0.2">
      <c r="A922" s="106">
        <f>_xlfn.XLOOKUP(B922,pratos!B:B,pratos!A:A,"não")</f>
        <v>411</v>
      </c>
      <c r="B922" s="111" t="s">
        <v>248</v>
      </c>
      <c r="C922" s="105">
        <f>_xlfn.XLOOKUP(D922,ingredientes!B:B,ingredientes!A:A,"não")</f>
        <v>106</v>
      </c>
      <c r="D922" t="s">
        <v>645</v>
      </c>
      <c r="E922" s="10">
        <v>30</v>
      </c>
      <c r="H922">
        <f t="shared" si="54"/>
        <v>411</v>
      </c>
      <c r="I922">
        <f t="shared" si="55"/>
        <v>106</v>
      </c>
      <c r="J922">
        <f t="shared" si="56"/>
        <v>30</v>
      </c>
      <c r="K922">
        <f t="shared" si="57"/>
        <v>517</v>
      </c>
    </row>
    <row r="923" spans="1:11" x14ac:dyDescent="0.2">
      <c r="A923" s="106">
        <f>_xlfn.XLOOKUP(B923,pratos!B:B,pratos!A:A,"não")</f>
        <v>411</v>
      </c>
      <c r="B923" s="111" t="s">
        <v>248</v>
      </c>
      <c r="C923" s="105">
        <f>_xlfn.XLOOKUP(D923,ingredientes!B:B,ingredientes!A:A,"não")</f>
        <v>106</v>
      </c>
      <c r="D923" s="30" t="s">
        <v>645</v>
      </c>
      <c r="E923" s="10">
        <v>35</v>
      </c>
      <c r="H923">
        <f t="shared" si="54"/>
        <v>411</v>
      </c>
      <c r="I923">
        <f t="shared" si="55"/>
        <v>106</v>
      </c>
      <c r="J923">
        <f t="shared" si="56"/>
        <v>35</v>
      </c>
      <c r="K923">
        <f t="shared" si="57"/>
        <v>517</v>
      </c>
    </row>
    <row r="924" spans="1:11" x14ac:dyDescent="0.2">
      <c r="A924" s="106">
        <f>_xlfn.XLOOKUP(B924,pratos!B:B,pratos!A:A,"não")</f>
        <v>411</v>
      </c>
      <c r="B924" s="111" t="s">
        <v>248</v>
      </c>
      <c r="C924" s="105">
        <f>_xlfn.XLOOKUP(D924,ingredientes!B:B,ingredientes!A:A,"não")</f>
        <v>320</v>
      </c>
      <c r="D924" s="30" t="s">
        <v>705</v>
      </c>
      <c r="E924" s="10">
        <v>30</v>
      </c>
      <c r="H924">
        <f t="shared" si="54"/>
        <v>411</v>
      </c>
      <c r="I924">
        <f t="shared" si="55"/>
        <v>320</v>
      </c>
      <c r="J924">
        <f t="shared" si="56"/>
        <v>30</v>
      </c>
      <c r="K924">
        <f t="shared" si="57"/>
        <v>731</v>
      </c>
    </row>
    <row r="925" spans="1:11" x14ac:dyDescent="0.2">
      <c r="A925" s="106">
        <f>_xlfn.XLOOKUP(B925,pratos!B:B,pratos!A:A,"não")</f>
        <v>411</v>
      </c>
      <c r="B925" s="111" t="s">
        <v>248</v>
      </c>
      <c r="C925" s="105">
        <f>_xlfn.XLOOKUP(D925,ingredientes!B:B,ingredientes!A:A,"não")</f>
        <v>320</v>
      </c>
      <c r="D925" s="30" t="s">
        <v>705</v>
      </c>
      <c r="E925" s="10">
        <v>35</v>
      </c>
      <c r="H925">
        <f t="shared" si="54"/>
        <v>411</v>
      </c>
      <c r="I925">
        <f t="shared" si="55"/>
        <v>320</v>
      </c>
      <c r="J925">
        <f t="shared" si="56"/>
        <v>35</v>
      </c>
      <c r="K925">
        <f t="shared" si="57"/>
        <v>731</v>
      </c>
    </row>
    <row r="926" spans="1:11" x14ac:dyDescent="0.2">
      <c r="A926" s="106">
        <f>_xlfn.XLOOKUP(B926,pratos!B:B,pratos!A:A,"não")</f>
        <v>412</v>
      </c>
      <c r="B926" s="111" t="s">
        <v>371</v>
      </c>
      <c r="C926" s="105">
        <f>_xlfn.XLOOKUP(D926,ingredientes!B:B,ingredientes!A:A,"não")</f>
        <v>58</v>
      </c>
      <c r="D926" s="30" t="s">
        <v>618</v>
      </c>
      <c r="E926" s="19">
        <v>30</v>
      </c>
      <c r="H926">
        <f t="shared" si="54"/>
        <v>412</v>
      </c>
      <c r="I926">
        <f t="shared" si="55"/>
        <v>58</v>
      </c>
      <c r="J926">
        <f t="shared" si="56"/>
        <v>30</v>
      </c>
      <c r="K926">
        <f t="shared" si="57"/>
        <v>470</v>
      </c>
    </row>
    <row r="927" spans="1:11" x14ac:dyDescent="0.2">
      <c r="A927" s="106">
        <f>_xlfn.XLOOKUP(B927,pratos!B:B,pratos!A:A,"não")</f>
        <v>412</v>
      </c>
      <c r="B927" s="111" t="s">
        <v>371</v>
      </c>
      <c r="C927" s="105">
        <f>_xlfn.XLOOKUP(D927,ingredientes!B:B,ingredientes!A:A,"não")</f>
        <v>96</v>
      </c>
      <c r="D927" s="30" t="s">
        <v>641</v>
      </c>
      <c r="E927" s="10">
        <v>30</v>
      </c>
      <c r="H927">
        <f t="shared" si="54"/>
        <v>412</v>
      </c>
      <c r="I927">
        <f t="shared" si="55"/>
        <v>96</v>
      </c>
      <c r="J927">
        <f t="shared" si="56"/>
        <v>30</v>
      </c>
      <c r="K927">
        <f t="shared" si="57"/>
        <v>508</v>
      </c>
    </row>
    <row r="928" spans="1:11" x14ac:dyDescent="0.2">
      <c r="A928" s="106">
        <f>_xlfn.XLOOKUP(B928,pratos!B:B,pratos!A:A,"não")</f>
        <v>412</v>
      </c>
      <c r="B928" s="111" t="s">
        <v>371</v>
      </c>
      <c r="C928" s="105">
        <f>_xlfn.XLOOKUP(D928,ingredientes!B:B,ingredientes!A:A,"não")</f>
        <v>320</v>
      </c>
      <c r="D928" t="s">
        <v>705</v>
      </c>
      <c r="E928" s="10">
        <v>30</v>
      </c>
      <c r="H928">
        <f t="shared" si="54"/>
        <v>412</v>
      </c>
      <c r="I928">
        <f t="shared" si="55"/>
        <v>320</v>
      </c>
      <c r="J928">
        <f t="shared" si="56"/>
        <v>30</v>
      </c>
      <c r="K928">
        <f t="shared" si="57"/>
        <v>732</v>
      </c>
    </row>
    <row r="929" spans="1:11" x14ac:dyDescent="0.2">
      <c r="A929" s="106">
        <f>_xlfn.XLOOKUP(B929,pratos!B:B,pratos!A:A,"não")</f>
        <v>413</v>
      </c>
      <c r="B929" s="109" t="s">
        <v>586</v>
      </c>
      <c r="C929" s="105">
        <f>_xlfn.XLOOKUP(D929,ingredientes!B:B,ingredientes!A:A,"não")</f>
        <v>53</v>
      </c>
      <c r="D929" s="38" t="s">
        <v>65</v>
      </c>
      <c r="E929" s="10">
        <v>20</v>
      </c>
      <c r="H929">
        <f t="shared" si="54"/>
        <v>413</v>
      </c>
      <c r="I929">
        <f t="shared" si="55"/>
        <v>53</v>
      </c>
      <c r="J929">
        <f t="shared" si="56"/>
        <v>20</v>
      </c>
      <c r="K929">
        <f t="shared" si="57"/>
        <v>466</v>
      </c>
    </row>
    <row r="930" spans="1:11" x14ac:dyDescent="0.2">
      <c r="A930" s="106">
        <f>_xlfn.XLOOKUP(B930,pratos!B:B,pratos!A:A,"não")</f>
        <v>413</v>
      </c>
      <c r="B930" s="109" t="s">
        <v>586</v>
      </c>
      <c r="C930" s="105">
        <f>_xlfn.XLOOKUP(D930,ingredientes!B:B,ingredientes!A:A,"não")</f>
        <v>53</v>
      </c>
      <c r="D930" s="143" t="s">
        <v>65</v>
      </c>
      <c r="E930" s="10">
        <v>5</v>
      </c>
      <c r="H930">
        <f t="shared" si="54"/>
        <v>413</v>
      </c>
      <c r="I930">
        <f t="shared" si="55"/>
        <v>53</v>
      </c>
      <c r="J930">
        <f t="shared" si="56"/>
        <v>5</v>
      </c>
      <c r="K930">
        <f t="shared" si="57"/>
        <v>466</v>
      </c>
    </row>
    <row r="931" spans="1:11" x14ac:dyDescent="0.2">
      <c r="A931" s="106">
        <f>_xlfn.XLOOKUP(B931,pratos!B:B,pratos!A:A,"não")</f>
        <v>413</v>
      </c>
      <c r="B931" s="112" t="s">
        <v>586</v>
      </c>
      <c r="C931" s="105">
        <f>_xlfn.XLOOKUP(D931,ingredientes!B:B,ingredientes!A:A,"não")</f>
        <v>96</v>
      </c>
      <c r="D931" t="s">
        <v>641</v>
      </c>
      <c r="E931" s="68">
        <v>20</v>
      </c>
      <c r="H931">
        <f t="shared" si="54"/>
        <v>413</v>
      </c>
      <c r="I931">
        <f t="shared" si="55"/>
        <v>96</v>
      </c>
      <c r="J931">
        <f t="shared" si="56"/>
        <v>20</v>
      </c>
      <c r="K931">
        <f t="shared" si="57"/>
        <v>509</v>
      </c>
    </row>
    <row r="932" spans="1:11" x14ac:dyDescent="0.2">
      <c r="A932" s="106">
        <f>_xlfn.XLOOKUP(B932,pratos!B:B,pratos!A:A,"não")</f>
        <v>413</v>
      </c>
      <c r="B932" s="112" t="s">
        <v>586</v>
      </c>
      <c r="C932" s="105">
        <f>_xlfn.XLOOKUP(D932,ingredientes!B:B,ingredientes!A:A,"não")</f>
        <v>96</v>
      </c>
      <c r="D932" t="s">
        <v>641</v>
      </c>
      <c r="E932" s="68">
        <v>5</v>
      </c>
      <c r="H932">
        <f t="shared" si="54"/>
        <v>413</v>
      </c>
      <c r="I932">
        <f t="shared" si="55"/>
        <v>96</v>
      </c>
      <c r="J932">
        <f t="shared" si="56"/>
        <v>5</v>
      </c>
      <c r="K932">
        <f t="shared" si="57"/>
        <v>509</v>
      </c>
    </row>
    <row r="933" spans="1:11" x14ac:dyDescent="0.2">
      <c r="A933" s="106">
        <f>_xlfn.XLOOKUP(B933,pratos!B:B,pratos!A:A,"não")</f>
        <v>413</v>
      </c>
      <c r="B933" s="136" t="s">
        <v>586</v>
      </c>
      <c r="C933" s="105">
        <f>_xlfn.XLOOKUP(D933,ingredientes!B:B,ingredientes!A:A,"não")</f>
        <v>106</v>
      </c>
      <c r="D933" t="s">
        <v>645</v>
      </c>
      <c r="E933" s="63">
        <v>20</v>
      </c>
      <c r="H933">
        <f t="shared" si="54"/>
        <v>413</v>
      </c>
      <c r="I933">
        <f t="shared" si="55"/>
        <v>106</v>
      </c>
      <c r="J933">
        <f t="shared" si="56"/>
        <v>20</v>
      </c>
      <c r="K933">
        <f t="shared" si="57"/>
        <v>519</v>
      </c>
    </row>
    <row r="934" spans="1:11" x14ac:dyDescent="0.2">
      <c r="A934" s="106">
        <f>_xlfn.XLOOKUP(B934,pratos!B:B,pratos!A:A,"não")</f>
        <v>413</v>
      </c>
      <c r="B934" s="136" t="s">
        <v>586</v>
      </c>
      <c r="C934" s="105">
        <f>_xlfn.XLOOKUP(D934,ingredientes!B:B,ingredientes!A:A,"não")</f>
        <v>106</v>
      </c>
      <c r="D934" t="s">
        <v>645</v>
      </c>
      <c r="E934" s="63">
        <v>5</v>
      </c>
      <c r="H934">
        <f t="shared" si="54"/>
        <v>413</v>
      </c>
      <c r="I934">
        <f t="shared" si="55"/>
        <v>106</v>
      </c>
      <c r="J934">
        <f t="shared" si="56"/>
        <v>5</v>
      </c>
      <c r="K934">
        <f t="shared" si="57"/>
        <v>519</v>
      </c>
    </row>
    <row r="935" spans="1:11" x14ac:dyDescent="0.2">
      <c r="A935" s="106">
        <f>_xlfn.XLOOKUP(B935,pratos!B:B,pratos!A:A,"não")</f>
        <v>414</v>
      </c>
      <c r="B935" s="127" t="s">
        <v>396</v>
      </c>
      <c r="C935" s="105">
        <f>_xlfn.XLOOKUP(D935,ingredientes!B:B,ingredientes!A:A,"não")</f>
        <v>96</v>
      </c>
      <c r="D935" t="s">
        <v>641</v>
      </c>
      <c r="E935" s="74">
        <v>25</v>
      </c>
      <c r="H935">
        <f t="shared" si="54"/>
        <v>414</v>
      </c>
      <c r="I935">
        <f t="shared" si="55"/>
        <v>96</v>
      </c>
      <c r="J935">
        <f t="shared" si="56"/>
        <v>25</v>
      </c>
      <c r="K935">
        <f t="shared" si="57"/>
        <v>510</v>
      </c>
    </row>
    <row r="936" spans="1:11" x14ac:dyDescent="0.2">
      <c r="A936" s="106">
        <f>_xlfn.XLOOKUP(B936,pratos!B:B,pratos!A:A,"não")</f>
        <v>414</v>
      </c>
      <c r="B936" s="127" t="s">
        <v>396</v>
      </c>
      <c r="C936" s="105">
        <f>_xlfn.XLOOKUP(D936,ingredientes!B:B,ingredientes!A:A,"não")</f>
        <v>106</v>
      </c>
      <c r="D936" t="s">
        <v>645</v>
      </c>
      <c r="E936" s="74">
        <v>25</v>
      </c>
      <c r="H936">
        <f t="shared" si="54"/>
        <v>414</v>
      </c>
      <c r="I936">
        <f t="shared" si="55"/>
        <v>106</v>
      </c>
      <c r="J936">
        <f t="shared" si="56"/>
        <v>25</v>
      </c>
      <c r="K936">
        <f t="shared" si="57"/>
        <v>520</v>
      </c>
    </row>
    <row r="937" spans="1:11" x14ac:dyDescent="0.2">
      <c r="A937" s="106">
        <f>_xlfn.XLOOKUP(B937,pratos!B:B,pratos!A:A,"não")</f>
        <v>414</v>
      </c>
      <c r="B937" s="127" t="s">
        <v>396</v>
      </c>
      <c r="C937" s="105">
        <f>_xlfn.XLOOKUP(D937,ingredientes!B:B,ingredientes!A:A,"não")</f>
        <v>186</v>
      </c>
      <c r="D937" s="173" t="s">
        <v>397</v>
      </c>
      <c r="E937" s="74">
        <v>70</v>
      </c>
      <c r="H937">
        <f t="shared" si="54"/>
        <v>414</v>
      </c>
      <c r="I937">
        <f t="shared" si="55"/>
        <v>186</v>
      </c>
      <c r="J937">
        <f t="shared" si="56"/>
        <v>70</v>
      </c>
      <c r="K937">
        <f t="shared" si="57"/>
        <v>600</v>
      </c>
    </row>
    <row r="938" spans="1:11" x14ac:dyDescent="0.2">
      <c r="A938" s="106">
        <f>_xlfn.XLOOKUP(B938,pratos!B:B,pratos!A:A,"não")</f>
        <v>415</v>
      </c>
      <c r="B938" s="127" t="s">
        <v>399</v>
      </c>
      <c r="C938" s="105">
        <f>_xlfn.XLOOKUP(D938,ingredientes!B:B,ingredientes!A:A,"não")</f>
        <v>106</v>
      </c>
      <c r="D938" t="s">
        <v>645</v>
      </c>
      <c r="E938" s="74">
        <v>30</v>
      </c>
      <c r="H938">
        <f t="shared" si="54"/>
        <v>415</v>
      </c>
      <c r="I938">
        <f t="shared" si="55"/>
        <v>106</v>
      </c>
      <c r="J938">
        <f t="shared" si="56"/>
        <v>30</v>
      </c>
      <c r="K938">
        <f t="shared" si="57"/>
        <v>521</v>
      </c>
    </row>
    <row r="939" spans="1:11" x14ac:dyDescent="0.2">
      <c r="A939" s="106">
        <f>_xlfn.XLOOKUP(B939,pratos!B:B,pratos!A:A,"não")</f>
        <v>415</v>
      </c>
      <c r="B939" s="127" t="s">
        <v>399</v>
      </c>
      <c r="C939" s="105">
        <f>_xlfn.XLOOKUP(D939,ingredientes!B:B,ingredientes!A:A,"não")</f>
        <v>106</v>
      </c>
      <c r="D939" t="s">
        <v>645</v>
      </c>
      <c r="E939" s="74">
        <v>35</v>
      </c>
      <c r="H939">
        <f t="shared" si="54"/>
        <v>415</v>
      </c>
      <c r="I939">
        <f t="shared" si="55"/>
        <v>106</v>
      </c>
      <c r="J939">
        <f t="shared" si="56"/>
        <v>35</v>
      </c>
      <c r="K939">
        <f t="shared" si="57"/>
        <v>521</v>
      </c>
    </row>
    <row r="940" spans="1:11" x14ac:dyDescent="0.2">
      <c r="A940" s="106">
        <f>_xlfn.XLOOKUP(B940,pratos!B:B,pratos!A:A,"não")</f>
        <v>415</v>
      </c>
      <c r="B940" s="127" t="s">
        <v>399</v>
      </c>
      <c r="C940" s="105">
        <f>_xlfn.XLOOKUP(D940,ingredientes!B:B,ingredientes!A:A,"não")</f>
        <v>186</v>
      </c>
      <c r="D940" s="173" t="s">
        <v>397</v>
      </c>
      <c r="E940" s="74">
        <v>80</v>
      </c>
      <c r="H940">
        <f t="shared" si="54"/>
        <v>415</v>
      </c>
      <c r="I940">
        <f t="shared" si="55"/>
        <v>186</v>
      </c>
      <c r="J940">
        <f t="shared" si="56"/>
        <v>80</v>
      </c>
      <c r="K940">
        <f t="shared" si="57"/>
        <v>601</v>
      </c>
    </row>
    <row r="941" spans="1:11" x14ac:dyDescent="0.2">
      <c r="A941" s="106">
        <f>_xlfn.XLOOKUP(B941,pratos!B:B,pratos!A:A,"não")</f>
        <v>415</v>
      </c>
      <c r="B941" s="128" t="s">
        <v>399</v>
      </c>
      <c r="C941" s="105">
        <f>_xlfn.XLOOKUP(D941,ingredientes!B:B,ingredientes!A:A,"não")</f>
        <v>186</v>
      </c>
      <c r="D941" s="173" t="s">
        <v>397</v>
      </c>
      <c r="E941" s="74">
        <v>120</v>
      </c>
      <c r="H941">
        <f t="shared" si="54"/>
        <v>415</v>
      </c>
      <c r="I941">
        <f t="shared" si="55"/>
        <v>186</v>
      </c>
      <c r="J941">
        <f t="shared" si="56"/>
        <v>120</v>
      </c>
      <c r="K941">
        <f t="shared" si="57"/>
        <v>601</v>
      </c>
    </row>
    <row r="942" spans="1:11" x14ac:dyDescent="0.2">
      <c r="A942" s="106">
        <f>_xlfn.XLOOKUP(B942,pratos!B:B,pratos!A:A,"não")</f>
        <v>415</v>
      </c>
      <c r="B942" s="129" t="s">
        <v>399</v>
      </c>
      <c r="C942" s="105">
        <f>_xlfn.XLOOKUP(D942,ingredientes!B:B,ingredientes!A:A,"não")</f>
        <v>242</v>
      </c>
      <c r="D942" t="s">
        <v>276</v>
      </c>
      <c r="E942" s="10">
        <v>60</v>
      </c>
      <c r="H942">
        <f t="shared" si="54"/>
        <v>415</v>
      </c>
      <c r="I942">
        <f t="shared" si="55"/>
        <v>242</v>
      </c>
      <c r="J942">
        <f t="shared" si="56"/>
        <v>60</v>
      </c>
      <c r="K942">
        <f t="shared" si="57"/>
        <v>657</v>
      </c>
    </row>
    <row r="943" spans="1:11" x14ac:dyDescent="0.2">
      <c r="A943" s="106">
        <f>_xlfn.XLOOKUP(B943,pratos!B:B,pratos!A:A,"não")</f>
        <v>416</v>
      </c>
      <c r="B943" s="111" t="s">
        <v>285</v>
      </c>
      <c r="C943" s="105">
        <f>_xlfn.XLOOKUP(D943,ingredientes!B:B,ingredientes!A:A,"não")</f>
        <v>52</v>
      </c>
      <c r="D943" t="s">
        <v>614</v>
      </c>
      <c r="E943" s="56">
        <v>90</v>
      </c>
      <c r="H943">
        <f t="shared" si="54"/>
        <v>416</v>
      </c>
      <c r="I943">
        <f t="shared" si="55"/>
        <v>52</v>
      </c>
      <c r="J943">
        <f t="shared" si="56"/>
        <v>90</v>
      </c>
      <c r="K943">
        <f t="shared" si="57"/>
        <v>468</v>
      </c>
    </row>
    <row r="944" spans="1:11" x14ac:dyDescent="0.2">
      <c r="A944" s="106">
        <f>_xlfn.XLOOKUP(B944,pratos!B:B,pratos!A:A,"não")</f>
        <v>417</v>
      </c>
      <c r="B944" s="111" t="s">
        <v>289</v>
      </c>
      <c r="C944" s="105">
        <f>_xlfn.XLOOKUP(D944,ingredientes!B:B,ingredientes!A:A,"não")</f>
        <v>52</v>
      </c>
      <c r="D944" t="s">
        <v>614</v>
      </c>
      <c r="E944" s="60">
        <v>90</v>
      </c>
      <c r="H944">
        <f t="shared" si="54"/>
        <v>417</v>
      </c>
      <c r="I944">
        <f t="shared" si="55"/>
        <v>52</v>
      </c>
      <c r="J944">
        <f t="shared" si="56"/>
        <v>90</v>
      </c>
      <c r="K944">
        <f t="shared" si="57"/>
        <v>469</v>
      </c>
    </row>
    <row r="945" spans="1:11" x14ac:dyDescent="0.2">
      <c r="A945" s="106">
        <f>_xlfn.XLOOKUP(B945,pratos!B:B,pratos!A:A,"não")</f>
        <v>417</v>
      </c>
      <c r="B945" s="111" t="s">
        <v>289</v>
      </c>
      <c r="C945" s="105">
        <f>_xlfn.XLOOKUP(D945,ingredientes!B:B,ingredientes!A:A,"não")</f>
        <v>52</v>
      </c>
      <c r="D945" t="s">
        <v>614</v>
      </c>
      <c r="E945" s="10">
        <v>105</v>
      </c>
      <c r="H945">
        <f t="shared" si="54"/>
        <v>417</v>
      </c>
      <c r="I945">
        <f t="shared" si="55"/>
        <v>52</v>
      </c>
      <c r="J945">
        <f t="shared" si="56"/>
        <v>105</v>
      </c>
      <c r="K945">
        <f t="shared" si="57"/>
        <v>469</v>
      </c>
    </row>
    <row r="946" spans="1:11" x14ac:dyDescent="0.2">
      <c r="A946" s="106">
        <f>_xlfn.XLOOKUP(B946,pratos!B:B,pratos!A:A,"não")</f>
        <v>417</v>
      </c>
      <c r="B946" s="111" t="s">
        <v>289</v>
      </c>
      <c r="C946" s="105">
        <f>_xlfn.XLOOKUP(D946,ingredientes!B:B,ingredientes!A:A,"não")</f>
        <v>242</v>
      </c>
      <c r="D946" s="152" t="s">
        <v>276</v>
      </c>
      <c r="E946" s="60">
        <v>60</v>
      </c>
      <c r="H946">
        <f t="shared" si="54"/>
        <v>417</v>
      </c>
      <c r="I946">
        <f t="shared" si="55"/>
        <v>242</v>
      </c>
      <c r="J946">
        <f t="shared" si="56"/>
        <v>60</v>
      </c>
      <c r="K946">
        <f t="shared" si="57"/>
        <v>659</v>
      </c>
    </row>
    <row r="947" spans="1:11" x14ac:dyDescent="0.2">
      <c r="A947" s="106">
        <f>_xlfn.XLOOKUP(B947,pratos!B:B,pratos!A:A,"não")</f>
        <v>418</v>
      </c>
      <c r="B947" s="111" t="s">
        <v>274</v>
      </c>
      <c r="C947" s="105">
        <f>_xlfn.XLOOKUP(D947,ingredientes!B:B,ingredientes!A:A,"não")</f>
        <v>52</v>
      </c>
      <c r="D947" t="s">
        <v>614</v>
      </c>
      <c r="E947" s="10">
        <v>90</v>
      </c>
      <c r="H947">
        <f t="shared" si="54"/>
        <v>418</v>
      </c>
      <c r="I947">
        <f t="shared" si="55"/>
        <v>52</v>
      </c>
      <c r="J947">
        <f t="shared" si="56"/>
        <v>90</v>
      </c>
      <c r="K947">
        <f t="shared" si="57"/>
        <v>470</v>
      </c>
    </row>
    <row r="948" spans="1:11" x14ac:dyDescent="0.2">
      <c r="A948" s="106">
        <f>_xlfn.XLOOKUP(B948,pratos!B:B,pratos!A:A,"não")</f>
        <v>419</v>
      </c>
      <c r="B948" s="109" t="s">
        <v>340</v>
      </c>
      <c r="C948" s="105">
        <f>_xlfn.XLOOKUP(D948,ingredientes!B:B,ingredientes!A:A,"não")</f>
        <v>304</v>
      </c>
      <c r="D948" t="s">
        <v>701</v>
      </c>
      <c r="E948" s="10">
        <v>100</v>
      </c>
      <c r="H948">
        <f t="shared" si="54"/>
        <v>419</v>
      </c>
      <c r="I948">
        <f t="shared" si="55"/>
        <v>304</v>
      </c>
      <c r="J948">
        <f t="shared" si="56"/>
        <v>100</v>
      </c>
      <c r="K948">
        <f t="shared" si="57"/>
        <v>723</v>
      </c>
    </row>
    <row r="949" spans="1:11" x14ac:dyDescent="0.2">
      <c r="A949" s="106">
        <f>_xlfn.XLOOKUP(B949,pratos!B:B,pratos!A:A,"não")</f>
        <v>420</v>
      </c>
      <c r="B949" s="112" t="s">
        <v>589</v>
      </c>
      <c r="C949" s="105">
        <f>_xlfn.XLOOKUP(D949,ingredientes!B:B,ingredientes!A:A,"não")</f>
        <v>17</v>
      </c>
      <c r="D949" t="s">
        <v>7</v>
      </c>
      <c r="E949" s="10">
        <v>20</v>
      </c>
      <c r="H949">
        <f t="shared" si="54"/>
        <v>420</v>
      </c>
      <c r="I949">
        <f t="shared" si="55"/>
        <v>17</v>
      </c>
      <c r="J949">
        <f t="shared" si="56"/>
        <v>20</v>
      </c>
      <c r="K949">
        <f t="shared" si="57"/>
        <v>437</v>
      </c>
    </row>
    <row r="950" spans="1:11" x14ac:dyDescent="0.2">
      <c r="A950" s="106">
        <f>_xlfn.XLOOKUP(B950,pratos!B:B,pratos!A:A,"não")</f>
        <v>420</v>
      </c>
      <c r="B950" s="112" t="s">
        <v>589</v>
      </c>
      <c r="C950" s="105">
        <f>_xlfn.XLOOKUP(D950,ingredientes!B:B,ingredientes!A:A,"não")</f>
        <v>305</v>
      </c>
      <c r="D950" s="156" t="s">
        <v>564</v>
      </c>
      <c r="E950" s="10">
        <v>40</v>
      </c>
      <c r="H950">
        <f t="shared" si="54"/>
        <v>420</v>
      </c>
      <c r="I950">
        <f t="shared" si="55"/>
        <v>305</v>
      </c>
      <c r="J950">
        <f t="shared" si="56"/>
        <v>40</v>
      </c>
      <c r="K950">
        <f t="shared" si="57"/>
        <v>725</v>
      </c>
    </row>
    <row r="951" spans="1:11" x14ac:dyDescent="0.2">
      <c r="A951" s="106">
        <f>_xlfn.XLOOKUP(B951,pratos!B:B,pratos!A:A,"não")</f>
        <v>421</v>
      </c>
      <c r="B951" s="111" t="s">
        <v>134</v>
      </c>
      <c r="C951" s="105">
        <f>_xlfn.XLOOKUP(D951,ingredientes!B:B,ingredientes!A:A,"não")</f>
        <v>258</v>
      </c>
      <c r="D951" s="178" t="s">
        <v>9</v>
      </c>
      <c r="E951" s="5">
        <v>50</v>
      </c>
      <c r="H951">
        <f t="shared" si="54"/>
        <v>421</v>
      </c>
      <c r="I951">
        <f t="shared" si="55"/>
        <v>258</v>
      </c>
      <c r="J951">
        <f t="shared" si="56"/>
        <v>50</v>
      </c>
      <c r="K951">
        <f t="shared" si="57"/>
        <v>679</v>
      </c>
    </row>
    <row r="952" spans="1:11" x14ac:dyDescent="0.2">
      <c r="A952" s="106">
        <f>_xlfn.XLOOKUP(B952,pratos!B:B,pratos!A:A,"não")</f>
        <v>421</v>
      </c>
      <c r="B952" s="130" t="s">
        <v>134</v>
      </c>
      <c r="C952" s="105">
        <f>_xlfn.XLOOKUP(D952,ingredientes!B:B,ingredientes!A:A,"não")</f>
        <v>259</v>
      </c>
      <c r="D952" s="30" t="s">
        <v>81</v>
      </c>
      <c r="E952" s="82">
        <v>25</v>
      </c>
      <c r="H952">
        <f t="shared" si="54"/>
        <v>421</v>
      </c>
      <c r="I952">
        <f t="shared" si="55"/>
        <v>259</v>
      </c>
      <c r="J952">
        <f t="shared" si="56"/>
        <v>25</v>
      </c>
      <c r="K952">
        <f t="shared" si="57"/>
        <v>680</v>
      </c>
    </row>
    <row r="953" spans="1:11" x14ac:dyDescent="0.2">
      <c r="A953" s="106">
        <f>_xlfn.XLOOKUP(B953,pratos!B:B,pratos!A:A,"não")</f>
        <v>421</v>
      </c>
      <c r="B953" s="111" t="s">
        <v>134</v>
      </c>
      <c r="C953" s="105">
        <f>_xlfn.XLOOKUP(D953,ingredientes!B:B,ingredientes!A:A,"não")</f>
        <v>261</v>
      </c>
      <c r="D953" s="9" t="s">
        <v>232</v>
      </c>
      <c r="E953" s="10">
        <v>50</v>
      </c>
      <c r="H953">
        <f t="shared" si="54"/>
        <v>421</v>
      </c>
      <c r="I953">
        <f t="shared" si="55"/>
        <v>261</v>
      </c>
      <c r="J953">
        <f t="shared" si="56"/>
        <v>50</v>
      </c>
      <c r="K953">
        <f t="shared" si="57"/>
        <v>682</v>
      </c>
    </row>
    <row r="954" spans="1:11" x14ac:dyDescent="0.2">
      <c r="A954" s="106">
        <f>_xlfn.XLOOKUP(B954,pratos!B:B,pratos!A:A,"não")</f>
        <v>421</v>
      </c>
      <c r="B954" s="111" t="s">
        <v>134</v>
      </c>
      <c r="C954" s="105">
        <f>_xlfn.XLOOKUP(D954,ingredientes!B:B,ingredientes!A:A,"não")</f>
        <v>261</v>
      </c>
      <c r="D954" s="138" t="s">
        <v>232</v>
      </c>
      <c r="E954" s="10">
        <v>25</v>
      </c>
      <c r="H954">
        <f t="shared" si="54"/>
        <v>421</v>
      </c>
      <c r="I954">
        <f t="shared" si="55"/>
        <v>261</v>
      </c>
      <c r="J954">
        <f t="shared" si="56"/>
        <v>25</v>
      </c>
      <c r="K954">
        <f t="shared" si="57"/>
        <v>682</v>
      </c>
    </row>
    <row r="955" spans="1:11" x14ac:dyDescent="0.2">
      <c r="A955" s="106">
        <f>_xlfn.XLOOKUP(B955,pratos!B:B,pratos!A:A,"não")</f>
        <v>421</v>
      </c>
      <c r="B955" s="108" t="s">
        <v>134</v>
      </c>
      <c r="C955" s="105">
        <f>_xlfn.XLOOKUP(D955,ingredientes!B:B,ingredientes!A:A,"não")</f>
        <v>262</v>
      </c>
      <c r="D955" s="4" t="s">
        <v>253</v>
      </c>
      <c r="E955" s="58">
        <v>35</v>
      </c>
      <c r="H955">
        <f t="shared" si="54"/>
        <v>421</v>
      </c>
      <c r="I955">
        <f t="shared" si="55"/>
        <v>262</v>
      </c>
      <c r="J955">
        <f t="shared" si="56"/>
        <v>35</v>
      </c>
      <c r="K955">
        <f t="shared" si="57"/>
        <v>683</v>
      </c>
    </row>
    <row r="956" spans="1:11" x14ac:dyDescent="0.2">
      <c r="A956" s="106">
        <f>_xlfn.XLOOKUP(B956,pratos!B:B,pratos!A:A,"não")</f>
        <v>421</v>
      </c>
      <c r="B956" s="111" t="s">
        <v>134</v>
      </c>
      <c r="C956" s="105">
        <f>_xlfn.XLOOKUP(D956,ingredientes!B:B,ingredientes!A:A,"não")</f>
        <v>263</v>
      </c>
      <c r="D956" s="9" t="s">
        <v>338</v>
      </c>
      <c r="E956" s="10">
        <v>50</v>
      </c>
      <c r="H956">
        <f t="shared" si="54"/>
        <v>421</v>
      </c>
      <c r="I956">
        <f t="shared" si="55"/>
        <v>263</v>
      </c>
      <c r="J956">
        <f t="shared" si="56"/>
        <v>50</v>
      </c>
      <c r="K956">
        <f t="shared" si="57"/>
        <v>684</v>
      </c>
    </row>
    <row r="957" spans="1:11" x14ac:dyDescent="0.2">
      <c r="A957" s="106">
        <f>_xlfn.XLOOKUP(B957,pratos!B:B,pratos!A:A,"não")</f>
        <v>421</v>
      </c>
      <c r="B957" s="111" t="s">
        <v>134</v>
      </c>
      <c r="C957" s="105">
        <f>_xlfn.XLOOKUP(D957,ingredientes!B:B,ingredientes!A:A,"não")</f>
        <v>263</v>
      </c>
      <c r="D957" s="138" t="s">
        <v>338</v>
      </c>
      <c r="E957" s="10">
        <v>25</v>
      </c>
      <c r="H957">
        <f t="shared" si="54"/>
        <v>421</v>
      </c>
      <c r="I957">
        <f t="shared" si="55"/>
        <v>263</v>
      </c>
      <c r="J957">
        <f t="shared" si="56"/>
        <v>25</v>
      </c>
      <c r="K957">
        <f t="shared" si="57"/>
        <v>684</v>
      </c>
    </row>
    <row r="958" spans="1:11" x14ac:dyDescent="0.2">
      <c r="A958" s="106">
        <f>_xlfn.XLOOKUP(B958,pratos!B:B,pratos!A:A,"não")</f>
        <v>421</v>
      </c>
      <c r="B958" s="111" t="s">
        <v>134</v>
      </c>
      <c r="C958" s="105">
        <f>_xlfn.XLOOKUP(D958,ingredientes!B:B,ingredientes!A:A,"não")</f>
        <v>265</v>
      </c>
      <c r="D958" s="6" t="s">
        <v>175</v>
      </c>
      <c r="E958" s="19">
        <v>40</v>
      </c>
      <c r="H958">
        <f t="shared" si="54"/>
        <v>421</v>
      </c>
      <c r="I958">
        <f t="shared" si="55"/>
        <v>265</v>
      </c>
      <c r="J958">
        <f t="shared" si="56"/>
        <v>40</v>
      </c>
      <c r="K958">
        <f t="shared" si="57"/>
        <v>686</v>
      </c>
    </row>
    <row r="959" spans="1:11" x14ac:dyDescent="0.2">
      <c r="A959" s="106">
        <f>_xlfn.XLOOKUP(B959,pratos!B:B,pratos!A:A,"não")</f>
        <v>421</v>
      </c>
      <c r="B959" s="111" t="s">
        <v>134</v>
      </c>
      <c r="C959" s="105">
        <f>_xlfn.XLOOKUP(D959,ingredientes!B:B,ingredientes!A:A,"não")</f>
        <v>265</v>
      </c>
      <c r="D959" s="6" t="s">
        <v>175</v>
      </c>
      <c r="E959" s="19">
        <v>20</v>
      </c>
      <c r="H959">
        <f t="shared" si="54"/>
        <v>421</v>
      </c>
      <c r="I959">
        <f t="shared" si="55"/>
        <v>265</v>
      </c>
      <c r="J959">
        <f t="shared" si="56"/>
        <v>20</v>
      </c>
      <c r="K959">
        <f t="shared" si="57"/>
        <v>686</v>
      </c>
    </row>
    <row r="960" spans="1:11" x14ac:dyDescent="0.2">
      <c r="A960" s="106">
        <f>_xlfn.XLOOKUP(B960,pratos!B:B,pratos!A:A,"não")</f>
        <v>421</v>
      </c>
      <c r="B960" s="111" t="s">
        <v>134</v>
      </c>
      <c r="C960" s="105">
        <f>_xlfn.XLOOKUP(D960,ingredientes!B:B,ingredientes!A:A,"não")</f>
        <v>305</v>
      </c>
      <c r="D960" s="77" t="s">
        <v>564</v>
      </c>
      <c r="E960" s="10">
        <v>25</v>
      </c>
      <c r="H960">
        <f t="shared" ref="H960:H1023" si="58">A960</f>
        <v>421</v>
      </c>
      <c r="I960">
        <f t="shared" ref="I960:I1023" si="59">C960</f>
        <v>305</v>
      </c>
      <c r="J960">
        <f t="shared" ref="J960:J1023" si="60">E960</f>
        <v>25</v>
      </c>
      <c r="K960">
        <f t="shared" si="57"/>
        <v>726</v>
      </c>
    </row>
    <row r="961" spans="1:11" x14ac:dyDescent="0.2">
      <c r="A961" s="106">
        <f>_xlfn.XLOOKUP(B961,pratos!B:B,pratos!A:A,"não")</f>
        <v>422</v>
      </c>
      <c r="B961" s="108" t="s">
        <v>8</v>
      </c>
      <c r="C961" s="105">
        <f>_xlfn.XLOOKUP(D961,ingredientes!B:B,ingredientes!A:A,"não")</f>
        <v>17</v>
      </c>
      <c r="D961" s="7" t="s">
        <v>7</v>
      </c>
      <c r="E961" s="5">
        <v>20</v>
      </c>
      <c r="H961">
        <f t="shared" si="58"/>
        <v>422</v>
      </c>
      <c r="I961">
        <f t="shared" si="59"/>
        <v>17</v>
      </c>
      <c r="J961">
        <f t="shared" si="60"/>
        <v>20</v>
      </c>
      <c r="K961">
        <f t="shared" si="57"/>
        <v>439</v>
      </c>
    </row>
    <row r="962" spans="1:11" x14ac:dyDescent="0.2">
      <c r="A962" s="106">
        <f>_xlfn.XLOOKUP(B962,pratos!B:B,pratos!A:A,"não")</f>
        <v>422</v>
      </c>
      <c r="B962" s="108" t="s">
        <v>8</v>
      </c>
      <c r="C962" s="105">
        <f>_xlfn.XLOOKUP(D962,ingredientes!B:B,ingredientes!A:A,"não")</f>
        <v>258</v>
      </c>
      <c r="D962" s="6" t="s">
        <v>9</v>
      </c>
      <c r="E962" s="5">
        <v>50</v>
      </c>
      <c r="H962">
        <f t="shared" si="58"/>
        <v>422</v>
      </c>
      <c r="I962">
        <f t="shared" si="59"/>
        <v>258</v>
      </c>
      <c r="J962">
        <f t="shared" si="60"/>
        <v>50</v>
      </c>
      <c r="K962">
        <f t="shared" si="57"/>
        <v>680</v>
      </c>
    </row>
    <row r="963" spans="1:11" x14ac:dyDescent="0.2">
      <c r="A963" s="106">
        <f>_xlfn.XLOOKUP(B963,pratos!B:B,pratos!A:A,"não")</f>
        <v>423</v>
      </c>
      <c r="B963" s="130" t="s">
        <v>564</v>
      </c>
      <c r="C963" s="105">
        <f>_xlfn.XLOOKUP(D963,ingredientes!B:B,ingredientes!A:A,"não")</f>
        <v>259</v>
      </c>
      <c r="D963" s="30" t="s">
        <v>81</v>
      </c>
      <c r="E963" s="82">
        <v>50</v>
      </c>
      <c r="H963">
        <f t="shared" si="58"/>
        <v>423</v>
      </c>
      <c r="I963">
        <f t="shared" si="59"/>
        <v>259</v>
      </c>
      <c r="J963">
        <f t="shared" si="60"/>
        <v>50</v>
      </c>
      <c r="K963">
        <f t="shared" ref="K963:K1024" si="61">H963+I963</f>
        <v>682</v>
      </c>
    </row>
    <row r="964" spans="1:11" x14ac:dyDescent="0.2">
      <c r="A964" s="106">
        <f>_xlfn.XLOOKUP(B964,pratos!B:B,pratos!A:A,"não")</f>
        <v>424</v>
      </c>
      <c r="B964" s="137" t="s">
        <v>388</v>
      </c>
      <c r="C964" s="105">
        <f>_xlfn.XLOOKUP(D964,ingredientes!B:B,ingredientes!A:A,"não")</f>
        <v>17</v>
      </c>
      <c r="D964" s="104" t="s">
        <v>7</v>
      </c>
      <c r="E964" s="63">
        <v>10</v>
      </c>
      <c r="H964">
        <f t="shared" si="58"/>
        <v>424</v>
      </c>
      <c r="I964">
        <f t="shared" si="59"/>
        <v>17</v>
      </c>
      <c r="J964">
        <f t="shared" si="60"/>
        <v>10</v>
      </c>
      <c r="K964">
        <f t="shared" si="61"/>
        <v>441</v>
      </c>
    </row>
    <row r="965" spans="1:11" x14ac:dyDescent="0.2">
      <c r="A965" s="106">
        <f>_xlfn.XLOOKUP(B965,pratos!B:B,pratos!A:A,"não")</f>
        <v>424</v>
      </c>
      <c r="B965" s="126" t="s">
        <v>388</v>
      </c>
      <c r="C965" s="105">
        <f>_xlfn.XLOOKUP(D965,ingredientes!B:B,ingredientes!A:A,"não")</f>
        <v>259</v>
      </c>
      <c r="D965" s="66" t="s">
        <v>81</v>
      </c>
      <c r="E965" s="68">
        <v>50</v>
      </c>
      <c r="H965">
        <f t="shared" si="58"/>
        <v>424</v>
      </c>
      <c r="I965">
        <f t="shared" si="59"/>
        <v>259</v>
      </c>
      <c r="J965">
        <f t="shared" si="60"/>
        <v>50</v>
      </c>
      <c r="K965">
        <f t="shared" si="61"/>
        <v>683</v>
      </c>
    </row>
    <row r="966" spans="1:11" x14ac:dyDescent="0.2">
      <c r="A966" s="106">
        <f>_xlfn.XLOOKUP(B966,pratos!B:B,pratos!A:A,"não")</f>
        <v>425</v>
      </c>
      <c r="B966" s="111" t="s">
        <v>80</v>
      </c>
      <c r="C966" s="105">
        <f>_xlfn.XLOOKUP(D966,ingredientes!B:B,ingredientes!A:A,"não")</f>
        <v>259</v>
      </c>
      <c r="D966" s="20" t="s">
        <v>81</v>
      </c>
      <c r="E966" s="19">
        <v>50</v>
      </c>
      <c r="H966">
        <f t="shared" si="58"/>
        <v>425</v>
      </c>
      <c r="I966">
        <f t="shared" si="59"/>
        <v>259</v>
      </c>
      <c r="J966">
        <f t="shared" si="60"/>
        <v>50</v>
      </c>
      <c r="K966">
        <f t="shared" si="61"/>
        <v>684</v>
      </c>
    </row>
    <row r="967" spans="1:11" x14ac:dyDescent="0.2">
      <c r="A967" s="106">
        <f>_xlfn.XLOOKUP(B967,pratos!B:B,pratos!A:A,"não")</f>
        <v>426</v>
      </c>
      <c r="B967" s="111" t="s">
        <v>231</v>
      </c>
      <c r="C967" s="105">
        <f>_xlfn.XLOOKUP(D967,ingredientes!B:B,ingredientes!A:A,"não")</f>
        <v>17</v>
      </c>
      <c r="D967" s="4" t="s">
        <v>7</v>
      </c>
      <c r="E967" s="5">
        <v>10</v>
      </c>
      <c r="H967">
        <f t="shared" si="58"/>
        <v>426</v>
      </c>
      <c r="I967">
        <f t="shared" si="59"/>
        <v>17</v>
      </c>
      <c r="J967">
        <f t="shared" si="60"/>
        <v>10</v>
      </c>
      <c r="K967">
        <f t="shared" si="61"/>
        <v>443</v>
      </c>
    </row>
    <row r="968" spans="1:11" x14ac:dyDescent="0.2">
      <c r="A968" s="106">
        <f>_xlfn.XLOOKUP(B968,pratos!B:B,pratos!A:A,"não")</f>
        <v>426</v>
      </c>
      <c r="B968" s="52" t="s">
        <v>231</v>
      </c>
      <c r="C968" s="105">
        <f>_xlfn.XLOOKUP(D968,ingredientes!B:B,ingredientes!A:A,"não")</f>
        <v>261</v>
      </c>
      <c r="D968" s="9" t="s">
        <v>232</v>
      </c>
      <c r="E968" s="10">
        <v>50</v>
      </c>
      <c r="H968">
        <f t="shared" si="58"/>
        <v>426</v>
      </c>
      <c r="I968">
        <f t="shared" si="59"/>
        <v>261</v>
      </c>
      <c r="J968">
        <f t="shared" si="60"/>
        <v>50</v>
      </c>
      <c r="K968">
        <f t="shared" si="61"/>
        <v>687</v>
      </c>
    </row>
    <row r="969" spans="1:11" x14ac:dyDescent="0.2">
      <c r="A969" s="106">
        <f>_xlfn.XLOOKUP(B969,pratos!B:B,pratos!A:A,"não")</f>
        <v>427</v>
      </c>
      <c r="B969" s="108" t="s">
        <v>136</v>
      </c>
      <c r="C969" s="105">
        <f>_xlfn.XLOOKUP(D969,ingredientes!B:B,ingredientes!A:A,"não")</f>
        <v>17</v>
      </c>
      <c r="D969" s="37" t="s">
        <v>7</v>
      </c>
      <c r="E969" s="5">
        <v>23</v>
      </c>
      <c r="H969">
        <f t="shared" si="58"/>
        <v>427</v>
      </c>
      <c r="I969">
        <f t="shared" si="59"/>
        <v>17</v>
      </c>
      <c r="J969">
        <f t="shared" si="60"/>
        <v>23</v>
      </c>
      <c r="K969">
        <f t="shared" si="61"/>
        <v>444</v>
      </c>
    </row>
    <row r="970" spans="1:11" x14ac:dyDescent="0.2">
      <c r="A970" s="106">
        <f>_xlfn.XLOOKUP(B970,pratos!B:B,pratos!A:A,"não")</f>
        <v>427</v>
      </c>
      <c r="B970" s="108" t="s">
        <v>136</v>
      </c>
      <c r="C970" s="105">
        <f>_xlfn.XLOOKUP(D970,ingredientes!B:B,ingredientes!A:A,"não")</f>
        <v>174</v>
      </c>
      <c r="D970" s="37" t="s">
        <v>137</v>
      </c>
      <c r="E970" s="5">
        <v>76</v>
      </c>
      <c r="H970">
        <f t="shared" si="58"/>
        <v>427</v>
      </c>
      <c r="I970">
        <f t="shared" si="59"/>
        <v>174</v>
      </c>
      <c r="J970">
        <f t="shared" si="60"/>
        <v>76</v>
      </c>
      <c r="K970">
        <f t="shared" si="61"/>
        <v>601</v>
      </c>
    </row>
    <row r="971" spans="1:11" x14ac:dyDescent="0.2">
      <c r="A971" s="106">
        <f>_xlfn.XLOOKUP(B971,pratos!B:B,pratos!A:A,"não")</f>
        <v>427</v>
      </c>
      <c r="B971" s="108" t="s">
        <v>136</v>
      </c>
      <c r="C971" s="105">
        <f>_xlfn.XLOOKUP(D971,ingredientes!B:B,ingredientes!A:A,"não")</f>
        <v>258</v>
      </c>
      <c r="D971" s="36" t="s">
        <v>9</v>
      </c>
      <c r="E971" s="5">
        <v>19</v>
      </c>
      <c r="H971">
        <f t="shared" si="58"/>
        <v>427</v>
      </c>
      <c r="I971">
        <f t="shared" si="59"/>
        <v>258</v>
      </c>
      <c r="J971">
        <f t="shared" si="60"/>
        <v>19</v>
      </c>
      <c r="K971">
        <f t="shared" si="61"/>
        <v>685</v>
      </c>
    </row>
    <row r="972" spans="1:11" x14ac:dyDescent="0.2">
      <c r="A972" s="106">
        <f>_xlfn.XLOOKUP(B972,pratos!B:B,pratos!A:A,"não")</f>
        <v>428</v>
      </c>
      <c r="B972" s="111" t="s">
        <v>75</v>
      </c>
      <c r="C972" s="105">
        <f>_xlfn.XLOOKUP(D972,ingredientes!B:B,ingredientes!A:A,"não")</f>
        <v>180</v>
      </c>
      <c r="D972" s="15" t="s">
        <v>76</v>
      </c>
      <c r="E972" s="23">
        <v>20</v>
      </c>
      <c r="H972">
        <f t="shared" si="58"/>
        <v>428</v>
      </c>
      <c r="I972">
        <f t="shared" si="59"/>
        <v>180</v>
      </c>
      <c r="J972">
        <f t="shared" si="60"/>
        <v>20</v>
      </c>
      <c r="K972">
        <f t="shared" si="61"/>
        <v>608</v>
      </c>
    </row>
    <row r="973" spans="1:11" x14ac:dyDescent="0.2">
      <c r="A973" s="106">
        <f>_xlfn.XLOOKUP(B973,pratos!B:B,pratos!A:A,"não")</f>
        <v>429</v>
      </c>
      <c r="B973" s="109" t="s">
        <v>337</v>
      </c>
      <c r="C973" s="105">
        <f>_xlfn.XLOOKUP(D973,ingredientes!B:B,ingredientes!A:A,"não")</f>
        <v>114</v>
      </c>
      <c r="D973" s="9" t="s">
        <v>258</v>
      </c>
      <c r="E973" s="10">
        <v>10</v>
      </c>
      <c r="H973">
        <f t="shared" si="58"/>
        <v>429</v>
      </c>
      <c r="I973">
        <f t="shared" si="59"/>
        <v>114</v>
      </c>
      <c r="J973">
        <f t="shared" si="60"/>
        <v>10</v>
      </c>
      <c r="K973">
        <f t="shared" si="61"/>
        <v>543</v>
      </c>
    </row>
    <row r="974" spans="1:11" x14ac:dyDescent="0.2">
      <c r="A974" s="106">
        <f>_xlfn.XLOOKUP(B974,pratos!B:B,pratos!A:A,"não")</f>
        <v>429</v>
      </c>
      <c r="B974" s="52" t="s">
        <v>337</v>
      </c>
      <c r="C974" s="105">
        <f>_xlfn.XLOOKUP(D974,ingredientes!B:B,ingredientes!A:A,"não")</f>
        <v>263</v>
      </c>
      <c r="D974" s="9" t="s">
        <v>338</v>
      </c>
      <c r="E974" s="10">
        <v>50</v>
      </c>
      <c r="H974">
        <f t="shared" si="58"/>
        <v>429</v>
      </c>
      <c r="I974">
        <f t="shared" si="59"/>
        <v>263</v>
      </c>
      <c r="J974">
        <f t="shared" si="60"/>
        <v>50</v>
      </c>
      <c r="K974">
        <f t="shared" si="61"/>
        <v>692</v>
      </c>
    </row>
    <row r="975" spans="1:11" x14ac:dyDescent="0.2">
      <c r="A975" s="106">
        <f>_xlfn.XLOOKUP(B975,pratos!B:B,pratos!A:A,"não")</f>
        <v>429</v>
      </c>
      <c r="B975" s="112" t="s">
        <v>337</v>
      </c>
      <c r="C975" s="105">
        <f>_xlfn.XLOOKUP(D975,ingredientes!B:B,ingredientes!A:A,"não")</f>
        <v>263</v>
      </c>
      <c r="D975" s="99" t="s">
        <v>338</v>
      </c>
      <c r="E975" s="68">
        <v>40</v>
      </c>
      <c r="H975">
        <f t="shared" si="58"/>
        <v>429</v>
      </c>
      <c r="I975">
        <f t="shared" si="59"/>
        <v>263</v>
      </c>
      <c r="J975">
        <f t="shared" si="60"/>
        <v>40</v>
      </c>
      <c r="K975">
        <f t="shared" si="61"/>
        <v>692</v>
      </c>
    </row>
    <row r="976" spans="1:11" x14ac:dyDescent="0.2">
      <c r="A976" s="106">
        <f>_xlfn.XLOOKUP(B976,pratos!B:B,pratos!A:A,"não")</f>
        <v>430</v>
      </c>
      <c r="B976" s="108" t="s">
        <v>181</v>
      </c>
      <c r="C976" s="105">
        <f>_xlfn.XLOOKUP(D976,ingredientes!B:B,ingredientes!A:A,"não")</f>
        <v>17</v>
      </c>
      <c r="D976" s="4" t="s">
        <v>7</v>
      </c>
      <c r="E976" s="5">
        <v>16.600000000000001</v>
      </c>
      <c r="H976">
        <f t="shared" si="58"/>
        <v>430</v>
      </c>
      <c r="I976">
        <f t="shared" si="59"/>
        <v>17</v>
      </c>
      <c r="J976">
        <f t="shared" si="60"/>
        <v>16.600000000000001</v>
      </c>
      <c r="K976">
        <f t="shared" si="61"/>
        <v>447</v>
      </c>
    </row>
    <row r="977" spans="1:11" x14ac:dyDescent="0.2">
      <c r="A977" s="106">
        <f>_xlfn.XLOOKUP(B977,pratos!B:B,pratos!A:A,"não")</f>
        <v>430</v>
      </c>
      <c r="B977" s="108" t="s">
        <v>181</v>
      </c>
      <c r="C977" s="105">
        <f>_xlfn.XLOOKUP(D977,ingredientes!B:B,ingredientes!A:A,"não")</f>
        <v>17</v>
      </c>
      <c r="D977" s="3" t="s">
        <v>7</v>
      </c>
      <c r="E977" s="5">
        <v>20</v>
      </c>
      <c r="H977">
        <f t="shared" si="58"/>
        <v>430</v>
      </c>
      <c r="I977">
        <f t="shared" si="59"/>
        <v>17</v>
      </c>
      <c r="J977">
        <f t="shared" si="60"/>
        <v>20</v>
      </c>
      <c r="K977">
        <f t="shared" si="61"/>
        <v>447</v>
      </c>
    </row>
    <row r="978" spans="1:11" x14ac:dyDescent="0.2">
      <c r="A978" s="106">
        <f>_xlfn.XLOOKUP(B978,pratos!B:B,pratos!A:A,"não")</f>
        <v>430</v>
      </c>
      <c r="B978" s="111" t="s">
        <v>181</v>
      </c>
      <c r="C978" s="105">
        <f>_xlfn.XLOOKUP(D978,ingredientes!B:B,ingredientes!A:A,"não")</f>
        <v>265</v>
      </c>
      <c r="D978" s="20" t="s">
        <v>175</v>
      </c>
      <c r="E978" s="19">
        <v>40</v>
      </c>
      <c r="H978">
        <f t="shared" si="58"/>
        <v>430</v>
      </c>
      <c r="I978">
        <f t="shared" si="59"/>
        <v>265</v>
      </c>
      <c r="J978">
        <f t="shared" si="60"/>
        <v>40</v>
      </c>
      <c r="K978">
        <f t="shared" si="61"/>
        <v>695</v>
      </c>
    </row>
    <row r="979" spans="1:11" x14ac:dyDescent="0.2">
      <c r="A979" s="106">
        <f>_xlfn.XLOOKUP(B979,pratos!B:B,pratos!A:A,"não")</f>
        <v>431</v>
      </c>
      <c r="B979" s="130" t="s">
        <v>449</v>
      </c>
      <c r="C979" s="105">
        <f>_xlfn.XLOOKUP(D979,ingredientes!B:B,ingredientes!A:A,"não")</f>
        <v>265</v>
      </c>
      <c r="D979" s="72" t="s">
        <v>175</v>
      </c>
      <c r="E979" s="63">
        <v>40</v>
      </c>
      <c r="H979">
        <f t="shared" si="58"/>
        <v>431</v>
      </c>
      <c r="I979">
        <f t="shared" si="59"/>
        <v>265</v>
      </c>
      <c r="J979">
        <f t="shared" si="60"/>
        <v>40</v>
      </c>
      <c r="K979">
        <f t="shared" si="61"/>
        <v>696</v>
      </c>
    </row>
    <row r="980" spans="1:11" x14ac:dyDescent="0.2">
      <c r="A980" s="106">
        <f>_xlfn.XLOOKUP(B980,pratos!B:B,pratos!A:A,"não")</f>
        <v>432</v>
      </c>
      <c r="B980" s="111" t="s">
        <v>174</v>
      </c>
      <c r="C980" s="105">
        <f>_xlfn.XLOOKUP(D980,ingredientes!B:B,ingredientes!A:A,"não")</f>
        <v>265</v>
      </c>
      <c r="D980" s="20" t="s">
        <v>175</v>
      </c>
      <c r="E980" s="19">
        <v>40</v>
      </c>
      <c r="H980">
        <f t="shared" si="58"/>
        <v>432</v>
      </c>
      <c r="I980">
        <f t="shared" si="59"/>
        <v>265</v>
      </c>
      <c r="J980">
        <f t="shared" si="60"/>
        <v>40</v>
      </c>
      <c r="K980">
        <f t="shared" si="61"/>
        <v>697</v>
      </c>
    </row>
    <row r="981" spans="1:11" x14ac:dyDescent="0.2">
      <c r="A981" s="106">
        <f>_xlfn.XLOOKUP(B981,pratos!B:B,pratos!A:A,"não")</f>
        <v>433</v>
      </c>
      <c r="B981" s="108" t="s">
        <v>252</v>
      </c>
      <c r="C981" s="105">
        <f>_xlfn.XLOOKUP(D981,ingredientes!B:B,ingredientes!A:A,"não")</f>
        <v>17</v>
      </c>
      <c r="D981" s="3" t="s">
        <v>7</v>
      </c>
      <c r="E981" s="5">
        <v>10</v>
      </c>
      <c r="H981">
        <f t="shared" si="58"/>
        <v>433</v>
      </c>
      <c r="I981">
        <f t="shared" si="59"/>
        <v>17</v>
      </c>
      <c r="J981">
        <f t="shared" si="60"/>
        <v>10</v>
      </c>
      <c r="K981">
        <f t="shared" si="61"/>
        <v>450</v>
      </c>
    </row>
    <row r="982" spans="1:11" x14ac:dyDescent="0.2">
      <c r="A982" s="106">
        <f>_xlfn.XLOOKUP(B982,pratos!B:B,pratos!A:A,"não")</f>
        <v>433</v>
      </c>
      <c r="B982" s="108" t="s">
        <v>252</v>
      </c>
      <c r="C982" s="105">
        <f>_xlfn.XLOOKUP(D982,ingredientes!B:B,ingredientes!A:A,"não")</f>
        <v>262</v>
      </c>
      <c r="D982" s="4" t="s">
        <v>253</v>
      </c>
      <c r="E982" s="5">
        <v>35</v>
      </c>
      <c r="H982">
        <f t="shared" si="58"/>
        <v>433</v>
      </c>
      <c r="I982">
        <f t="shared" si="59"/>
        <v>262</v>
      </c>
      <c r="J982">
        <f t="shared" si="60"/>
        <v>35</v>
      </c>
      <c r="K982">
        <f t="shared" si="61"/>
        <v>695</v>
      </c>
    </row>
    <row r="983" spans="1:11" x14ac:dyDescent="0.2">
      <c r="A983" s="106">
        <f>_xlfn.XLOOKUP(B983,pratos!B:B,pratos!A:A,"não")</f>
        <v>433</v>
      </c>
      <c r="B983" s="108" t="s">
        <v>252</v>
      </c>
      <c r="C983" s="105">
        <f>_xlfn.XLOOKUP(D983,ingredientes!B:B,ingredientes!A:A,"não")</f>
        <v>265</v>
      </c>
      <c r="D983" s="20" t="s">
        <v>175</v>
      </c>
      <c r="E983" s="19">
        <v>20</v>
      </c>
      <c r="H983">
        <f t="shared" si="58"/>
        <v>433</v>
      </c>
      <c r="I983">
        <f t="shared" si="59"/>
        <v>265</v>
      </c>
      <c r="J983">
        <f t="shared" si="60"/>
        <v>20</v>
      </c>
      <c r="K983">
        <f t="shared" si="61"/>
        <v>698</v>
      </c>
    </row>
    <row r="984" spans="1:11" x14ac:dyDescent="0.2">
      <c r="A984" s="106">
        <f>_xlfn.XLOOKUP(B984,pratos!B:B,pratos!A:A,"não")</f>
        <v>434</v>
      </c>
      <c r="B984" s="52" t="s">
        <v>417</v>
      </c>
      <c r="C984" s="105">
        <f>_xlfn.XLOOKUP(D984,ingredientes!B:B,ingredientes!A:A,"não")</f>
        <v>307</v>
      </c>
      <c r="D984" s="30" t="s">
        <v>703</v>
      </c>
      <c r="E984" s="65">
        <v>100</v>
      </c>
      <c r="H984">
        <f t="shared" si="58"/>
        <v>434</v>
      </c>
      <c r="I984">
        <f t="shared" si="59"/>
        <v>307</v>
      </c>
      <c r="J984">
        <f t="shared" si="60"/>
        <v>100</v>
      </c>
      <c r="K984">
        <f t="shared" si="61"/>
        <v>741</v>
      </c>
    </row>
    <row r="985" spans="1:11" x14ac:dyDescent="0.2">
      <c r="A985" s="106">
        <f>_xlfn.XLOOKUP(B985,pratos!B:B,pratos!A:A,"não")</f>
        <v>435</v>
      </c>
      <c r="B985" s="111" t="s">
        <v>323</v>
      </c>
      <c r="C985" s="105">
        <f>_xlfn.XLOOKUP(D985,ingredientes!B:B,ingredientes!A:A,"não")</f>
        <v>246</v>
      </c>
      <c r="D985" s="40" t="s">
        <v>324</v>
      </c>
      <c r="E985" s="19">
        <v>25</v>
      </c>
      <c r="H985">
        <f t="shared" si="58"/>
        <v>435</v>
      </c>
      <c r="I985">
        <f t="shared" si="59"/>
        <v>246</v>
      </c>
      <c r="J985">
        <f t="shared" si="60"/>
        <v>25</v>
      </c>
      <c r="K985">
        <f t="shared" si="61"/>
        <v>681</v>
      </c>
    </row>
    <row r="986" spans="1:11" x14ac:dyDescent="0.2">
      <c r="A986" s="106">
        <f>_xlfn.XLOOKUP(B986,pratos!B:B,pratos!A:A,"não")</f>
        <v>435</v>
      </c>
      <c r="B986" s="111" t="s">
        <v>323</v>
      </c>
      <c r="C986" s="105">
        <f>_xlfn.XLOOKUP(D986,ingredientes!B:B,ingredientes!A:A,"não")</f>
        <v>313</v>
      </c>
      <c r="D986" s="43" t="s">
        <v>25</v>
      </c>
      <c r="E986" s="19">
        <v>25</v>
      </c>
      <c r="H986">
        <f t="shared" si="58"/>
        <v>435</v>
      </c>
      <c r="I986">
        <f t="shared" si="59"/>
        <v>313</v>
      </c>
      <c r="J986">
        <f t="shared" si="60"/>
        <v>25</v>
      </c>
      <c r="K986">
        <f t="shared" si="61"/>
        <v>748</v>
      </c>
    </row>
    <row r="987" spans="1:11" x14ac:dyDescent="0.2">
      <c r="A987" s="106">
        <f>_xlfn.XLOOKUP(B987,pratos!B:B,pratos!A:A,"não")</f>
        <v>436</v>
      </c>
      <c r="B987" s="123" t="s">
        <v>393</v>
      </c>
      <c r="C987" s="105">
        <f>_xlfn.XLOOKUP(D987,ingredientes!B:B,ingredientes!A:A,"não")</f>
        <v>313</v>
      </c>
      <c r="D987" s="70" t="s">
        <v>25</v>
      </c>
      <c r="E987" s="51">
        <v>50</v>
      </c>
      <c r="H987">
        <f t="shared" si="58"/>
        <v>436</v>
      </c>
      <c r="I987">
        <f t="shared" si="59"/>
        <v>313</v>
      </c>
      <c r="J987">
        <f t="shared" si="60"/>
        <v>50</v>
      </c>
      <c r="K987">
        <f t="shared" si="61"/>
        <v>749</v>
      </c>
    </row>
    <row r="988" spans="1:11" x14ac:dyDescent="0.2">
      <c r="A988" s="106">
        <f>_xlfn.XLOOKUP(B988,pratos!B:B,pratos!A:A,"não")</f>
        <v>437</v>
      </c>
      <c r="B988" s="109" t="s">
        <v>281</v>
      </c>
      <c r="C988" s="105">
        <f>_xlfn.XLOOKUP(D988,ingredientes!B:B,ingredientes!A:A,"não")</f>
        <v>317</v>
      </c>
      <c r="D988" s="29" t="s">
        <v>282</v>
      </c>
      <c r="E988" s="19">
        <v>100</v>
      </c>
      <c r="H988">
        <f t="shared" si="58"/>
        <v>437</v>
      </c>
      <c r="I988">
        <f t="shared" si="59"/>
        <v>317</v>
      </c>
      <c r="J988">
        <f t="shared" si="60"/>
        <v>100</v>
      </c>
      <c r="K988">
        <f t="shared" si="61"/>
        <v>754</v>
      </c>
    </row>
    <row r="989" spans="1:11" x14ac:dyDescent="0.2">
      <c r="A989" s="106">
        <f>_xlfn.XLOOKUP(B989,pratos!B:B,pratos!A:A,"não")</f>
        <v>437</v>
      </c>
      <c r="B989" s="130" t="s">
        <v>281</v>
      </c>
      <c r="C989" s="105">
        <f>_xlfn.XLOOKUP(D989,ingredientes!B:B,ingredientes!A:A,"não")</f>
        <v>318</v>
      </c>
      <c r="D989" s="29" t="s">
        <v>187</v>
      </c>
      <c r="E989" s="65">
        <v>100</v>
      </c>
      <c r="H989">
        <f t="shared" si="58"/>
        <v>437</v>
      </c>
      <c r="I989">
        <f t="shared" si="59"/>
        <v>318</v>
      </c>
      <c r="J989">
        <f t="shared" si="60"/>
        <v>100</v>
      </c>
      <c r="K989">
        <f t="shared" si="61"/>
        <v>755</v>
      </c>
    </row>
    <row r="990" spans="1:11" x14ac:dyDescent="0.2">
      <c r="A990" s="106">
        <f>_xlfn.XLOOKUP(B990,pratos!B:B,pratos!A:A,"não")</f>
        <v>438</v>
      </c>
      <c r="B990" s="111" t="s">
        <v>186</v>
      </c>
      <c r="C990" s="105">
        <f>_xlfn.XLOOKUP(D990,ingredientes!B:B,ingredientes!A:A,"não")</f>
        <v>318</v>
      </c>
      <c r="D990" s="35" t="s">
        <v>187</v>
      </c>
      <c r="E990" s="19">
        <v>100</v>
      </c>
      <c r="H990">
        <f t="shared" si="58"/>
        <v>438</v>
      </c>
      <c r="I990">
        <f t="shared" si="59"/>
        <v>318</v>
      </c>
      <c r="J990">
        <f t="shared" si="60"/>
        <v>100</v>
      </c>
      <c r="K990">
        <f t="shared" si="61"/>
        <v>756</v>
      </c>
    </row>
    <row r="991" spans="1:11" x14ac:dyDescent="0.2">
      <c r="A991" s="106">
        <f>_xlfn.XLOOKUP(B991,pratos!B:B,pratos!A:A,"não")</f>
        <v>439</v>
      </c>
      <c r="B991" s="52" t="s">
        <v>36</v>
      </c>
      <c r="C991" s="105">
        <f>_xlfn.XLOOKUP(D991,ingredientes!B:B,ingredientes!A:A,"não")</f>
        <v>321</v>
      </c>
      <c r="D991" s="9" t="s">
        <v>36</v>
      </c>
      <c r="E991" s="10">
        <v>8</v>
      </c>
      <c r="H991">
        <f t="shared" si="58"/>
        <v>439</v>
      </c>
      <c r="I991">
        <f t="shared" si="59"/>
        <v>321</v>
      </c>
      <c r="J991">
        <f t="shared" si="60"/>
        <v>8</v>
      </c>
      <c r="K991">
        <f t="shared" si="61"/>
        <v>760</v>
      </c>
    </row>
    <row r="992" spans="1:11" x14ac:dyDescent="0.2">
      <c r="A992" s="106">
        <f>_xlfn.XLOOKUP(B992,pratos!B:B,pratos!A:A,"não")</f>
        <v>440</v>
      </c>
      <c r="B992" s="52" t="s">
        <v>346</v>
      </c>
      <c r="C992" s="105">
        <f>_xlfn.XLOOKUP(D992,ingredientes!B:B,ingredientes!A:A,"não")</f>
        <v>10</v>
      </c>
      <c r="D992" s="30" t="s">
        <v>600</v>
      </c>
      <c r="E992" s="17">
        <v>30</v>
      </c>
      <c r="H992">
        <f t="shared" si="58"/>
        <v>440</v>
      </c>
      <c r="I992">
        <f t="shared" si="59"/>
        <v>10</v>
      </c>
      <c r="J992">
        <f t="shared" si="60"/>
        <v>30</v>
      </c>
      <c r="K992">
        <f t="shared" si="61"/>
        <v>450</v>
      </c>
    </row>
    <row r="993" spans="1:11" x14ac:dyDescent="0.2">
      <c r="A993" s="106">
        <f>_xlfn.XLOOKUP(B993,pratos!B:B,pratos!A:A,"não")</f>
        <v>440</v>
      </c>
      <c r="B993" s="52" t="s">
        <v>346</v>
      </c>
      <c r="C993" s="105">
        <f>_xlfn.XLOOKUP(D993,ingredientes!B:B,ingredientes!A:A,"não")</f>
        <v>10</v>
      </c>
      <c r="D993" s="30" t="s">
        <v>600</v>
      </c>
      <c r="E993" s="17">
        <v>20</v>
      </c>
      <c r="H993">
        <f t="shared" si="58"/>
        <v>440</v>
      </c>
      <c r="I993">
        <f t="shared" si="59"/>
        <v>10</v>
      </c>
      <c r="J993">
        <f t="shared" si="60"/>
        <v>20</v>
      </c>
      <c r="K993">
        <f t="shared" si="61"/>
        <v>450</v>
      </c>
    </row>
    <row r="994" spans="1:11" x14ac:dyDescent="0.2">
      <c r="A994" s="106">
        <f>_xlfn.XLOOKUP(B994,pratos!B:B,pratos!A:A,"não")</f>
        <v>440</v>
      </c>
      <c r="B994" s="52" t="s">
        <v>346</v>
      </c>
      <c r="C994" s="105">
        <f>_xlfn.XLOOKUP(D994,ingredientes!B:B,ingredientes!A:A,"não")</f>
        <v>136</v>
      </c>
      <c r="D994" s="12" t="s">
        <v>347</v>
      </c>
      <c r="E994" s="17">
        <v>50</v>
      </c>
      <c r="H994">
        <f t="shared" si="58"/>
        <v>440</v>
      </c>
      <c r="I994">
        <f t="shared" si="59"/>
        <v>136</v>
      </c>
      <c r="J994">
        <f t="shared" si="60"/>
        <v>50</v>
      </c>
      <c r="K994">
        <f t="shared" si="61"/>
        <v>576</v>
      </c>
    </row>
    <row r="995" spans="1:11" x14ac:dyDescent="0.2">
      <c r="A995" s="106">
        <f>_xlfn.XLOOKUP(B995,pratos!B:B,pratos!A:A,"não")</f>
        <v>440</v>
      </c>
      <c r="B995" s="52" t="s">
        <v>346</v>
      </c>
      <c r="C995" s="105">
        <f>_xlfn.XLOOKUP(D995,ingredientes!B:B,ingredientes!A:A,"não")</f>
        <v>136</v>
      </c>
      <c r="D995" s="9" t="s">
        <v>347</v>
      </c>
      <c r="E995" s="17">
        <v>30</v>
      </c>
      <c r="H995">
        <f t="shared" si="58"/>
        <v>440</v>
      </c>
      <c r="I995">
        <f t="shared" si="59"/>
        <v>136</v>
      </c>
      <c r="J995">
        <f t="shared" si="60"/>
        <v>30</v>
      </c>
      <c r="K995">
        <f t="shared" si="61"/>
        <v>576</v>
      </c>
    </row>
    <row r="996" spans="1:11" x14ac:dyDescent="0.2">
      <c r="A996" s="106">
        <f>_xlfn.XLOOKUP(B996,pratos!B:B,pratos!A:A,"não")</f>
        <v>440</v>
      </c>
      <c r="B996" s="52" t="s">
        <v>346</v>
      </c>
      <c r="C996" s="105">
        <f>_xlfn.XLOOKUP(D996,ingredientes!B:B,ingredientes!A:A,"não")</f>
        <v>199</v>
      </c>
      <c r="D996" s="151" t="s">
        <v>95</v>
      </c>
      <c r="E996" s="26">
        <v>5</v>
      </c>
      <c r="H996">
        <f t="shared" si="58"/>
        <v>440</v>
      </c>
      <c r="I996">
        <f t="shared" si="59"/>
        <v>199</v>
      </c>
      <c r="J996">
        <f t="shared" si="60"/>
        <v>5</v>
      </c>
      <c r="K996">
        <f t="shared" si="61"/>
        <v>639</v>
      </c>
    </row>
    <row r="997" spans="1:11" x14ac:dyDescent="0.2">
      <c r="A997" s="106">
        <f>_xlfn.XLOOKUP(B997,pratos!B:B,pratos!A:A,"não")</f>
        <v>440</v>
      </c>
      <c r="B997" s="52" t="s">
        <v>346</v>
      </c>
      <c r="C997" s="105">
        <f>_xlfn.XLOOKUP(D997,ingredientes!B:B,ingredientes!A:A,"não")</f>
        <v>223</v>
      </c>
      <c r="D997" s="154" t="s">
        <v>348</v>
      </c>
      <c r="E997" s="17">
        <v>15</v>
      </c>
      <c r="H997">
        <f t="shared" si="58"/>
        <v>440</v>
      </c>
      <c r="I997">
        <f t="shared" si="59"/>
        <v>223</v>
      </c>
      <c r="J997">
        <f t="shared" si="60"/>
        <v>15</v>
      </c>
      <c r="K997">
        <f t="shared" si="61"/>
        <v>663</v>
      </c>
    </row>
    <row r="998" spans="1:11" x14ac:dyDescent="0.2">
      <c r="A998" s="106">
        <f>_xlfn.XLOOKUP(B998,pratos!B:B,pratos!A:A,"não")</f>
        <v>440</v>
      </c>
      <c r="B998" s="52" t="s">
        <v>346</v>
      </c>
      <c r="C998" s="105">
        <f>_xlfn.XLOOKUP(D998,ingredientes!B:B,ingredientes!A:A,"não")</f>
        <v>223</v>
      </c>
      <c r="D998" s="154" t="s">
        <v>348</v>
      </c>
      <c r="E998" s="17">
        <v>10</v>
      </c>
      <c r="H998">
        <f t="shared" si="58"/>
        <v>440</v>
      </c>
      <c r="I998">
        <f t="shared" si="59"/>
        <v>223</v>
      </c>
      <c r="J998">
        <f t="shared" si="60"/>
        <v>10</v>
      </c>
      <c r="K998">
        <f t="shared" si="61"/>
        <v>663</v>
      </c>
    </row>
    <row r="999" spans="1:11" x14ac:dyDescent="0.2">
      <c r="A999" s="106">
        <f>_xlfn.XLOOKUP(B999,pratos!B:B,pratos!A:A,"não")</f>
        <v>441</v>
      </c>
      <c r="B999" s="52" t="s">
        <v>454</v>
      </c>
      <c r="C999" s="105">
        <f>_xlfn.XLOOKUP(D999,ingredientes!B:B,ingredientes!A:A,"não")</f>
        <v>111</v>
      </c>
      <c r="D999" s="152" t="s">
        <v>455</v>
      </c>
      <c r="E999" s="17">
        <v>15</v>
      </c>
      <c r="H999">
        <f t="shared" si="58"/>
        <v>441</v>
      </c>
      <c r="I999">
        <f t="shared" si="59"/>
        <v>111</v>
      </c>
      <c r="J999">
        <f t="shared" si="60"/>
        <v>15</v>
      </c>
      <c r="K999">
        <f t="shared" si="61"/>
        <v>552</v>
      </c>
    </row>
    <row r="1000" spans="1:11" x14ac:dyDescent="0.2">
      <c r="A1000" s="106">
        <f>_xlfn.XLOOKUP(B1000,pratos!B:B,pratos!A:A,"não")</f>
        <v>441</v>
      </c>
      <c r="B1000" s="52" t="s">
        <v>454</v>
      </c>
      <c r="C1000" s="105">
        <f>_xlfn.XLOOKUP(D1000,ingredientes!B:B,ingredientes!A:A,"não")</f>
        <v>136</v>
      </c>
      <c r="D1000" s="151" t="s">
        <v>347</v>
      </c>
      <c r="E1000" s="17">
        <v>55</v>
      </c>
      <c r="H1000">
        <f t="shared" si="58"/>
        <v>441</v>
      </c>
      <c r="I1000">
        <f t="shared" si="59"/>
        <v>136</v>
      </c>
      <c r="J1000">
        <f t="shared" si="60"/>
        <v>55</v>
      </c>
      <c r="K1000">
        <f t="shared" si="61"/>
        <v>577</v>
      </c>
    </row>
    <row r="1001" spans="1:11" x14ac:dyDescent="0.2">
      <c r="A1001" s="106">
        <f>_xlfn.XLOOKUP(B1001,pratos!B:B,pratos!A:A,"não")</f>
        <v>441</v>
      </c>
      <c r="B1001" s="52" t="s">
        <v>454</v>
      </c>
      <c r="C1001" s="105">
        <f>_xlfn.XLOOKUP(D1001,ingredientes!B:B,ingredientes!A:A,"não")</f>
        <v>320</v>
      </c>
      <c r="D1001" t="s">
        <v>705</v>
      </c>
      <c r="E1001" s="17">
        <v>25</v>
      </c>
      <c r="H1001">
        <f t="shared" si="58"/>
        <v>441</v>
      </c>
      <c r="I1001">
        <f t="shared" si="59"/>
        <v>320</v>
      </c>
      <c r="J1001">
        <f t="shared" si="60"/>
        <v>25</v>
      </c>
      <c r="K1001">
        <f t="shared" si="61"/>
        <v>761</v>
      </c>
    </row>
    <row r="1002" spans="1:11" x14ac:dyDescent="0.2">
      <c r="A1002" s="106">
        <f>_xlfn.XLOOKUP(B1002,pratos!B:B,pratos!A:A,"não")</f>
        <v>442</v>
      </c>
      <c r="B1002" s="52" t="s">
        <v>437</v>
      </c>
      <c r="C1002" s="105">
        <f>_xlfn.XLOOKUP(D1002,ingredientes!B:B,ingredientes!A:A,"não")</f>
        <v>136</v>
      </c>
      <c r="D1002" s="138" t="s">
        <v>347</v>
      </c>
      <c r="E1002" s="10">
        <v>50</v>
      </c>
      <c r="H1002">
        <f t="shared" si="58"/>
        <v>442</v>
      </c>
      <c r="I1002">
        <f t="shared" si="59"/>
        <v>136</v>
      </c>
      <c r="J1002">
        <f t="shared" si="60"/>
        <v>50</v>
      </c>
      <c r="K1002">
        <f t="shared" si="61"/>
        <v>578</v>
      </c>
    </row>
    <row r="1003" spans="1:11" x14ac:dyDescent="0.2">
      <c r="A1003" s="106">
        <f>_xlfn.XLOOKUP(B1003,pratos!B:B,pratos!A:A,"não")</f>
        <v>442</v>
      </c>
      <c r="B1003" s="109" t="s">
        <v>437</v>
      </c>
      <c r="C1003" s="105">
        <f>_xlfn.XLOOKUP(D1003,ingredientes!B:B,ingredientes!A:A,"não")</f>
        <v>182</v>
      </c>
      <c r="D1003" s="155" t="s">
        <v>408</v>
      </c>
      <c r="E1003" s="65">
        <v>10</v>
      </c>
      <c r="H1003">
        <f t="shared" si="58"/>
        <v>442</v>
      </c>
      <c r="I1003">
        <f t="shared" si="59"/>
        <v>182</v>
      </c>
      <c r="J1003">
        <f t="shared" si="60"/>
        <v>10</v>
      </c>
      <c r="K1003">
        <f t="shared" si="61"/>
        <v>624</v>
      </c>
    </row>
    <row r="1004" spans="1:11" x14ac:dyDescent="0.2">
      <c r="A1004" s="106">
        <f>_xlfn.XLOOKUP(B1004,pratos!B:B,pratos!A:A,"não")</f>
        <v>442</v>
      </c>
      <c r="B1004" s="52" t="s">
        <v>437</v>
      </c>
      <c r="C1004" s="105">
        <f>_xlfn.XLOOKUP(D1004,ingredientes!B:B,ingredientes!A:A,"não")</f>
        <v>223</v>
      </c>
      <c r="D1004" s="144" t="s">
        <v>348</v>
      </c>
      <c r="E1004" s="10">
        <v>15</v>
      </c>
      <c r="H1004">
        <f t="shared" si="58"/>
        <v>442</v>
      </c>
      <c r="I1004">
        <f t="shared" si="59"/>
        <v>223</v>
      </c>
      <c r="J1004">
        <f t="shared" si="60"/>
        <v>15</v>
      </c>
      <c r="K1004">
        <f t="shared" si="61"/>
        <v>665</v>
      </c>
    </row>
    <row r="1005" spans="1:11" x14ac:dyDescent="0.2">
      <c r="A1005" s="106">
        <f>_xlfn.XLOOKUP(B1005,pratos!B:B,pratos!A:A,"não")</f>
        <v>442</v>
      </c>
      <c r="B1005" s="52" t="s">
        <v>437</v>
      </c>
      <c r="C1005" s="105">
        <f>_xlfn.XLOOKUP(D1005,ingredientes!B:B,ingredientes!A:A,"não")</f>
        <v>320</v>
      </c>
      <c r="D1005" t="s">
        <v>705</v>
      </c>
      <c r="E1005" s="10">
        <v>20</v>
      </c>
      <c r="H1005">
        <f t="shared" si="58"/>
        <v>442</v>
      </c>
      <c r="I1005">
        <f t="shared" si="59"/>
        <v>320</v>
      </c>
      <c r="J1005">
        <f t="shared" si="60"/>
        <v>20</v>
      </c>
      <c r="K1005">
        <f t="shared" si="61"/>
        <v>762</v>
      </c>
    </row>
    <row r="1006" spans="1:11" x14ac:dyDescent="0.2">
      <c r="A1006" s="106">
        <f>_xlfn.XLOOKUP(B1006,pratos!B:B,pratos!A:A,"não")</f>
        <v>443</v>
      </c>
      <c r="B1006" s="52" t="s">
        <v>445</v>
      </c>
      <c r="C1006" s="105">
        <f>_xlfn.XLOOKUP(D1006,ingredientes!B:B,ingredientes!A:A,"não")</f>
        <v>136</v>
      </c>
      <c r="D1006" s="138" t="s">
        <v>347</v>
      </c>
      <c r="E1006" s="10">
        <v>55</v>
      </c>
      <c r="H1006">
        <f t="shared" si="58"/>
        <v>443</v>
      </c>
      <c r="I1006">
        <f t="shared" si="59"/>
        <v>136</v>
      </c>
      <c r="J1006">
        <f t="shared" si="60"/>
        <v>55</v>
      </c>
      <c r="K1006">
        <f t="shared" si="61"/>
        <v>579</v>
      </c>
    </row>
    <row r="1007" spans="1:11" x14ac:dyDescent="0.2">
      <c r="A1007" s="106">
        <f>_xlfn.XLOOKUP(B1007,pratos!B:B,pratos!A:A,"não")</f>
        <v>443</v>
      </c>
      <c r="B1007" s="52" t="s">
        <v>445</v>
      </c>
      <c r="C1007" s="105">
        <f>_xlfn.XLOOKUP(D1007,ingredientes!B:B,ingredientes!A:A,"não")</f>
        <v>136</v>
      </c>
      <c r="D1007" s="138" t="s">
        <v>347</v>
      </c>
      <c r="E1007" s="10">
        <v>50</v>
      </c>
      <c r="H1007">
        <f t="shared" si="58"/>
        <v>443</v>
      </c>
      <c r="I1007">
        <f t="shared" si="59"/>
        <v>136</v>
      </c>
      <c r="J1007">
        <f t="shared" si="60"/>
        <v>50</v>
      </c>
      <c r="K1007">
        <f t="shared" si="61"/>
        <v>579</v>
      </c>
    </row>
    <row r="1008" spans="1:11" x14ac:dyDescent="0.2">
      <c r="A1008" s="106">
        <f>_xlfn.XLOOKUP(B1008,pratos!B:B,pratos!A:A,"não")</f>
        <v>443</v>
      </c>
      <c r="B1008" s="109" t="s">
        <v>445</v>
      </c>
      <c r="C1008" s="105">
        <f>_xlfn.XLOOKUP(D1008,ingredientes!B:B,ingredientes!A:A,"não")</f>
        <v>199</v>
      </c>
      <c r="D1008" s="158" t="s">
        <v>95</v>
      </c>
      <c r="E1008" s="63">
        <v>5</v>
      </c>
      <c r="H1008">
        <f t="shared" si="58"/>
        <v>443</v>
      </c>
      <c r="I1008">
        <f t="shared" si="59"/>
        <v>199</v>
      </c>
      <c r="J1008">
        <f t="shared" si="60"/>
        <v>5</v>
      </c>
      <c r="K1008">
        <f t="shared" si="61"/>
        <v>642</v>
      </c>
    </row>
    <row r="1009" spans="1:11" x14ac:dyDescent="0.2">
      <c r="A1009" s="106">
        <f>_xlfn.XLOOKUP(B1009,pratos!B:B,pratos!A:A,"não")</f>
        <v>443</v>
      </c>
      <c r="B1009" s="52" t="s">
        <v>445</v>
      </c>
      <c r="C1009" s="105">
        <f>_xlfn.XLOOKUP(D1009,ingredientes!B:B,ingredientes!A:A,"não")</f>
        <v>223</v>
      </c>
      <c r="D1009" s="152" t="s">
        <v>348</v>
      </c>
      <c r="E1009" s="17">
        <v>15</v>
      </c>
      <c r="H1009">
        <f t="shared" si="58"/>
        <v>443</v>
      </c>
      <c r="I1009">
        <f t="shared" si="59"/>
        <v>223</v>
      </c>
      <c r="J1009">
        <f t="shared" si="60"/>
        <v>15</v>
      </c>
      <c r="K1009">
        <f t="shared" si="61"/>
        <v>666</v>
      </c>
    </row>
    <row r="1010" spans="1:11" x14ac:dyDescent="0.2">
      <c r="A1010" s="106">
        <f>_xlfn.XLOOKUP(B1010,pratos!B:B,pratos!A:A,"não")</f>
        <v>443</v>
      </c>
      <c r="B1010" s="52" t="s">
        <v>445</v>
      </c>
      <c r="C1010" s="105">
        <f>_xlfn.XLOOKUP(D1010,ingredientes!B:B,ingredientes!A:A,"não")</f>
        <v>223</v>
      </c>
      <c r="D1010" s="144" t="s">
        <v>348</v>
      </c>
      <c r="E1010" s="10">
        <v>10</v>
      </c>
      <c r="H1010">
        <f t="shared" si="58"/>
        <v>443</v>
      </c>
      <c r="I1010">
        <f t="shared" si="59"/>
        <v>223</v>
      </c>
      <c r="J1010">
        <f t="shared" si="60"/>
        <v>10</v>
      </c>
      <c r="K1010">
        <f t="shared" si="61"/>
        <v>666</v>
      </c>
    </row>
    <row r="1011" spans="1:11" x14ac:dyDescent="0.2">
      <c r="A1011" s="106">
        <f>_xlfn.XLOOKUP(B1011,pratos!B:B,pratos!A:A,"não")</f>
        <v>443</v>
      </c>
      <c r="B1011" s="52" t="s">
        <v>445</v>
      </c>
      <c r="C1011" s="105">
        <f>_xlfn.XLOOKUP(D1011,ingredientes!B:B,ingredientes!A:A,"não")</f>
        <v>320</v>
      </c>
      <c r="D1011" t="s">
        <v>705</v>
      </c>
      <c r="E1011" s="10">
        <v>25</v>
      </c>
      <c r="H1011">
        <f t="shared" si="58"/>
        <v>443</v>
      </c>
      <c r="I1011">
        <f t="shared" si="59"/>
        <v>320</v>
      </c>
      <c r="J1011">
        <f t="shared" si="60"/>
        <v>25</v>
      </c>
      <c r="K1011">
        <f t="shared" si="61"/>
        <v>763</v>
      </c>
    </row>
    <row r="1012" spans="1:11" x14ac:dyDescent="0.2">
      <c r="A1012" s="106">
        <f>_xlfn.XLOOKUP(B1012,pratos!B:B,pratos!A:A,"não")</f>
        <v>443</v>
      </c>
      <c r="B1012" s="52" t="s">
        <v>445</v>
      </c>
      <c r="C1012" s="105">
        <f>_xlfn.XLOOKUP(D1012,ingredientes!B:B,ingredientes!A:A,"não")</f>
        <v>320</v>
      </c>
      <c r="D1012" t="s">
        <v>705</v>
      </c>
      <c r="E1012" s="10">
        <v>15</v>
      </c>
      <c r="H1012">
        <f t="shared" si="58"/>
        <v>443</v>
      </c>
      <c r="I1012">
        <f t="shared" si="59"/>
        <v>320</v>
      </c>
      <c r="J1012">
        <f t="shared" si="60"/>
        <v>15</v>
      </c>
      <c r="K1012">
        <f t="shared" si="61"/>
        <v>763</v>
      </c>
    </row>
    <row r="1013" spans="1:11" x14ac:dyDescent="0.2">
      <c r="A1013" s="106">
        <f>_xlfn.XLOOKUP(B1013,pratos!B:B,pratos!A:A,"não")</f>
        <v>444</v>
      </c>
      <c r="B1013" s="111" t="s">
        <v>130</v>
      </c>
      <c r="C1013" s="105">
        <f>_xlfn.XLOOKUP(D1013,ingredientes!B:B,ingredientes!A:A,"não")</f>
        <v>39</v>
      </c>
      <c r="D1013" s="149" t="s">
        <v>132</v>
      </c>
      <c r="E1013" s="10">
        <v>20</v>
      </c>
      <c r="H1013">
        <f t="shared" si="58"/>
        <v>444</v>
      </c>
      <c r="I1013">
        <f t="shared" si="59"/>
        <v>39</v>
      </c>
      <c r="J1013">
        <f t="shared" si="60"/>
        <v>20</v>
      </c>
      <c r="K1013">
        <f t="shared" si="61"/>
        <v>483</v>
      </c>
    </row>
    <row r="1014" spans="1:11" x14ac:dyDescent="0.2">
      <c r="A1014" s="106">
        <f>_xlfn.XLOOKUP(B1014,pratos!B:B,pratos!A:A,"não")</f>
        <v>444</v>
      </c>
      <c r="B1014" s="111" t="s">
        <v>130</v>
      </c>
      <c r="C1014" s="105">
        <f>_xlfn.XLOOKUP(D1014,ingredientes!B:B,ingredientes!A:A,"não")</f>
        <v>177</v>
      </c>
      <c r="D1014" s="149" t="s">
        <v>6</v>
      </c>
      <c r="E1014" s="10">
        <v>100</v>
      </c>
      <c r="H1014">
        <f t="shared" si="58"/>
        <v>444</v>
      </c>
      <c r="I1014">
        <f t="shared" si="59"/>
        <v>177</v>
      </c>
      <c r="J1014">
        <f t="shared" si="60"/>
        <v>100</v>
      </c>
      <c r="K1014">
        <f t="shared" si="61"/>
        <v>621</v>
      </c>
    </row>
    <row r="1015" spans="1:11" x14ac:dyDescent="0.2">
      <c r="A1015" s="106">
        <f>_xlfn.XLOOKUP(B1015,pratos!B:B,pratos!A:A,"não")</f>
        <v>444</v>
      </c>
      <c r="B1015" s="111" t="s">
        <v>130</v>
      </c>
      <c r="C1015" s="105">
        <f>_xlfn.XLOOKUP(D1015,ingredientes!B:B,ingredientes!A:A,"não")</f>
        <v>260</v>
      </c>
      <c r="D1015" s="149" t="s">
        <v>131</v>
      </c>
      <c r="E1015" s="10">
        <v>50</v>
      </c>
      <c r="H1015">
        <f t="shared" si="58"/>
        <v>444</v>
      </c>
      <c r="I1015">
        <f t="shared" si="59"/>
        <v>260</v>
      </c>
      <c r="J1015">
        <f t="shared" si="60"/>
        <v>50</v>
      </c>
      <c r="K1015">
        <f t="shared" si="61"/>
        <v>704</v>
      </c>
    </row>
    <row r="1016" spans="1:11" x14ac:dyDescent="0.2">
      <c r="A1016" s="106">
        <f>_xlfn.XLOOKUP(B1016,pratos!B:B,pratos!A:A,"não")</f>
        <v>444</v>
      </c>
      <c r="B1016" s="111" t="s">
        <v>130</v>
      </c>
      <c r="C1016" s="105">
        <f>_xlfn.XLOOKUP(D1016,ingredientes!B:B,ingredientes!A:A,"não")</f>
        <v>309</v>
      </c>
      <c r="D1016" s="149" t="s">
        <v>133</v>
      </c>
      <c r="E1016" s="10">
        <v>5</v>
      </c>
      <c r="H1016">
        <f t="shared" si="58"/>
        <v>444</v>
      </c>
      <c r="I1016">
        <f t="shared" si="59"/>
        <v>309</v>
      </c>
      <c r="J1016">
        <f t="shared" si="60"/>
        <v>5</v>
      </c>
      <c r="K1016">
        <f t="shared" si="61"/>
        <v>753</v>
      </c>
    </row>
    <row r="1017" spans="1:11" x14ac:dyDescent="0.2">
      <c r="A1017" s="106">
        <f>_xlfn.XLOOKUP(B1017,pratos!B:B,pratos!A:A,"não")</f>
        <v>445</v>
      </c>
      <c r="B1017" s="52" t="s">
        <v>355</v>
      </c>
      <c r="C1017" s="105">
        <f>_xlfn.XLOOKUP(D1017,ingredientes!B:B,ingredientes!A:A,"não")</f>
        <v>17</v>
      </c>
      <c r="D1017" s="138" t="s">
        <v>7</v>
      </c>
      <c r="E1017" s="10">
        <v>5</v>
      </c>
      <c r="H1017">
        <f t="shared" si="58"/>
        <v>445</v>
      </c>
      <c r="I1017">
        <f t="shared" si="59"/>
        <v>17</v>
      </c>
      <c r="J1017">
        <f t="shared" si="60"/>
        <v>5</v>
      </c>
      <c r="K1017">
        <f t="shared" si="61"/>
        <v>462</v>
      </c>
    </row>
    <row r="1018" spans="1:11" x14ac:dyDescent="0.2">
      <c r="A1018" s="106">
        <f>_xlfn.XLOOKUP(B1018,pratos!B:B,pratos!A:A,"não")</f>
        <v>445</v>
      </c>
      <c r="B1018" s="52" t="s">
        <v>355</v>
      </c>
      <c r="C1018" s="105">
        <f>_xlfn.XLOOKUP(D1018,ingredientes!B:B,ingredientes!A:A,"não")</f>
        <v>179</v>
      </c>
      <c r="D1018" s="9" t="s">
        <v>62</v>
      </c>
      <c r="E1018" s="5">
        <v>20</v>
      </c>
      <c r="H1018">
        <f t="shared" si="58"/>
        <v>445</v>
      </c>
      <c r="I1018">
        <f t="shared" si="59"/>
        <v>179</v>
      </c>
      <c r="J1018">
        <f t="shared" si="60"/>
        <v>20</v>
      </c>
      <c r="K1018">
        <f t="shared" si="61"/>
        <v>624</v>
      </c>
    </row>
    <row r="1019" spans="1:11" x14ac:dyDescent="0.2">
      <c r="A1019" s="106">
        <f>_xlfn.XLOOKUP(B1019,pratos!B:B,pratos!A:A,"não")</f>
        <v>445</v>
      </c>
      <c r="B1019" s="52" t="s">
        <v>355</v>
      </c>
      <c r="C1019" s="105">
        <f>_xlfn.XLOOKUP(D1019,ingredientes!B:B,ingredientes!A:A,"não")</f>
        <v>263</v>
      </c>
      <c r="D1019" s="9" t="s">
        <v>338</v>
      </c>
      <c r="E1019" s="10">
        <v>50</v>
      </c>
      <c r="H1019">
        <f t="shared" si="58"/>
        <v>445</v>
      </c>
      <c r="I1019">
        <f t="shared" si="59"/>
        <v>263</v>
      </c>
      <c r="J1019">
        <f t="shared" si="60"/>
        <v>50</v>
      </c>
      <c r="K1019">
        <f t="shared" si="61"/>
        <v>708</v>
      </c>
    </row>
    <row r="1020" spans="1:11" x14ac:dyDescent="0.2">
      <c r="A1020" s="106">
        <f>_xlfn.XLOOKUP(B1020,pratos!B:B,pratos!A:A,"não")</f>
        <v>446</v>
      </c>
      <c r="B1020" s="52" t="s">
        <v>61</v>
      </c>
      <c r="C1020" s="105">
        <f>_xlfn.XLOOKUP(D1020,ingredientes!B:B,ingredientes!A:A,"não")</f>
        <v>17</v>
      </c>
      <c r="D1020" s="9" t="s">
        <v>7</v>
      </c>
      <c r="E1020" s="10">
        <v>10</v>
      </c>
      <c r="H1020">
        <f t="shared" si="58"/>
        <v>446</v>
      </c>
      <c r="I1020">
        <f t="shared" si="59"/>
        <v>17</v>
      </c>
      <c r="J1020">
        <f t="shared" si="60"/>
        <v>10</v>
      </c>
      <c r="K1020">
        <f t="shared" si="61"/>
        <v>463</v>
      </c>
    </row>
    <row r="1021" spans="1:11" x14ac:dyDescent="0.2">
      <c r="A1021" s="106">
        <f>_xlfn.XLOOKUP(B1021,pratos!B:B,pratos!A:A,"não")</f>
        <v>446</v>
      </c>
      <c r="B1021" s="52" t="s">
        <v>61</v>
      </c>
      <c r="C1021" s="105">
        <f>_xlfn.XLOOKUP(D1021,ingredientes!B:B,ingredientes!A:A,"não")</f>
        <v>138</v>
      </c>
      <c r="D1021" s="9" t="s">
        <v>64</v>
      </c>
      <c r="E1021" s="10">
        <v>10</v>
      </c>
      <c r="H1021">
        <f t="shared" si="58"/>
        <v>446</v>
      </c>
      <c r="I1021">
        <f t="shared" si="59"/>
        <v>138</v>
      </c>
      <c r="J1021">
        <f t="shared" si="60"/>
        <v>10</v>
      </c>
      <c r="K1021">
        <f t="shared" si="61"/>
        <v>584</v>
      </c>
    </row>
    <row r="1022" spans="1:11" x14ac:dyDescent="0.2">
      <c r="A1022" s="106">
        <f>_xlfn.XLOOKUP(B1022,pratos!B:B,pratos!A:A,"não")</f>
        <v>446</v>
      </c>
      <c r="B1022" s="52" t="s">
        <v>61</v>
      </c>
      <c r="C1022" s="105">
        <f>_xlfn.XLOOKUP(D1022,ingredientes!B:B,ingredientes!A:A,"não")</f>
        <v>179</v>
      </c>
      <c r="D1022" s="9" t="s">
        <v>62</v>
      </c>
      <c r="E1022" s="5">
        <v>20</v>
      </c>
      <c r="H1022">
        <f t="shared" si="58"/>
        <v>446</v>
      </c>
      <c r="I1022">
        <f t="shared" si="59"/>
        <v>179</v>
      </c>
      <c r="J1022">
        <f t="shared" si="60"/>
        <v>20</v>
      </c>
      <c r="K1022">
        <f t="shared" si="61"/>
        <v>625</v>
      </c>
    </row>
    <row r="1023" spans="1:11" x14ac:dyDescent="0.2">
      <c r="A1023" s="106">
        <f>_xlfn.XLOOKUP(B1023,pratos!B:B,pratos!A:A,"não")</f>
        <v>446</v>
      </c>
      <c r="B1023" s="52" t="s">
        <v>61</v>
      </c>
      <c r="C1023" s="105">
        <f>_xlfn.XLOOKUP(D1023,ingredientes!B:B,ingredientes!A:A,"não")</f>
        <v>264</v>
      </c>
      <c r="D1023" s="9" t="s">
        <v>63</v>
      </c>
      <c r="E1023" s="10">
        <v>50</v>
      </c>
      <c r="H1023">
        <f t="shared" si="58"/>
        <v>446</v>
      </c>
      <c r="I1023">
        <f t="shared" si="59"/>
        <v>264</v>
      </c>
      <c r="J1023">
        <f t="shared" si="60"/>
        <v>50</v>
      </c>
      <c r="K1023">
        <f t="shared" si="61"/>
        <v>710</v>
      </c>
    </row>
    <row r="1024" spans="1:11" x14ac:dyDescent="0.2">
      <c r="A1024" s="106">
        <f>_xlfn.XLOOKUP(B1024,pratos!B:B,pratos!A:A,"não")</f>
        <v>447</v>
      </c>
      <c r="B1024" s="125" t="s">
        <v>119</v>
      </c>
      <c r="C1024" s="105">
        <f>_xlfn.XLOOKUP(D1024,ingredientes!B:B,ingredientes!A:A,"não")</f>
        <v>323</v>
      </c>
      <c r="D1024" s="75" t="s">
        <v>119</v>
      </c>
      <c r="E1024" s="68">
        <v>160</v>
      </c>
      <c r="H1024">
        <f t="shared" ref="H1024" si="62">A1024</f>
        <v>447</v>
      </c>
      <c r="I1024">
        <f>C1024</f>
        <v>323</v>
      </c>
      <c r="J1024">
        <f>E1024</f>
        <v>160</v>
      </c>
      <c r="K1024">
        <f t="shared" si="61"/>
        <v>770</v>
      </c>
    </row>
  </sheetData>
  <autoFilter ref="A1:E1024" xr:uid="{99DDE4B2-ED16-49ED-A74A-E7C4F571D382}">
    <sortState xmlns:xlrd2="http://schemas.microsoft.com/office/spreadsheetml/2017/richdata2" ref="A2:E1024">
      <sortCondition ref="B1:B1024"/>
    </sortState>
  </autoFilter>
  <conditionalFormatting sqref="C1:C1048576">
    <cfRule type="cellIs" dxfId="5" priority="2" operator="equal">
      <formula>"não"</formula>
    </cfRule>
  </conditionalFormatting>
  <conditionalFormatting sqref="K2:K1024">
    <cfRule type="duplicateValues" dxfId="4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B0F6F-1BE4-4F84-9550-24F50B075E56}">
  <dimension ref="A1:S675"/>
  <sheetViews>
    <sheetView tabSelected="1" topLeftCell="A622" zoomScale="85" zoomScaleNormal="85" workbookViewId="0">
      <selection activeCell="B546" sqref="A546:XFD547"/>
    </sheetView>
  </sheetViews>
  <sheetFormatPr defaultRowHeight="12.75" x14ac:dyDescent="0.2"/>
  <cols>
    <col min="1" max="1" width="9.7109375" style="106" customWidth="1"/>
    <col min="2" max="2" width="63.85546875" customWidth="1"/>
    <col min="3" max="3" width="9.7109375" style="106" customWidth="1"/>
    <col min="4" max="4" width="64.42578125" customWidth="1"/>
    <col min="5" max="5" width="23.85546875" customWidth="1"/>
    <col min="8" max="8" width="11.140625" customWidth="1"/>
    <col min="9" max="9" width="15.5703125" customWidth="1"/>
    <col min="10" max="10" width="15.85546875" customWidth="1"/>
    <col min="13" max="13" width="11.42578125" customWidth="1"/>
    <col min="14" max="14" width="14.5703125" customWidth="1"/>
    <col min="15" max="15" width="16.140625" customWidth="1"/>
    <col min="17" max="19" width="14.42578125" customWidth="1"/>
  </cols>
  <sheetData>
    <row r="1" spans="1:19" ht="15" x14ac:dyDescent="0.2">
      <c r="A1" s="106" t="s">
        <v>706</v>
      </c>
      <c r="B1" s="107" t="s">
        <v>0</v>
      </c>
      <c r="C1" s="1" t="s">
        <v>707</v>
      </c>
      <c r="D1" s="1" t="s">
        <v>1</v>
      </c>
      <c r="E1" s="2" t="s">
        <v>2</v>
      </c>
      <c r="H1" t="s">
        <v>751</v>
      </c>
      <c r="I1" t="s">
        <v>752</v>
      </c>
      <c r="J1" t="s">
        <v>738</v>
      </c>
      <c r="M1" s="211" t="s">
        <v>751</v>
      </c>
      <c r="N1" s="211" t="s">
        <v>752</v>
      </c>
      <c r="O1" s="211" t="s">
        <v>738</v>
      </c>
    </row>
    <row r="2" spans="1:19" x14ac:dyDescent="0.2">
      <c r="A2" s="106">
        <f>_xlfn.XLOOKUP(B2,pratos!B:B,pratos!A:A,"não")</f>
        <v>39</v>
      </c>
      <c r="B2" s="111" t="s">
        <v>184</v>
      </c>
      <c r="C2" s="105">
        <f>_xlfn.XLOOKUP(D2,ingredientes!B:B,ingredientes!A:A,"não")</f>
        <v>2</v>
      </c>
      <c r="D2" s="35" t="s">
        <v>306</v>
      </c>
      <c r="E2" s="53">
        <v>100</v>
      </c>
      <c r="H2">
        <f t="shared" ref="H2:H40" si="0">A2</f>
        <v>39</v>
      </c>
      <c r="I2">
        <f>C2</f>
        <v>2</v>
      </c>
      <c r="J2">
        <f>E2</f>
        <v>100</v>
      </c>
      <c r="K2">
        <f>H2+I2</f>
        <v>41</v>
      </c>
      <c r="M2">
        <v>39</v>
      </c>
      <c r="N2">
        <v>2</v>
      </c>
      <c r="O2">
        <v>100</v>
      </c>
      <c r="Q2" t="b">
        <f>EXACT(H2,M2)</f>
        <v>1</v>
      </c>
      <c r="R2" t="b">
        <f>EXACT(I2,N2)</f>
        <v>1</v>
      </c>
      <c r="S2" t="b">
        <f>EXACT(J2,O2)</f>
        <v>1</v>
      </c>
    </row>
    <row r="3" spans="1:19" x14ac:dyDescent="0.2">
      <c r="A3" s="106">
        <f>_xlfn.XLOOKUP(B3,pratos!B:B,pratos!A:A,"não")</f>
        <v>40</v>
      </c>
      <c r="B3" s="124" t="s">
        <v>382</v>
      </c>
      <c r="C3" s="105">
        <f>_xlfn.XLOOKUP(D3,ingredientes!B:B,ingredientes!A:A,"não")</f>
        <v>6</v>
      </c>
      <c r="D3" s="30" t="s">
        <v>606</v>
      </c>
      <c r="E3" s="10">
        <v>100</v>
      </c>
      <c r="H3">
        <f t="shared" si="0"/>
        <v>40</v>
      </c>
      <c r="I3">
        <f>C3</f>
        <v>6</v>
      </c>
      <c r="J3">
        <f>E3</f>
        <v>100</v>
      </c>
      <c r="K3">
        <f t="shared" ref="K3:K41" si="1">H3+I3</f>
        <v>46</v>
      </c>
      <c r="M3">
        <v>40</v>
      </c>
      <c r="N3">
        <v>6</v>
      </c>
      <c r="O3">
        <v>100</v>
      </c>
      <c r="Q3" t="b">
        <f t="shared" ref="Q3:Q11" si="2">EXACT(H3,M3)</f>
        <v>1</v>
      </c>
      <c r="R3" t="b">
        <f t="shared" ref="R3:R11" si="3">EXACT(I3,N3)</f>
        <v>1</v>
      </c>
      <c r="S3" t="b">
        <f t="shared" ref="S3:S11" si="4">EXACT(J3,O3)</f>
        <v>1</v>
      </c>
    </row>
    <row r="4" spans="1:19" x14ac:dyDescent="0.2">
      <c r="A4" s="106">
        <f>_xlfn.XLOOKUP(B4,pratos!B:B,pratos!A:A,"não")</f>
        <v>41</v>
      </c>
      <c r="B4" s="52" t="s">
        <v>284</v>
      </c>
      <c r="C4" s="105">
        <f>_xlfn.XLOOKUP(D4,ingredientes!B:B,ingredientes!A:A,"não")</f>
        <v>6</v>
      </c>
      <c r="D4" t="s">
        <v>606</v>
      </c>
      <c r="E4" s="56">
        <v>100</v>
      </c>
      <c r="H4">
        <f t="shared" si="0"/>
        <v>41</v>
      </c>
      <c r="I4">
        <f>C4</f>
        <v>6</v>
      </c>
      <c r="J4">
        <f>E4</f>
        <v>100</v>
      </c>
      <c r="K4">
        <f t="shared" si="1"/>
        <v>47</v>
      </c>
      <c r="M4">
        <v>41</v>
      </c>
      <c r="N4">
        <v>6</v>
      </c>
      <c r="O4">
        <v>100</v>
      </c>
      <c r="Q4" t="b">
        <f t="shared" si="2"/>
        <v>1</v>
      </c>
      <c r="R4" t="b">
        <f t="shared" si="3"/>
        <v>1</v>
      </c>
      <c r="S4" t="b">
        <f t="shared" si="4"/>
        <v>1</v>
      </c>
    </row>
    <row r="5" spans="1:19" x14ac:dyDescent="0.2">
      <c r="A5" s="106">
        <f>_xlfn.XLOOKUP(B5,pratos!B:B,pratos!A:A,"não")</f>
        <v>43</v>
      </c>
      <c r="B5" s="52" t="s">
        <v>260</v>
      </c>
      <c r="C5" s="105">
        <f>_xlfn.XLOOKUP(D5,ingredientes!B:B,ingredientes!A:A,"não")</f>
        <v>6</v>
      </c>
      <c r="D5" t="s">
        <v>606</v>
      </c>
      <c r="E5" s="10">
        <v>100</v>
      </c>
      <c r="H5">
        <f t="shared" si="0"/>
        <v>43</v>
      </c>
      <c r="I5">
        <f>C5</f>
        <v>6</v>
      </c>
      <c r="J5">
        <f>E5</f>
        <v>100</v>
      </c>
      <c r="K5">
        <f t="shared" si="1"/>
        <v>49</v>
      </c>
      <c r="M5">
        <v>43</v>
      </c>
      <c r="N5">
        <v>6</v>
      </c>
      <c r="O5">
        <v>100</v>
      </c>
      <c r="Q5" t="b">
        <f t="shared" si="2"/>
        <v>1</v>
      </c>
      <c r="R5" t="b">
        <f t="shared" si="3"/>
        <v>1</v>
      </c>
      <c r="S5" t="b">
        <f t="shared" si="4"/>
        <v>1</v>
      </c>
    </row>
    <row r="6" spans="1:19" x14ac:dyDescent="0.2">
      <c r="A6" s="106">
        <f>_xlfn.XLOOKUP(B6,pratos!B:B,pratos!A:A,"não")</f>
        <v>43</v>
      </c>
      <c r="B6" s="52" t="s">
        <v>260</v>
      </c>
      <c r="C6" s="105">
        <f>_xlfn.XLOOKUP(D6,ingredientes!B:B,ingredientes!A:A,"não")</f>
        <v>44</v>
      </c>
      <c r="D6" s="151" t="s">
        <v>261</v>
      </c>
      <c r="E6" s="10">
        <v>10</v>
      </c>
      <c r="H6">
        <f t="shared" si="0"/>
        <v>43</v>
      </c>
      <c r="I6">
        <f>C6</f>
        <v>44</v>
      </c>
      <c r="J6">
        <f>E6</f>
        <v>10</v>
      </c>
      <c r="K6">
        <f t="shared" si="1"/>
        <v>87</v>
      </c>
      <c r="M6">
        <v>43</v>
      </c>
      <c r="N6">
        <v>44</v>
      </c>
      <c r="O6">
        <v>10</v>
      </c>
      <c r="Q6" t="b">
        <f t="shared" si="2"/>
        <v>1</v>
      </c>
      <c r="R6" t="b">
        <f t="shared" si="3"/>
        <v>1</v>
      </c>
      <c r="S6" t="b">
        <f t="shared" si="4"/>
        <v>1</v>
      </c>
    </row>
    <row r="7" spans="1:19" x14ac:dyDescent="0.2">
      <c r="A7" s="106">
        <f>_xlfn.XLOOKUP(B7,pratos!B:B,pratos!A:A,"não")</f>
        <v>44</v>
      </c>
      <c r="B7" s="109" t="s">
        <v>279</v>
      </c>
      <c r="C7" s="105">
        <f>_xlfn.XLOOKUP(D7,ingredientes!B:B,ingredientes!A:A,"não")</f>
        <v>12</v>
      </c>
      <c r="D7" t="s">
        <v>602</v>
      </c>
      <c r="E7" s="19">
        <v>100</v>
      </c>
      <c r="H7">
        <f t="shared" si="0"/>
        <v>44</v>
      </c>
      <c r="I7">
        <f>C7</f>
        <v>12</v>
      </c>
      <c r="J7">
        <f>E7</f>
        <v>100</v>
      </c>
      <c r="K7">
        <f t="shared" si="1"/>
        <v>56</v>
      </c>
      <c r="M7">
        <v>44</v>
      </c>
      <c r="N7">
        <v>12</v>
      </c>
      <c r="O7">
        <v>100</v>
      </c>
      <c r="Q7" t="b">
        <f t="shared" si="2"/>
        <v>1</v>
      </c>
      <c r="R7" t="b">
        <f t="shared" si="3"/>
        <v>1</v>
      </c>
      <c r="S7" t="b">
        <f t="shared" si="4"/>
        <v>1</v>
      </c>
    </row>
    <row r="8" spans="1:19" x14ac:dyDescent="0.2">
      <c r="A8" s="106">
        <f>_xlfn.XLOOKUP(B8,pratos!B:B,pratos!A:A,"não")</f>
        <v>45</v>
      </c>
      <c r="B8" s="109" t="s">
        <v>161</v>
      </c>
      <c r="C8" s="105">
        <f>_xlfn.XLOOKUP(D8,ingredientes!B:B,ingredientes!A:A,"não")</f>
        <v>10</v>
      </c>
      <c r="D8" t="s">
        <v>600</v>
      </c>
      <c r="E8" s="10">
        <v>100</v>
      </c>
      <c r="H8">
        <f t="shared" si="0"/>
        <v>45</v>
      </c>
      <c r="I8">
        <f>C8</f>
        <v>10</v>
      </c>
      <c r="J8">
        <f>E8</f>
        <v>100</v>
      </c>
      <c r="K8">
        <f t="shared" si="1"/>
        <v>55</v>
      </c>
      <c r="M8">
        <v>45</v>
      </c>
      <c r="N8">
        <v>10</v>
      </c>
      <c r="O8">
        <v>100</v>
      </c>
      <c r="Q8" t="b">
        <f t="shared" si="2"/>
        <v>1</v>
      </c>
      <c r="R8" t="b">
        <f t="shared" si="3"/>
        <v>1</v>
      </c>
      <c r="S8" t="b">
        <f t="shared" si="4"/>
        <v>1</v>
      </c>
    </row>
    <row r="9" spans="1:19" x14ac:dyDescent="0.2">
      <c r="A9" s="106">
        <f>_xlfn.XLOOKUP(B9,pratos!B:B,pratos!A:A,"não")</f>
        <v>45</v>
      </c>
      <c r="B9" s="109" t="s">
        <v>161</v>
      </c>
      <c r="C9" s="105">
        <f>_xlfn.XLOOKUP(D9,ingredientes!B:B,ingredientes!A:A,"não")</f>
        <v>150</v>
      </c>
      <c r="D9" s="154" t="s">
        <v>162</v>
      </c>
      <c r="E9" s="10">
        <v>5</v>
      </c>
      <c r="H9">
        <f t="shared" si="0"/>
        <v>45</v>
      </c>
      <c r="I9">
        <f>C9</f>
        <v>150</v>
      </c>
      <c r="J9">
        <f>E9</f>
        <v>5</v>
      </c>
      <c r="K9">
        <f t="shared" si="1"/>
        <v>195</v>
      </c>
      <c r="M9">
        <v>45</v>
      </c>
      <c r="N9">
        <v>150</v>
      </c>
      <c r="O9">
        <v>5</v>
      </c>
      <c r="Q9" t="b">
        <f t="shared" si="2"/>
        <v>1</v>
      </c>
      <c r="R9" t="b">
        <f t="shared" si="3"/>
        <v>1</v>
      </c>
      <c r="S9" t="b">
        <f t="shared" si="4"/>
        <v>1</v>
      </c>
    </row>
    <row r="10" spans="1:19" x14ac:dyDescent="0.2">
      <c r="A10" s="106">
        <f>_xlfn.XLOOKUP(B10,pratos!B:B,pratos!A:A,"não")</f>
        <v>46</v>
      </c>
      <c r="B10" s="125" t="s">
        <v>383</v>
      </c>
      <c r="C10" s="105">
        <f>_xlfn.XLOOKUP(D10,ingredientes!B:B,ingredientes!A:A,"não")</f>
        <v>10</v>
      </c>
      <c r="D10" t="s">
        <v>600</v>
      </c>
      <c r="E10" s="10">
        <v>100</v>
      </c>
      <c r="H10">
        <f t="shared" si="0"/>
        <v>46</v>
      </c>
      <c r="I10">
        <f>C10</f>
        <v>10</v>
      </c>
      <c r="J10">
        <f>E10</f>
        <v>100</v>
      </c>
      <c r="K10">
        <f t="shared" si="1"/>
        <v>56</v>
      </c>
      <c r="M10">
        <v>46</v>
      </c>
      <c r="N10">
        <v>10</v>
      </c>
      <c r="O10">
        <v>100</v>
      </c>
      <c r="Q10" t="b">
        <f t="shared" si="2"/>
        <v>1</v>
      </c>
      <c r="R10" t="b">
        <f t="shared" si="3"/>
        <v>1</v>
      </c>
      <c r="S10" t="b">
        <f t="shared" si="4"/>
        <v>1</v>
      </c>
    </row>
    <row r="11" spans="1:19" x14ac:dyDescent="0.2">
      <c r="A11" s="106">
        <f>_xlfn.XLOOKUP(B11,pratos!B:B,pratos!A:A,"não")</f>
        <v>47</v>
      </c>
      <c r="B11" s="52" t="s">
        <v>552</v>
      </c>
      <c r="C11" s="105">
        <f>_xlfn.XLOOKUP(D11,ingredientes!B:B,ingredientes!A:A,"não")</f>
        <v>8</v>
      </c>
      <c r="D11" t="s">
        <v>597</v>
      </c>
      <c r="E11" s="10">
        <v>90</v>
      </c>
      <c r="H11">
        <f t="shared" si="0"/>
        <v>47</v>
      </c>
      <c r="I11">
        <f>C11</f>
        <v>8</v>
      </c>
      <c r="J11">
        <f>E11</f>
        <v>90</v>
      </c>
      <c r="K11">
        <f t="shared" si="1"/>
        <v>55</v>
      </c>
      <c r="M11">
        <v>47</v>
      </c>
      <c r="N11">
        <v>8</v>
      </c>
      <c r="O11">
        <v>90</v>
      </c>
      <c r="Q11" t="b">
        <f t="shared" si="2"/>
        <v>1</v>
      </c>
      <c r="R11" t="b">
        <f t="shared" si="3"/>
        <v>1</v>
      </c>
      <c r="S11" t="b">
        <f t="shared" si="4"/>
        <v>1</v>
      </c>
    </row>
    <row r="12" spans="1:19" x14ac:dyDescent="0.2">
      <c r="A12" s="106">
        <f>_xlfn.XLOOKUP(B12,pratos!B:B,pratos!A:A,"não")</f>
        <v>48</v>
      </c>
      <c r="B12" s="52" t="s">
        <v>556</v>
      </c>
      <c r="C12" s="105">
        <f>_xlfn.XLOOKUP(D12,ingredientes!B:B,ingredientes!A:A,"não")</f>
        <v>8</v>
      </c>
      <c r="D12" t="s">
        <v>597</v>
      </c>
      <c r="E12" s="63">
        <v>100</v>
      </c>
      <c r="H12">
        <f t="shared" si="0"/>
        <v>48</v>
      </c>
      <c r="I12">
        <f>C12</f>
        <v>8</v>
      </c>
      <c r="J12">
        <f>E12</f>
        <v>100</v>
      </c>
      <c r="K12">
        <f t="shared" si="1"/>
        <v>56</v>
      </c>
      <c r="M12" s="211"/>
      <c r="N12" s="211"/>
      <c r="O12" s="211"/>
      <c r="Q12" t="b">
        <f t="shared" ref="Q12:Q14" si="5">EXACT(H12,M12)</f>
        <v>0</v>
      </c>
      <c r="R12" t="b">
        <f t="shared" ref="R12:R14" si="6">EXACT(I12,N12)</f>
        <v>0</v>
      </c>
      <c r="S12" t="b">
        <f t="shared" ref="S12:S14" si="7">EXACT(J12,O12)</f>
        <v>0</v>
      </c>
    </row>
    <row r="13" spans="1:19" x14ac:dyDescent="0.2">
      <c r="A13" s="106">
        <f>_xlfn.XLOOKUP(B13,pratos!B:B,pratos!A:A,"não")</f>
        <v>48</v>
      </c>
      <c r="B13" s="52" t="s">
        <v>556</v>
      </c>
      <c r="C13" s="105">
        <f>_xlfn.XLOOKUP(D13,ingredientes!B:B,ingredientes!A:A,"não")</f>
        <v>8</v>
      </c>
      <c r="D13" t="s">
        <v>597</v>
      </c>
      <c r="E13" s="87">
        <v>90</v>
      </c>
      <c r="H13">
        <f t="shared" si="0"/>
        <v>48</v>
      </c>
      <c r="I13">
        <f>C13</f>
        <v>8</v>
      </c>
      <c r="J13">
        <f>E13</f>
        <v>90</v>
      </c>
      <c r="K13">
        <f t="shared" si="1"/>
        <v>56</v>
      </c>
      <c r="M13" s="211"/>
      <c r="N13" s="211"/>
      <c r="O13" s="211"/>
      <c r="Q13" t="b">
        <f t="shared" si="5"/>
        <v>0</v>
      </c>
      <c r="R13" t="b">
        <f t="shared" si="6"/>
        <v>0</v>
      </c>
      <c r="S13" t="b">
        <f t="shared" si="7"/>
        <v>0</v>
      </c>
    </row>
    <row r="14" spans="1:19" x14ac:dyDescent="0.2">
      <c r="A14" s="106">
        <f>_xlfn.XLOOKUP(B14,pratos!B:B,pratos!A:A,"não")</f>
        <v>49</v>
      </c>
      <c r="B14" s="116" t="s">
        <v>416</v>
      </c>
      <c r="C14" s="105">
        <f>_xlfn.XLOOKUP(D14,ingredientes!B:B,ingredientes!A:A,"não")</f>
        <v>10</v>
      </c>
      <c r="D14" t="s">
        <v>600</v>
      </c>
      <c r="E14" s="65">
        <v>100</v>
      </c>
      <c r="H14">
        <f t="shared" si="0"/>
        <v>49</v>
      </c>
      <c r="I14">
        <f>C14</f>
        <v>10</v>
      </c>
      <c r="J14">
        <f>E14</f>
        <v>100</v>
      </c>
      <c r="K14">
        <f t="shared" si="1"/>
        <v>59</v>
      </c>
      <c r="M14">
        <v>49</v>
      </c>
      <c r="N14">
        <v>10</v>
      </c>
      <c r="O14">
        <v>100</v>
      </c>
      <c r="Q14" t="b">
        <f t="shared" si="5"/>
        <v>1</v>
      </c>
      <c r="R14" t="b">
        <f t="shared" si="6"/>
        <v>1</v>
      </c>
      <c r="S14" t="b">
        <f t="shared" si="7"/>
        <v>1</v>
      </c>
    </row>
    <row r="15" spans="1:19" x14ac:dyDescent="0.2">
      <c r="A15" s="106">
        <f>_xlfn.XLOOKUP(B15,pratos!B:B,pratos!A:A,"não")</f>
        <v>50</v>
      </c>
      <c r="B15" s="108" t="s">
        <v>229</v>
      </c>
      <c r="C15" s="105">
        <f>_xlfn.XLOOKUP(D15,ingredientes!B:B,ingredientes!A:A,"não")</f>
        <v>12</v>
      </c>
      <c r="D15" t="s">
        <v>602</v>
      </c>
      <c r="E15" s="19">
        <v>100</v>
      </c>
      <c r="H15">
        <f t="shared" si="0"/>
        <v>50</v>
      </c>
      <c r="I15">
        <f>C15</f>
        <v>12</v>
      </c>
      <c r="J15">
        <f>E15</f>
        <v>100</v>
      </c>
      <c r="K15">
        <f t="shared" si="1"/>
        <v>62</v>
      </c>
      <c r="M15">
        <v>50</v>
      </c>
      <c r="N15">
        <v>12</v>
      </c>
      <c r="O15">
        <v>100</v>
      </c>
      <c r="Q15" t="b">
        <f t="shared" ref="Q15:Q78" si="8">EXACT(H15,M15)</f>
        <v>1</v>
      </c>
      <c r="R15" t="b">
        <f t="shared" ref="R15:R78" si="9">EXACT(I15,N15)</f>
        <v>1</v>
      </c>
      <c r="S15" t="b">
        <f t="shared" ref="S15:S78" si="10">EXACT(J15,O15)</f>
        <v>1</v>
      </c>
    </row>
    <row r="16" spans="1:19" x14ac:dyDescent="0.2">
      <c r="A16" s="106">
        <f>_xlfn.XLOOKUP(B16,pratos!B:B,pratos!A:A,"não")</f>
        <v>51</v>
      </c>
      <c r="B16" s="109" t="s">
        <v>298</v>
      </c>
      <c r="C16" s="105">
        <f>_xlfn.XLOOKUP(D16,ingredientes!B:B,ingredientes!A:A,"não")</f>
        <v>14</v>
      </c>
      <c r="D16" s="138" t="s">
        <v>13</v>
      </c>
      <c r="E16" s="10">
        <v>30</v>
      </c>
      <c r="H16">
        <f t="shared" si="0"/>
        <v>51</v>
      </c>
      <c r="I16">
        <f>C16</f>
        <v>14</v>
      </c>
      <c r="J16">
        <f>E16</f>
        <v>30</v>
      </c>
      <c r="K16">
        <f t="shared" si="1"/>
        <v>65</v>
      </c>
      <c r="M16">
        <v>51</v>
      </c>
      <c r="N16">
        <v>14</v>
      </c>
      <c r="O16">
        <v>30</v>
      </c>
      <c r="Q16" t="b">
        <f t="shared" si="8"/>
        <v>1</v>
      </c>
      <c r="R16" t="b">
        <f t="shared" si="9"/>
        <v>1</v>
      </c>
      <c r="S16" t="b">
        <f t="shared" si="10"/>
        <v>1</v>
      </c>
    </row>
    <row r="17" spans="1:19" x14ac:dyDescent="0.2">
      <c r="A17" s="106">
        <f>_xlfn.XLOOKUP(B17,pratos!B:B,pratos!A:A,"não")</f>
        <v>51</v>
      </c>
      <c r="B17" s="109" t="s">
        <v>298</v>
      </c>
      <c r="C17" s="105">
        <f>_xlfn.XLOOKUP(D17,ingredientes!B:B,ingredientes!A:A,"não")</f>
        <v>322</v>
      </c>
      <c r="D17" s="138" t="s">
        <v>299</v>
      </c>
      <c r="E17" s="10">
        <v>70</v>
      </c>
      <c r="H17">
        <f t="shared" si="0"/>
        <v>51</v>
      </c>
      <c r="I17">
        <f>C17</f>
        <v>322</v>
      </c>
      <c r="J17">
        <f>E17</f>
        <v>70</v>
      </c>
      <c r="K17">
        <f t="shared" si="1"/>
        <v>373</v>
      </c>
      <c r="M17">
        <v>51</v>
      </c>
      <c r="N17">
        <v>322</v>
      </c>
      <c r="O17">
        <v>70</v>
      </c>
      <c r="Q17" t="b">
        <f t="shared" si="8"/>
        <v>1</v>
      </c>
      <c r="R17" t="b">
        <f t="shared" si="9"/>
        <v>1</v>
      </c>
      <c r="S17" t="b">
        <f t="shared" si="10"/>
        <v>1</v>
      </c>
    </row>
    <row r="18" spans="1:19" x14ac:dyDescent="0.2">
      <c r="A18" s="106">
        <f>_xlfn.XLOOKUP(B18,pratos!B:B,pratos!A:A,"não")</f>
        <v>52</v>
      </c>
      <c r="B18" s="109" t="s">
        <v>311</v>
      </c>
      <c r="C18" s="105">
        <f>_xlfn.XLOOKUP(D18,ingredientes!B:B,ingredientes!A:A,"não")</f>
        <v>14</v>
      </c>
      <c r="D18" s="138" t="s">
        <v>13</v>
      </c>
      <c r="E18" s="10">
        <v>30</v>
      </c>
      <c r="H18">
        <f t="shared" si="0"/>
        <v>52</v>
      </c>
      <c r="I18">
        <f>C18</f>
        <v>14</v>
      </c>
      <c r="J18">
        <f>E18</f>
        <v>30</v>
      </c>
      <c r="K18">
        <f t="shared" si="1"/>
        <v>66</v>
      </c>
      <c r="M18">
        <v>52</v>
      </c>
      <c r="N18">
        <v>14</v>
      </c>
      <c r="O18">
        <v>30</v>
      </c>
      <c r="Q18" t="b">
        <f t="shared" si="8"/>
        <v>1</v>
      </c>
      <c r="R18" t="b">
        <f t="shared" si="9"/>
        <v>1</v>
      </c>
      <c r="S18" t="b">
        <f t="shared" si="10"/>
        <v>1</v>
      </c>
    </row>
    <row r="19" spans="1:19" x14ac:dyDescent="0.2">
      <c r="A19" s="106">
        <f>_xlfn.XLOOKUP(B19,pratos!B:B,pratos!A:A,"não")</f>
        <v>52</v>
      </c>
      <c r="B19" s="109" t="s">
        <v>311</v>
      </c>
      <c r="C19" s="105">
        <f>_xlfn.XLOOKUP(D19,ingredientes!B:B,ingredientes!A:A,"não")</f>
        <v>251</v>
      </c>
      <c r="D19" s="148" t="s">
        <v>313</v>
      </c>
      <c r="E19" s="19">
        <v>10</v>
      </c>
      <c r="H19">
        <f t="shared" si="0"/>
        <v>52</v>
      </c>
      <c r="I19">
        <f>C19</f>
        <v>251</v>
      </c>
      <c r="J19">
        <f>E19</f>
        <v>10</v>
      </c>
      <c r="K19">
        <f t="shared" si="1"/>
        <v>303</v>
      </c>
      <c r="M19">
        <v>52</v>
      </c>
      <c r="N19">
        <v>251</v>
      </c>
      <c r="O19">
        <v>10</v>
      </c>
      <c r="Q19" t="b">
        <f t="shared" si="8"/>
        <v>1</v>
      </c>
      <c r="R19" t="b">
        <f t="shared" si="9"/>
        <v>1</v>
      </c>
      <c r="S19" t="b">
        <f t="shared" si="10"/>
        <v>1</v>
      </c>
    </row>
    <row r="20" spans="1:19" x14ac:dyDescent="0.2">
      <c r="A20" s="106">
        <f>_xlfn.XLOOKUP(B20,pratos!B:B,pratos!A:A,"não")</f>
        <v>52</v>
      </c>
      <c r="B20" s="109" t="s">
        <v>311</v>
      </c>
      <c r="C20" s="105">
        <f>_xlfn.XLOOKUP(D20,ingredientes!B:B,ingredientes!A:A,"não")</f>
        <v>252</v>
      </c>
      <c r="D20" s="148" t="s">
        <v>312</v>
      </c>
      <c r="E20" s="19">
        <v>10</v>
      </c>
      <c r="H20">
        <f t="shared" si="0"/>
        <v>52</v>
      </c>
      <c r="I20">
        <f>C20</f>
        <v>252</v>
      </c>
      <c r="J20">
        <f>E20</f>
        <v>10</v>
      </c>
      <c r="K20">
        <f t="shared" si="1"/>
        <v>304</v>
      </c>
      <c r="M20">
        <v>52</v>
      </c>
      <c r="N20">
        <v>252</v>
      </c>
      <c r="O20">
        <v>10</v>
      </c>
      <c r="Q20" t="b">
        <f t="shared" si="8"/>
        <v>1</v>
      </c>
      <c r="R20" t="b">
        <f t="shared" si="9"/>
        <v>1</v>
      </c>
      <c r="S20" t="b">
        <f t="shared" si="10"/>
        <v>1</v>
      </c>
    </row>
    <row r="21" spans="1:19" x14ac:dyDescent="0.2">
      <c r="A21" s="106">
        <f>_xlfn.XLOOKUP(B21,pratos!B:B,pratos!A:A,"não")</f>
        <v>52</v>
      </c>
      <c r="B21" s="109" t="s">
        <v>311</v>
      </c>
      <c r="C21" s="105">
        <f>_xlfn.XLOOKUP(D21,ingredientes!B:B,ingredientes!A:A,"não")</f>
        <v>253</v>
      </c>
      <c r="D21" s="148" t="s">
        <v>314</v>
      </c>
      <c r="E21" s="19">
        <v>10</v>
      </c>
      <c r="H21">
        <f t="shared" si="0"/>
        <v>52</v>
      </c>
      <c r="I21">
        <f>C21</f>
        <v>253</v>
      </c>
      <c r="J21">
        <f>E21</f>
        <v>10</v>
      </c>
      <c r="K21">
        <f t="shared" si="1"/>
        <v>305</v>
      </c>
      <c r="M21">
        <v>52</v>
      </c>
      <c r="N21">
        <v>253</v>
      </c>
      <c r="O21">
        <v>10</v>
      </c>
      <c r="Q21" t="b">
        <f t="shared" si="8"/>
        <v>1</v>
      </c>
      <c r="R21" t="b">
        <f t="shared" si="9"/>
        <v>1</v>
      </c>
      <c r="S21" t="b">
        <f t="shared" si="10"/>
        <v>1</v>
      </c>
    </row>
    <row r="22" spans="1:19" x14ac:dyDescent="0.2">
      <c r="A22" s="106">
        <f>_xlfn.XLOOKUP(B22,pratos!B:B,pratos!A:A,"não")</f>
        <v>53</v>
      </c>
      <c r="B22" s="109" t="s">
        <v>503</v>
      </c>
      <c r="C22" s="105">
        <f>_xlfn.XLOOKUP(D22,ingredientes!B:B,ingredientes!A:A,"não")</f>
        <v>18</v>
      </c>
      <c r="D22" s="143" t="s">
        <v>504</v>
      </c>
      <c r="E22" s="10">
        <v>30</v>
      </c>
      <c r="H22">
        <f t="shared" si="0"/>
        <v>53</v>
      </c>
      <c r="I22">
        <f>C22</f>
        <v>18</v>
      </c>
      <c r="J22">
        <f>E22</f>
        <v>30</v>
      </c>
      <c r="K22">
        <f t="shared" si="1"/>
        <v>71</v>
      </c>
      <c r="M22">
        <v>53</v>
      </c>
      <c r="N22">
        <v>18</v>
      </c>
      <c r="O22">
        <v>30</v>
      </c>
      <c r="Q22" t="b">
        <f t="shared" si="8"/>
        <v>1</v>
      </c>
      <c r="R22" t="b">
        <f t="shared" si="9"/>
        <v>1</v>
      </c>
      <c r="S22" t="b">
        <f t="shared" si="10"/>
        <v>1</v>
      </c>
    </row>
    <row r="23" spans="1:19" x14ac:dyDescent="0.2">
      <c r="A23" s="106">
        <f>_xlfn.XLOOKUP(B23,pratos!B:B,pratos!A:A,"não")</f>
        <v>53</v>
      </c>
      <c r="B23" s="111" t="s">
        <v>254</v>
      </c>
      <c r="C23" s="105">
        <f>_xlfn.XLOOKUP(D23,ingredientes!B:B,ingredientes!A:A,"não")</f>
        <v>313</v>
      </c>
      <c r="D23" s="14" t="s">
        <v>25</v>
      </c>
      <c r="E23" s="19">
        <v>70</v>
      </c>
      <c r="H23">
        <f t="shared" si="0"/>
        <v>53</v>
      </c>
      <c r="I23">
        <f>C23</f>
        <v>313</v>
      </c>
      <c r="J23">
        <f>E23</f>
        <v>70</v>
      </c>
      <c r="K23">
        <f t="shared" si="1"/>
        <v>366</v>
      </c>
      <c r="M23">
        <v>53</v>
      </c>
      <c r="N23">
        <v>313</v>
      </c>
      <c r="O23">
        <v>70</v>
      </c>
      <c r="Q23" t="b">
        <f t="shared" si="8"/>
        <v>1</v>
      </c>
      <c r="R23" t="b">
        <f t="shared" si="9"/>
        <v>1</v>
      </c>
      <c r="S23" t="b">
        <f t="shared" si="10"/>
        <v>1</v>
      </c>
    </row>
    <row r="24" spans="1:19" x14ac:dyDescent="0.2">
      <c r="A24" s="106">
        <f>_xlfn.XLOOKUP(B24,pratos!B:B,pratos!A:A,"não")</f>
        <v>55</v>
      </c>
      <c r="B24" s="111" t="s">
        <v>77</v>
      </c>
      <c r="C24" s="105">
        <f>_xlfn.XLOOKUP(D24,ingredientes!B:B,ingredientes!A:A,"não")</f>
        <v>20</v>
      </c>
      <c r="D24" s="169" t="s">
        <v>77</v>
      </c>
      <c r="E24" s="19">
        <v>160</v>
      </c>
      <c r="H24">
        <f t="shared" si="0"/>
        <v>55</v>
      </c>
      <c r="I24">
        <f>C24</f>
        <v>20</v>
      </c>
      <c r="J24">
        <f>E24</f>
        <v>160</v>
      </c>
      <c r="K24">
        <f t="shared" si="1"/>
        <v>75</v>
      </c>
      <c r="M24">
        <v>55</v>
      </c>
      <c r="N24">
        <v>20</v>
      </c>
      <c r="O24">
        <v>160</v>
      </c>
      <c r="Q24" t="b">
        <f t="shared" si="8"/>
        <v>1</v>
      </c>
      <c r="R24" t="b">
        <f t="shared" si="9"/>
        <v>1</v>
      </c>
      <c r="S24" t="b">
        <f t="shared" si="10"/>
        <v>1</v>
      </c>
    </row>
    <row r="25" spans="1:19" x14ac:dyDescent="0.2">
      <c r="A25" s="106">
        <f>_xlfn.XLOOKUP(B25,pratos!B:B,pratos!A:A,"não")</f>
        <v>56</v>
      </c>
      <c r="B25" s="111" t="s">
        <v>273</v>
      </c>
      <c r="C25" s="105">
        <f>_xlfn.XLOOKUP(D25,ingredientes!B:B,ingredientes!A:A,"não")</f>
        <v>23</v>
      </c>
      <c r="D25" t="s">
        <v>608</v>
      </c>
      <c r="E25" s="19">
        <v>100</v>
      </c>
      <c r="H25">
        <f t="shared" si="0"/>
        <v>56</v>
      </c>
      <c r="I25">
        <f>C25</f>
        <v>23</v>
      </c>
      <c r="J25">
        <f>E25</f>
        <v>100</v>
      </c>
      <c r="K25">
        <f t="shared" si="1"/>
        <v>79</v>
      </c>
      <c r="M25">
        <v>56</v>
      </c>
      <c r="N25">
        <v>23</v>
      </c>
      <c r="O25">
        <v>100</v>
      </c>
      <c r="Q25" t="b">
        <f t="shared" si="8"/>
        <v>1</v>
      </c>
      <c r="R25" t="b">
        <f t="shared" si="9"/>
        <v>1</v>
      </c>
      <c r="S25" t="b">
        <f t="shared" si="10"/>
        <v>1</v>
      </c>
    </row>
    <row r="26" spans="1:19" x14ac:dyDescent="0.2">
      <c r="A26" s="106">
        <f>_xlfn.XLOOKUP(B26,pratos!B:B,pratos!A:A,"não")</f>
        <v>57</v>
      </c>
      <c r="B26" s="111" t="s">
        <v>182</v>
      </c>
      <c r="C26" s="105">
        <f>_xlfn.XLOOKUP(D26,ingredientes!B:B,ingredientes!A:A,"não")</f>
        <v>23</v>
      </c>
      <c r="D26" s="30" t="s">
        <v>608</v>
      </c>
      <c r="E26" s="19">
        <v>100</v>
      </c>
      <c r="H26">
        <f t="shared" si="0"/>
        <v>57</v>
      </c>
      <c r="I26">
        <f>C26</f>
        <v>23</v>
      </c>
      <c r="J26">
        <f>E26</f>
        <v>100</v>
      </c>
      <c r="K26">
        <f t="shared" si="1"/>
        <v>80</v>
      </c>
      <c r="M26">
        <v>57</v>
      </c>
      <c r="N26">
        <v>23</v>
      </c>
      <c r="O26">
        <v>100</v>
      </c>
      <c r="Q26" t="b">
        <f t="shared" si="8"/>
        <v>1</v>
      </c>
      <c r="R26" t="b">
        <f t="shared" si="9"/>
        <v>1</v>
      </c>
      <c r="S26" t="b">
        <f t="shared" si="10"/>
        <v>1</v>
      </c>
    </row>
    <row r="27" spans="1:19" x14ac:dyDescent="0.2">
      <c r="A27" s="106">
        <f>_xlfn.XLOOKUP(B27,pratos!B:B,pratos!A:A,"não")</f>
        <v>58</v>
      </c>
      <c r="B27" s="108" t="s">
        <v>225</v>
      </c>
      <c r="C27" s="105">
        <f>_xlfn.XLOOKUP(D27,ingredientes!B:B,ingredientes!A:A,"não")</f>
        <v>26</v>
      </c>
      <c r="D27" s="35" t="s">
        <v>208</v>
      </c>
      <c r="E27" s="10">
        <v>30</v>
      </c>
      <c r="H27">
        <f t="shared" si="0"/>
        <v>58</v>
      </c>
      <c r="I27">
        <f>C27</f>
        <v>26</v>
      </c>
      <c r="J27">
        <f>E27</f>
        <v>30</v>
      </c>
      <c r="K27">
        <f t="shared" si="1"/>
        <v>84</v>
      </c>
      <c r="M27">
        <v>58</v>
      </c>
      <c r="N27">
        <v>26</v>
      </c>
      <c r="O27">
        <v>30</v>
      </c>
      <c r="Q27" t="b">
        <f t="shared" si="8"/>
        <v>1</v>
      </c>
      <c r="R27" t="b">
        <f t="shared" si="9"/>
        <v>1</v>
      </c>
      <c r="S27" t="b">
        <f t="shared" si="10"/>
        <v>1</v>
      </c>
    </row>
    <row r="28" spans="1:19" x14ac:dyDescent="0.2">
      <c r="A28" s="106">
        <f>_xlfn.XLOOKUP(B28,pratos!B:B,pratos!A:A,"não")</f>
        <v>59</v>
      </c>
      <c r="B28" s="109" t="s">
        <v>366</v>
      </c>
      <c r="C28" s="105">
        <f>_xlfn.XLOOKUP(D28,ingredientes!B:B,ingredientes!A:A,"não")</f>
        <v>19</v>
      </c>
      <c r="D28" s="40" t="s">
        <v>244</v>
      </c>
      <c r="E28" s="13">
        <v>25</v>
      </c>
      <c r="H28">
        <f t="shared" si="0"/>
        <v>59</v>
      </c>
      <c r="I28">
        <f>C28</f>
        <v>19</v>
      </c>
      <c r="J28">
        <f>E28</f>
        <v>25</v>
      </c>
      <c r="K28">
        <f t="shared" si="1"/>
        <v>78</v>
      </c>
      <c r="M28">
        <v>59</v>
      </c>
      <c r="N28">
        <v>19</v>
      </c>
      <c r="O28">
        <v>25</v>
      </c>
      <c r="Q28" t="b">
        <f t="shared" si="8"/>
        <v>1</v>
      </c>
      <c r="R28" t="b">
        <f t="shared" si="9"/>
        <v>1</v>
      </c>
      <c r="S28" t="b">
        <f t="shared" si="10"/>
        <v>1</v>
      </c>
    </row>
    <row r="29" spans="1:19" x14ac:dyDescent="0.2">
      <c r="A29" s="106">
        <f>_xlfn.XLOOKUP(B29,pratos!B:B,pratos!A:A,"não")</f>
        <v>59</v>
      </c>
      <c r="B29" s="109" t="s">
        <v>366</v>
      </c>
      <c r="C29" s="105">
        <f>_xlfn.XLOOKUP(D29,ingredientes!B:B,ingredientes!A:A,"não")</f>
        <v>25</v>
      </c>
      <c r="D29" s="9" t="s">
        <v>11</v>
      </c>
      <c r="E29" s="10">
        <v>25</v>
      </c>
      <c r="H29">
        <f t="shared" si="0"/>
        <v>59</v>
      </c>
      <c r="I29">
        <f>C29</f>
        <v>25</v>
      </c>
      <c r="J29">
        <f>E29</f>
        <v>25</v>
      </c>
      <c r="K29">
        <f t="shared" si="1"/>
        <v>84</v>
      </c>
      <c r="M29">
        <v>59</v>
      </c>
      <c r="N29">
        <v>25</v>
      </c>
      <c r="O29">
        <v>25</v>
      </c>
      <c r="Q29" t="b">
        <f t="shared" si="8"/>
        <v>1</v>
      </c>
      <c r="R29" t="b">
        <f t="shared" si="9"/>
        <v>1</v>
      </c>
      <c r="S29" t="b">
        <f t="shared" si="10"/>
        <v>1</v>
      </c>
    </row>
    <row r="30" spans="1:19" x14ac:dyDescent="0.2">
      <c r="A30" s="106">
        <f>_xlfn.XLOOKUP(B30,pratos!B:B,pratos!A:A,"não")</f>
        <v>60</v>
      </c>
      <c r="B30" s="109" t="s">
        <v>401</v>
      </c>
      <c r="C30" s="105">
        <f>_xlfn.XLOOKUP(D30,ingredientes!B:B,ingredientes!A:A,"não")</f>
        <v>26</v>
      </c>
      <c r="D30" s="22" t="s">
        <v>208</v>
      </c>
      <c r="E30" s="10">
        <v>30</v>
      </c>
      <c r="H30">
        <f t="shared" si="0"/>
        <v>60</v>
      </c>
      <c r="I30">
        <f>C30</f>
        <v>26</v>
      </c>
      <c r="J30">
        <f>E30</f>
        <v>30</v>
      </c>
      <c r="K30">
        <f t="shared" si="1"/>
        <v>86</v>
      </c>
      <c r="M30">
        <v>60</v>
      </c>
      <c r="N30">
        <v>26</v>
      </c>
      <c r="O30">
        <v>30</v>
      </c>
      <c r="Q30" t="b">
        <f t="shared" si="8"/>
        <v>1</v>
      </c>
      <c r="R30" t="b">
        <f t="shared" si="9"/>
        <v>1</v>
      </c>
      <c r="S30" t="b">
        <f t="shared" si="10"/>
        <v>1</v>
      </c>
    </row>
    <row r="31" spans="1:19" x14ac:dyDescent="0.2">
      <c r="A31" s="106">
        <f>_xlfn.XLOOKUP(B31,pratos!B:B,pratos!A:A,"não")</f>
        <v>60</v>
      </c>
      <c r="B31" s="109" t="s">
        <v>401</v>
      </c>
      <c r="C31" s="105">
        <f>_xlfn.XLOOKUP(D31,ingredientes!B:B,ingredientes!A:A,"não")</f>
        <v>66</v>
      </c>
      <c r="D31" s="9" t="s">
        <v>402</v>
      </c>
      <c r="E31" s="10">
        <v>70</v>
      </c>
      <c r="H31">
        <f t="shared" si="0"/>
        <v>60</v>
      </c>
      <c r="I31">
        <f>C31</f>
        <v>66</v>
      </c>
      <c r="J31">
        <f>E31</f>
        <v>70</v>
      </c>
      <c r="K31">
        <f t="shared" si="1"/>
        <v>126</v>
      </c>
      <c r="M31">
        <v>60</v>
      </c>
      <c r="N31">
        <v>66</v>
      </c>
      <c r="O31">
        <v>70</v>
      </c>
      <c r="Q31" t="b">
        <f t="shared" si="8"/>
        <v>1</v>
      </c>
      <c r="R31" t="b">
        <f t="shared" si="9"/>
        <v>1</v>
      </c>
      <c r="S31" t="b">
        <f t="shared" si="10"/>
        <v>1</v>
      </c>
    </row>
    <row r="32" spans="1:19" x14ac:dyDescent="0.2">
      <c r="A32" s="106">
        <f>_xlfn.XLOOKUP(B32,pratos!B:B,pratos!A:A,"não")</f>
        <v>61</v>
      </c>
      <c r="B32" s="116" t="s">
        <v>494</v>
      </c>
      <c r="C32" s="105">
        <f>_xlfn.XLOOKUP(D32,ingredientes!B:B,ingredientes!A:A,"não")</f>
        <v>25</v>
      </c>
      <c r="D32" s="38" t="s">
        <v>11</v>
      </c>
      <c r="E32" s="87">
        <v>20</v>
      </c>
      <c r="H32">
        <f t="shared" si="0"/>
        <v>61</v>
      </c>
      <c r="I32">
        <f>C32</f>
        <v>25</v>
      </c>
      <c r="J32">
        <f>E32</f>
        <v>20</v>
      </c>
      <c r="K32">
        <f t="shared" si="1"/>
        <v>86</v>
      </c>
      <c r="M32">
        <v>61</v>
      </c>
      <c r="N32">
        <v>25</v>
      </c>
      <c r="O32">
        <v>20</v>
      </c>
      <c r="Q32" t="b">
        <f t="shared" si="8"/>
        <v>1</v>
      </c>
      <c r="R32" t="b">
        <f t="shared" si="9"/>
        <v>1</v>
      </c>
      <c r="S32" t="b">
        <f t="shared" si="10"/>
        <v>1</v>
      </c>
    </row>
    <row r="33" spans="1:19" x14ac:dyDescent="0.2">
      <c r="A33" s="106">
        <f>_xlfn.XLOOKUP(B33,pratos!B:B,pratos!A:A,"não")</f>
        <v>61</v>
      </c>
      <c r="B33" s="116" t="s">
        <v>494</v>
      </c>
      <c r="C33" s="105">
        <f>_xlfn.XLOOKUP(D33,ingredientes!B:B,ingredientes!A:A,"não")</f>
        <v>193</v>
      </c>
      <c r="D33" s="22" t="s">
        <v>145</v>
      </c>
      <c r="E33" s="10">
        <v>30</v>
      </c>
      <c r="H33">
        <f t="shared" si="0"/>
        <v>61</v>
      </c>
      <c r="I33">
        <f>C33</f>
        <v>193</v>
      </c>
      <c r="J33">
        <f>E33</f>
        <v>30</v>
      </c>
      <c r="K33">
        <f t="shared" si="1"/>
        <v>254</v>
      </c>
      <c r="M33">
        <v>61</v>
      </c>
      <c r="N33">
        <v>193</v>
      </c>
      <c r="O33">
        <v>30</v>
      </c>
      <c r="Q33" t="b">
        <f t="shared" si="8"/>
        <v>1</v>
      </c>
      <c r="R33" t="b">
        <f t="shared" si="9"/>
        <v>1</v>
      </c>
      <c r="S33" t="b">
        <f t="shared" si="10"/>
        <v>1</v>
      </c>
    </row>
    <row r="34" spans="1:19" x14ac:dyDescent="0.2">
      <c r="A34" s="106">
        <f>_xlfn.XLOOKUP(B34,pratos!B:B,pratos!A:A,"não")</f>
        <v>62</v>
      </c>
      <c r="B34" s="128" t="s">
        <v>422</v>
      </c>
      <c r="C34" s="105">
        <f>_xlfn.XLOOKUP(D34,ingredientes!B:B,ingredientes!A:A,"não")</f>
        <v>26</v>
      </c>
      <c r="D34" s="29" t="s">
        <v>208</v>
      </c>
      <c r="E34" s="10">
        <v>30</v>
      </c>
      <c r="H34">
        <f t="shared" si="0"/>
        <v>62</v>
      </c>
      <c r="I34">
        <f>C34</f>
        <v>26</v>
      </c>
      <c r="J34">
        <f>E34</f>
        <v>30</v>
      </c>
      <c r="K34">
        <f t="shared" si="1"/>
        <v>88</v>
      </c>
      <c r="M34">
        <v>62</v>
      </c>
      <c r="N34">
        <v>26</v>
      </c>
      <c r="O34">
        <v>30</v>
      </c>
      <c r="Q34" t="b">
        <f t="shared" si="8"/>
        <v>1</v>
      </c>
      <c r="R34" t="b">
        <f t="shared" si="9"/>
        <v>1</v>
      </c>
      <c r="S34" t="b">
        <f t="shared" si="10"/>
        <v>1</v>
      </c>
    </row>
    <row r="35" spans="1:19" x14ac:dyDescent="0.2">
      <c r="A35" s="106">
        <f>_xlfn.XLOOKUP(B35,pratos!B:B,pratos!A:A,"não")</f>
        <v>62</v>
      </c>
      <c r="B35" s="128" t="s">
        <v>422</v>
      </c>
      <c r="C35" s="105">
        <f>_xlfn.XLOOKUP(D35,ingredientes!B:B,ingredientes!A:A,"não")</f>
        <v>286</v>
      </c>
      <c r="D35" s="61" t="s">
        <v>423</v>
      </c>
      <c r="E35" s="68">
        <v>70</v>
      </c>
      <c r="H35">
        <f t="shared" si="0"/>
        <v>62</v>
      </c>
      <c r="I35">
        <f>C35</f>
        <v>286</v>
      </c>
      <c r="J35">
        <f>E35</f>
        <v>70</v>
      </c>
      <c r="K35">
        <f t="shared" si="1"/>
        <v>348</v>
      </c>
      <c r="M35">
        <v>62</v>
      </c>
      <c r="N35">
        <v>286</v>
      </c>
      <c r="O35">
        <v>70</v>
      </c>
      <c r="Q35" t="b">
        <f t="shared" si="8"/>
        <v>1</v>
      </c>
      <c r="R35" t="b">
        <f t="shared" si="9"/>
        <v>1</v>
      </c>
      <c r="S35" t="b">
        <f t="shared" si="10"/>
        <v>1</v>
      </c>
    </row>
    <row r="36" spans="1:19" x14ac:dyDescent="0.2">
      <c r="A36" s="106">
        <f>_xlfn.XLOOKUP(B36,pratos!B:B,pratos!A:A,"não")</f>
        <v>63</v>
      </c>
      <c r="B36" s="108" t="s">
        <v>207</v>
      </c>
      <c r="C36" s="105">
        <f>_xlfn.XLOOKUP(D36,ingredientes!B:B,ingredientes!A:A,"não")</f>
        <v>26</v>
      </c>
      <c r="D36" s="35" t="s">
        <v>208</v>
      </c>
      <c r="E36" s="10">
        <v>30</v>
      </c>
      <c r="H36">
        <f t="shared" si="0"/>
        <v>63</v>
      </c>
      <c r="I36">
        <f>C36</f>
        <v>26</v>
      </c>
      <c r="J36">
        <f>E36</f>
        <v>30</v>
      </c>
      <c r="K36">
        <f t="shared" si="1"/>
        <v>89</v>
      </c>
      <c r="M36">
        <v>63</v>
      </c>
      <c r="N36">
        <v>26</v>
      </c>
      <c r="O36">
        <v>30</v>
      </c>
      <c r="Q36" t="b">
        <f t="shared" si="8"/>
        <v>1</v>
      </c>
      <c r="R36" t="b">
        <f t="shared" si="9"/>
        <v>1</v>
      </c>
      <c r="S36" t="b">
        <f t="shared" si="10"/>
        <v>1</v>
      </c>
    </row>
    <row r="37" spans="1:19" x14ac:dyDescent="0.2">
      <c r="A37" s="106">
        <f>_xlfn.XLOOKUP(B37,pratos!B:B,pratos!A:A,"não")</f>
        <v>63</v>
      </c>
      <c r="B37" s="108" t="s">
        <v>207</v>
      </c>
      <c r="C37" s="105">
        <f>_xlfn.XLOOKUP(D37,ingredientes!B:B,ingredientes!A:A,"não")</f>
        <v>290</v>
      </c>
      <c r="D37" s="48" t="s">
        <v>209</v>
      </c>
      <c r="E37" s="10">
        <v>70</v>
      </c>
      <c r="H37">
        <f t="shared" si="0"/>
        <v>63</v>
      </c>
      <c r="I37">
        <f>C37</f>
        <v>290</v>
      </c>
      <c r="J37">
        <f>E37</f>
        <v>70</v>
      </c>
      <c r="K37">
        <f t="shared" si="1"/>
        <v>353</v>
      </c>
      <c r="M37">
        <v>63</v>
      </c>
      <c r="N37">
        <v>290</v>
      </c>
      <c r="O37">
        <v>70</v>
      </c>
      <c r="Q37" t="b">
        <f t="shared" si="8"/>
        <v>1</v>
      </c>
      <c r="R37" t="b">
        <f t="shared" si="9"/>
        <v>1</v>
      </c>
      <c r="S37" t="b">
        <f t="shared" si="10"/>
        <v>1</v>
      </c>
    </row>
    <row r="38" spans="1:19" x14ac:dyDescent="0.2">
      <c r="A38" s="106">
        <f>_xlfn.XLOOKUP(B38,pratos!B:B,pratos!A:A,"não")</f>
        <v>64</v>
      </c>
      <c r="B38" s="52" t="s">
        <v>473</v>
      </c>
      <c r="C38" s="105">
        <f>_xlfn.XLOOKUP(D38,ingredientes!B:B,ingredientes!A:A,"não")</f>
        <v>25</v>
      </c>
      <c r="D38" s="38" t="s">
        <v>11</v>
      </c>
      <c r="E38" s="10">
        <v>30</v>
      </c>
      <c r="H38">
        <f t="shared" si="0"/>
        <v>64</v>
      </c>
      <c r="I38">
        <f>C38</f>
        <v>25</v>
      </c>
      <c r="J38">
        <f>E38</f>
        <v>30</v>
      </c>
      <c r="K38">
        <f t="shared" si="1"/>
        <v>89</v>
      </c>
      <c r="M38">
        <v>64</v>
      </c>
      <c r="N38">
        <v>25</v>
      </c>
      <c r="O38">
        <v>30</v>
      </c>
      <c r="Q38" t="b">
        <f t="shared" si="8"/>
        <v>1</v>
      </c>
      <c r="R38" t="b">
        <f t="shared" si="9"/>
        <v>1</v>
      </c>
      <c r="S38" t="b">
        <f t="shared" si="10"/>
        <v>1</v>
      </c>
    </row>
    <row r="39" spans="1:19" x14ac:dyDescent="0.2">
      <c r="A39" s="106">
        <f>_xlfn.XLOOKUP(B39,pratos!B:B,pratos!A:A,"não")</f>
        <v>64</v>
      </c>
      <c r="B39" s="116" t="s">
        <v>473</v>
      </c>
      <c r="C39" s="105">
        <f>_xlfn.XLOOKUP(D39,ingredientes!B:B,ingredientes!A:A,"não")</f>
        <v>313</v>
      </c>
      <c r="D39" s="90" t="s">
        <v>25</v>
      </c>
      <c r="E39" s="82">
        <v>70</v>
      </c>
      <c r="H39">
        <f t="shared" si="0"/>
        <v>64</v>
      </c>
      <c r="I39">
        <f>C39</f>
        <v>313</v>
      </c>
      <c r="J39">
        <f>E39</f>
        <v>70</v>
      </c>
      <c r="K39">
        <f t="shared" si="1"/>
        <v>377</v>
      </c>
      <c r="M39">
        <v>64</v>
      </c>
      <c r="N39">
        <v>313</v>
      </c>
      <c r="O39">
        <v>70</v>
      </c>
      <c r="Q39" t="b">
        <f t="shared" si="8"/>
        <v>1</v>
      </c>
      <c r="R39" t="b">
        <f t="shared" si="9"/>
        <v>1</v>
      </c>
      <c r="S39" t="b">
        <f t="shared" si="10"/>
        <v>1</v>
      </c>
    </row>
    <row r="40" spans="1:19" x14ac:dyDescent="0.2">
      <c r="A40" s="106">
        <f>_xlfn.XLOOKUP(B40,pratos!B:B,pratos!A:A,"não")</f>
        <v>65</v>
      </c>
      <c r="B40" s="128" t="s">
        <v>424</v>
      </c>
      <c r="C40" s="105">
        <f>_xlfn.XLOOKUP(D40,ingredientes!B:B,ingredientes!A:A,"não")</f>
        <v>26</v>
      </c>
      <c r="D40" s="29" t="s">
        <v>208</v>
      </c>
      <c r="E40" s="17">
        <v>30</v>
      </c>
      <c r="H40">
        <f t="shared" si="0"/>
        <v>65</v>
      </c>
      <c r="I40">
        <f t="shared" ref="I40:I80" si="11">C40</f>
        <v>26</v>
      </c>
      <c r="J40">
        <f t="shared" ref="J40:J80" si="12">E40</f>
        <v>30</v>
      </c>
      <c r="K40">
        <f t="shared" si="1"/>
        <v>91</v>
      </c>
      <c r="M40">
        <v>65</v>
      </c>
      <c r="N40">
        <v>26</v>
      </c>
      <c r="O40">
        <v>30</v>
      </c>
      <c r="Q40" t="b">
        <f t="shared" si="8"/>
        <v>1</v>
      </c>
      <c r="R40" t="b">
        <f t="shared" si="9"/>
        <v>1</v>
      </c>
      <c r="S40" t="b">
        <f t="shared" si="10"/>
        <v>1</v>
      </c>
    </row>
    <row r="41" spans="1:19" x14ac:dyDescent="0.2">
      <c r="A41" s="106">
        <f>_xlfn.XLOOKUP(B41,pratos!B:B,pratos!A:A,"não")</f>
        <v>65</v>
      </c>
      <c r="B41" s="128" t="s">
        <v>424</v>
      </c>
      <c r="C41" s="105">
        <f>_xlfn.XLOOKUP(D41,ingredientes!B:B,ingredientes!A:A,"não")</f>
        <v>248</v>
      </c>
      <c r="D41" s="61" t="s">
        <v>425</v>
      </c>
      <c r="E41" s="31">
        <v>20</v>
      </c>
      <c r="H41">
        <f t="shared" ref="H41:H82" si="13">A41</f>
        <v>65</v>
      </c>
      <c r="I41">
        <f t="shared" si="11"/>
        <v>248</v>
      </c>
      <c r="J41">
        <f t="shared" si="12"/>
        <v>20</v>
      </c>
      <c r="K41">
        <f t="shared" si="1"/>
        <v>313</v>
      </c>
      <c r="M41">
        <v>65</v>
      </c>
      <c r="N41">
        <v>248</v>
      </c>
      <c r="O41">
        <v>20</v>
      </c>
      <c r="Q41" t="b">
        <f t="shared" si="8"/>
        <v>1</v>
      </c>
      <c r="R41" t="b">
        <f t="shared" si="9"/>
        <v>1</v>
      </c>
      <c r="S41" t="b">
        <f t="shared" si="10"/>
        <v>1</v>
      </c>
    </row>
    <row r="42" spans="1:19" x14ac:dyDescent="0.2">
      <c r="A42" s="106">
        <f>_xlfn.XLOOKUP(B42,pratos!B:B,pratos!A:A,"não")</f>
        <v>66</v>
      </c>
      <c r="B42" s="52" t="s">
        <v>106</v>
      </c>
      <c r="C42" s="105">
        <f>_xlfn.XLOOKUP(D42,ingredientes!B:B,ingredientes!A:A,"não")</f>
        <v>27</v>
      </c>
      <c r="D42" s="12" t="s">
        <v>106</v>
      </c>
      <c r="E42" s="17">
        <v>10</v>
      </c>
      <c r="H42">
        <f t="shared" si="13"/>
        <v>66</v>
      </c>
      <c r="I42">
        <f t="shared" si="11"/>
        <v>27</v>
      </c>
      <c r="J42">
        <f t="shared" si="12"/>
        <v>10</v>
      </c>
      <c r="K42">
        <f t="shared" ref="K42:K83" si="14">H42+I42</f>
        <v>93</v>
      </c>
      <c r="M42">
        <v>66</v>
      </c>
      <c r="N42">
        <v>27</v>
      </c>
      <c r="O42">
        <v>10</v>
      </c>
      <c r="Q42" t="b">
        <f t="shared" si="8"/>
        <v>1</v>
      </c>
      <c r="R42" t="b">
        <f t="shared" si="9"/>
        <v>1</v>
      </c>
      <c r="S42" t="b">
        <f t="shared" si="10"/>
        <v>1</v>
      </c>
    </row>
    <row r="43" spans="1:19" x14ac:dyDescent="0.2">
      <c r="A43" s="106">
        <f>_xlfn.XLOOKUP(B43,pratos!B:B,pratos!A:A,"não")</f>
        <v>67</v>
      </c>
      <c r="B43" s="125" t="s">
        <v>395</v>
      </c>
      <c r="C43" s="105">
        <f>_xlfn.XLOOKUP(D43,ingredientes!B:B,ingredientes!A:A,"não")</f>
        <v>29</v>
      </c>
      <c r="D43" s="30" t="s">
        <v>609</v>
      </c>
      <c r="E43" s="68">
        <v>50</v>
      </c>
      <c r="H43">
        <f t="shared" si="13"/>
        <v>67</v>
      </c>
      <c r="I43">
        <f t="shared" si="11"/>
        <v>29</v>
      </c>
      <c r="J43">
        <f t="shared" si="12"/>
        <v>50</v>
      </c>
      <c r="K43">
        <f t="shared" si="14"/>
        <v>96</v>
      </c>
      <c r="M43">
        <v>67</v>
      </c>
      <c r="N43">
        <v>29</v>
      </c>
      <c r="O43">
        <v>50</v>
      </c>
      <c r="Q43" t="b">
        <f t="shared" si="8"/>
        <v>1</v>
      </c>
      <c r="R43" t="b">
        <f t="shared" si="9"/>
        <v>1</v>
      </c>
      <c r="S43" t="b">
        <f t="shared" si="10"/>
        <v>1</v>
      </c>
    </row>
    <row r="44" spans="1:19" x14ac:dyDescent="0.2">
      <c r="A44" s="106">
        <f>_xlfn.XLOOKUP(B44,pratos!B:B,pratos!A:A,"não")</f>
        <v>67</v>
      </c>
      <c r="B44" s="125" t="s">
        <v>395</v>
      </c>
      <c r="C44" s="105">
        <f>_xlfn.XLOOKUP(D44,ingredientes!B:B,ingredientes!A:A,"não")</f>
        <v>208</v>
      </c>
      <c r="D44" s="9" t="s">
        <v>16</v>
      </c>
      <c r="E44" s="10">
        <v>20</v>
      </c>
      <c r="H44">
        <f t="shared" si="13"/>
        <v>67</v>
      </c>
      <c r="I44">
        <f t="shared" si="11"/>
        <v>208</v>
      </c>
      <c r="J44">
        <f t="shared" si="12"/>
        <v>20</v>
      </c>
      <c r="K44">
        <f t="shared" si="14"/>
        <v>275</v>
      </c>
      <c r="M44">
        <v>67</v>
      </c>
      <c r="N44">
        <v>208</v>
      </c>
      <c r="O44">
        <v>20</v>
      </c>
      <c r="Q44" t="b">
        <f t="shared" si="8"/>
        <v>1</v>
      </c>
      <c r="R44" t="b">
        <f t="shared" si="9"/>
        <v>1</v>
      </c>
      <c r="S44" t="b">
        <f t="shared" si="10"/>
        <v>1</v>
      </c>
    </row>
    <row r="45" spans="1:19" x14ac:dyDescent="0.2">
      <c r="A45" s="106">
        <f>_xlfn.XLOOKUP(B45,pratos!B:B,pratos!A:A,"não")</f>
        <v>68</v>
      </c>
      <c r="B45" s="111" t="s">
        <v>283</v>
      </c>
      <c r="C45" s="105">
        <f>_xlfn.XLOOKUP(D45,ingredientes!B:B,ingredientes!A:A,"não")</f>
        <v>91</v>
      </c>
      <c r="D45" s="11" t="s">
        <v>147</v>
      </c>
      <c r="E45" s="19">
        <v>12</v>
      </c>
      <c r="H45">
        <f t="shared" si="13"/>
        <v>68</v>
      </c>
      <c r="I45">
        <f t="shared" si="11"/>
        <v>91</v>
      </c>
      <c r="J45">
        <f t="shared" si="12"/>
        <v>12</v>
      </c>
      <c r="K45">
        <f t="shared" si="14"/>
        <v>159</v>
      </c>
      <c r="M45">
        <v>68</v>
      </c>
      <c r="N45">
        <v>91</v>
      </c>
      <c r="O45">
        <v>12</v>
      </c>
      <c r="Q45" t="b">
        <f t="shared" si="8"/>
        <v>1</v>
      </c>
      <c r="R45" t="b">
        <f t="shared" si="9"/>
        <v>1</v>
      </c>
      <c r="S45" t="b">
        <f t="shared" si="10"/>
        <v>1</v>
      </c>
    </row>
    <row r="46" spans="1:19" x14ac:dyDescent="0.2">
      <c r="A46" s="106">
        <f>_xlfn.XLOOKUP(B46,pratos!B:B,pratos!A:A,"não")</f>
        <v>68</v>
      </c>
      <c r="B46" s="111" t="s">
        <v>283</v>
      </c>
      <c r="C46" s="105">
        <f>_xlfn.XLOOKUP(D46,ingredientes!B:B,ingredientes!A:A,"não")</f>
        <v>238</v>
      </c>
      <c r="D46" s="30" t="s">
        <v>677</v>
      </c>
      <c r="E46" s="19">
        <v>70</v>
      </c>
      <c r="H46">
        <f t="shared" si="13"/>
        <v>68</v>
      </c>
      <c r="I46">
        <f t="shared" si="11"/>
        <v>238</v>
      </c>
      <c r="J46">
        <f t="shared" si="12"/>
        <v>70</v>
      </c>
      <c r="K46">
        <f t="shared" si="14"/>
        <v>306</v>
      </c>
      <c r="M46">
        <v>68</v>
      </c>
      <c r="N46">
        <v>238</v>
      </c>
      <c r="O46">
        <v>70</v>
      </c>
      <c r="Q46" t="b">
        <f t="shared" si="8"/>
        <v>1</v>
      </c>
      <c r="R46" t="b">
        <f t="shared" si="9"/>
        <v>1</v>
      </c>
      <c r="S46" t="b">
        <f t="shared" si="10"/>
        <v>1</v>
      </c>
    </row>
    <row r="47" spans="1:19" x14ac:dyDescent="0.2">
      <c r="A47" s="106">
        <f>_xlfn.XLOOKUP(B47,pratos!B:B,pratos!A:A,"não")</f>
        <v>69</v>
      </c>
      <c r="B47" s="124" t="s">
        <v>379</v>
      </c>
      <c r="C47" s="105">
        <f>_xlfn.XLOOKUP(D47,ingredientes!B:B,ingredientes!A:A,"não")</f>
        <v>29</v>
      </c>
      <c r="D47" s="30" t="s">
        <v>609</v>
      </c>
      <c r="E47" s="10">
        <v>120</v>
      </c>
      <c r="H47">
        <f t="shared" si="13"/>
        <v>69</v>
      </c>
      <c r="I47">
        <f t="shared" si="11"/>
        <v>29</v>
      </c>
      <c r="J47">
        <f t="shared" si="12"/>
        <v>120</v>
      </c>
      <c r="K47">
        <f t="shared" si="14"/>
        <v>98</v>
      </c>
      <c r="M47">
        <v>69</v>
      </c>
      <c r="N47">
        <v>29</v>
      </c>
      <c r="O47">
        <v>120</v>
      </c>
      <c r="Q47" t="b">
        <f t="shared" si="8"/>
        <v>1</v>
      </c>
      <c r="R47" t="b">
        <f t="shared" si="9"/>
        <v>1</v>
      </c>
      <c r="S47" t="b">
        <f t="shared" si="10"/>
        <v>1</v>
      </c>
    </row>
    <row r="48" spans="1:19" x14ac:dyDescent="0.2">
      <c r="A48" s="106">
        <f>_xlfn.XLOOKUP(B48,pratos!B:B,pratos!A:A,"não")</f>
        <v>69</v>
      </c>
      <c r="B48" s="124" t="s">
        <v>379</v>
      </c>
      <c r="C48" s="105">
        <f>_xlfn.XLOOKUP(D48,ingredientes!B:B,ingredientes!A:A,"não")</f>
        <v>208</v>
      </c>
      <c r="D48" s="9" t="s">
        <v>16</v>
      </c>
      <c r="E48" s="10">
        <v>20</v>
      </c>
      <c r="H48">
        <f t="shared" si="13"/>
        <v>69</v>
      </c>
      <c r="I48">
        <f t="shared" si="11"/>
        <v>208</v>
      </c>
      <c r="J48">
        <f t="shared" si="12"/>
        <v>20</v>
      </c>
      <c r="K48">
        <f t="shared" si="14"/>
        <v>277</v>
      </c>
      <c r="M48">
        <v>69</v>
      </c>
      <c r="N48">
        <v>208</v>
      </c>
      <c r="O48">
        <v>20</v>
      </c>
      <c r="Q48" t="b">
        <f t="shared" si="8"/>
        <v>1</v>
      </c>
      <c r="R48" t="b">
        <f t="shared" si="9"/>
        <v>1</v>
      </c>
      <c r="S48" t="b">
        <f t="shared" si="10"/>
        <v>1</v>
      </c>
    </row>
    <row r="49" spans="1:19" x14ac:dyDescent="0.2">
      <c r="A49" s="106">
        <f>_xlfn.XLOOKUP(B49,pratos!B:B,pratos!A:A,"não")</f>
        <v>70</v>
      </c>
      <c r="B49" s="128" t="s">
        <v>390</v>
      </c>
      <c r="C49" s="105">
        <f>_xlfn.XLOOKUP(D49,ingredientes!B:B,ingredientes!A:A,"não")</f>
        <v>29</v>
      </c>
      <c r="D49" s="30" t="s">
        <v>609</v>
      </c>
      <c r="E49" s="68">
        <v>120</v>
      </c>
      <c r="H49">
        <f t="shared" si="13"/>
        <v>70</v>
      </c>
      <c r="I49">
        <f t="shared" si="11"/>
        <v>29</v>
      </c>
      <c r="J49">
        <f t="shared" si="12"/>
        <v>120</v>
      </c>
      <c r="K49">
        <f t="shared" si="14"/>
        <v>99</v>
      </c>
      <c r="M49">
        <v>70</v>
      </c>
      <c r="N49">
        <v>29</v>
      </c>
      <c r="O49">
        <v>120</v>
      </c>
      <c r="Q49" t="b">
        <f t="shared" si="8"/>
        <v>1</v>
      </c>
      <c r="R49" t="b">
        <f t="shared" si="9"/>
        <v>1</v>
      </c>
      <c r="S49" t="b">
        <f t="shared" si="10"/>
        <v>1</v>
      </c>
    </row>
    <row r="50" spans="1:19" x14ac:dyDescent="0.2">
      <c r="A50" s="106">
        <f>_xlfn.XLOOKUP(B50,pratos!B:B,pratos!A:A,"não")</f>
        <v>71</v>
      </c>
      <c r="B50" s="52" t="s">
        <v>18</v>
      </c>
      <c r="C50" s="105">
        <f>_xlfn.XLOOKUP(D50,ingredientes!B:B,ingredientes!A:A,"não")</f>
        <v>34</v>
      </c>
      <c r="D50" s="30" t="s">
        <v>611</v>
      </c>
      <c r="E50" s="10">
        <v>100</v>
      </c>
      <c r="H50">
        <f t="shared" si="13"/>
        <v>71</v>
      </c>
      <c r="I50">
        <f t="shared" si="11"/>
        <v>34</v>
      </c>
      <c r="J50">
        <f t="shared" si="12"/>
        <v>100</v>
      </c>
      <c r="K50">
        <f t="shared" si="14"/>
        <v>105</v>
      </c>
      <c r="M50">
        <v>71</v>
      </c>
      <c r="N50">
        <v>34</v>
      </c>
      <c r="O50">
        <v>100</v>
      </c>
      <c r="Q50" t="b">
        <f t="shared" si="8"/>
        <v>1</v>
      </c>
      <c r="R50" t="b">
        <f t="shared" si="9"/>
        <v>1</v>
      </c>
      <c r="S50" t="b">
        <f t="shared" si="10"/>
        <v>1</v>
      </c>
    </row>
    <row r="51" spans="1:19" x14ac:dyDescent="0.2">
      <c r="A51" s="106">
        <f>_xlfn.XLOOKUP(B51,pratos!B:B,pratos!A:A,"não")</f>
        <v>74</v>
      </c>
      <c r="B51" s="109" t="s">
        <v>262</v>
      </c>
      <c r="C51" s="105">
        <f>_xlfn.XLOOKUP(D51,ingredientes!B:B,ingredientes!A:A,"não")</f>
        <v>37</v>
      </c>
      <c r="D51" s="167" t="s">
        <v>263</v>
      </c>
      <c r="E51" s="19">
        <v>160</v>
      </c>
      <c r="H51">
        <f t="shared" si="13"/>
        <v>74</v>
      </c>
      <c r="I51">
        <f t="shared" si="11"/>
        <v>37</v>
      </c>
      <c r="J51">
        <f t="shared" si="12"/>
        <v>160</v>
      </c>
      <c r="K51">
        <f t="shared" si="14"/>
        <v>111</v>
      </c>
      <c r="M51">
        <v>74</v>
      </c>
      <c r="N51">
        <v>37</v>
      </c>
      <c r="O51">
        <v>160</v>
      </c>
      <c r="Q51" t="b">
        <f t="shared" si="8"/>
        <v>1</v>
      </c>
      <c r="R51" t="b">
        <f t="shared" si="9"/>
        <v>1</v>
      </c>
      <c r="S51" t="b">
        <f t="shared" si="10"/>
        <v>1</v>
      </c>
    </row>
    <row r="52" spans="1:19" x14ac:dyDescent="0.2">
      <c r="A52" s="106">
        <f>_xlfn.XLOOKUP(B52,pratos!B:B,pratos!A:A,"não")</f>
        <v>75</v>
      </c>
      <c r="B52" s="109" t="s">
        <v>268</v>
      </c>
      <c r="C52" s="105">
        <f>_xlfn.XLOOKUP(D52,ingredientes!B:B,ingredientes!A:A,"não")</f>
        <v>36</v>
      </c>
      <c r="D52" s="164" t="s">
        <v>269</v>
      </c>
      <c r="E52" s="27">
        <v>20</v>
      </c>
      <c r="H52">
        <f t="shared" si="13"/>
        <v>75</v>
      </c>
      <c r="I52">
        <f t="shared" si="11"/>
        <v>36</v>
      </c>
      <c r="J52">
        <f t="shared" si="12"/>
        <v>20</v>
      </c>
      <c r="K52">
        <f t="shared" si="14"/>
        <v>111</v>
      </c>
      <c r="M52">
        <v>75</v>
      </c>
      <c r="N52">
        <v>36</v>
      </c>
      <c r="O52">
        <v>20</v>
      </c>
      <c r="Q52" t="b">
        <f t="shared" si="8"/>
        <v>1</v>
      </c>
      <c r="R52" t="b">
        <f t="shared" si="9"/>
        <v>1</v>
      </c>
      <c r="S52" t="b">
        <f t="shared" si="10"/>
        <v>1</v>
      </c>
    </row>
    <row r="53" spans="1:19" x14ac:dyDescent="0.2">
      <c r="A53" s="106">
        <f>_xlfn.XLOOKUP(B53,pratos!B:B,pratos!A:A,"não")</f>
        <v>75</v>
      </c>
      <c r="B53" s="52" t="s">
        <v>268</v>
      </c>
      <c r="C53" s="105">
        <f>_xlfn.XLOOKUP(D53,ingredientes!B:B,ingredientes!A:A,"não")</f>
        <v>176</v>
      </c>
      <c r="D53" s="162" t="s">
        <v>270</v>
      </c>
      <c r="E53" s="27">
        <v>5</v>
      </c>
      <c r="H53">
        <f t="shared" si="13"/>
        <v>75</v>
      </c>
      <c r="I53">
        <f t="shared" si="11"/>
        <v>176</v>
      </c>
      <c r="J53">
        <f t="shared" si="12"/>
        <v>5</v>
      </c>
      <c r="K53">
        <f t="shared" si="14"/>
        <v>251</v>
      </c>
      <c r="M53">
        <v>75</v>
      </c>
      <c r="N53">
        <v>176</v>
      </c>
      <c r="O53">
        <v>5</v>
      </c>
      <c r="Q53" t="b">
        <f t="shared" si="8"/>
        <v>1</v>
      </c>
      <c r="R53" t="b">
        <f t="shared" si="9"/>
        <v>1</v>
      </c>
      <c r="S53" t="b">
        <f t="shared" si="10"/>
        <v>1</v>
      </c>
    </row>
    <row r="54" spans="1:19" x14ac:dyDescent="0.2">
      <c r="A54" s="106">
        <f>_xlfn.XLOOKUP(B54,pratos!B:B,pratos!A:A,"não")</f>
        <v>75</v>
      </c>
      <c r="B54" s="52" t="s">
        <v>268</v>
      </c>
      <c r="C54" s="105">
        <f>_xlfn.XLOOKUP(D54,ingredientes!B:B,ingredientes!A:A,"não")</f>
        <v>177</v>
      </c>
      <c r="D54" s="162" t="s">
        <v>6</v>
      </c>
      <c r="E54" s="27">
        <v>100</v>
      </c>
      <c r="H54">
        <f t="shared" si="13"/>
        <v>75</v>
      </c>
      <c r="I54">
        <f t="shared" si="11"/>
        <v>177</v>
      </c>
      <c r="J54">
        <f t="shared" si="12"/>
        <v>100</v>
      </c>
      <c r="K54">
        <f t="shared" si="14"/>
        <v>252</v>
      </c>
      <c r="M54">
        <v>75</v>
      </c>
      <c r="N54">
        <v>177</v>
      </c>
      <c r="O54">
        <v>100</v>
      </c>
      <c r="Q54" t="b">
        <f t="shared" si="8"/>
        <v>1</v>
      </c>
      <c r="R54" t="b">
        <f t="shared" si="9"/>
        <v>1</v>
      </c>
      <c r="S54" t="b">
        <f t="shared" si="10"/>
        <v>1</v>
      </c>
    </row>
    <row r="55" spans="1:19" x14ac:dyDescent="0.2">
      <c r="A55" s="106">
        <f>_xlfn.XLOOKUP(B55,pratos!B:B,pratos!A:A,"não")</f>
        <v>75</v>
      </c>
      <c r="B55" s="52" t="s">
        <v>268</v>
      </c>
      <c r="C55" s="105">
        <f>_xlfn.XLOOKUP(D55,ingredientes!B:B,ingredientes!A:A,"não")</f>
        <v>179</v>
      </c>
      <c r="D55" s="138" t="s">
        <v>62</v>
      </c>
      <c r="E55" s="5">
        <v>30</v>
      </c>
      <c r="H55">
        <f t="shared" si="13"/>
        <v>75</v>
      </c>
      <c r="I55">
        <f t="shared" si="11"/>
        <v>179</v>
      </c>
      <c r="J55">
        <f t="shared" si="12"/>
        <v>30</v>
      </c>
      <c r="K55">
        <f t="shared" si="14"/>
        <v>254</v>
      </c>
      <c r="M55">
        <v>75</v>
      </c>
      <c r="N55">
        <v>179</v>
      </c>
      <c r="O55">
        <v>30</v>
      </c>
      <c r="Q55" t="b">
        <f t="shared" si="8"/>
        <v>1</v>
      </c>
      <c r="R55" t="b">
        <f t="shared" si="9"/>
        <v>1</v>
      </c>
      <c r="S55" t="b">
        <f t="shared" si="10"/>
        <v>1</v>
      </c>
    </row>
    <row r="56" spans="1:19" x14ac:dyDescent="0.2">
      <c r="A56" s="106">
        <f>_xlfn.XLOOKUP(B56,pratos!B:B,pratos!A:A,"não")</f>
        <v>77</v>
      </c>
      <c r="B56" s="111" t="s">
        <v>113</v>
      </c>
      <c r="C56" s="105">
        <f>_xlfn.XLOOKUP(D56,ingredientes!B:B,ingredientes!A:A,"não")</f>
        <v>38</v>
      </c>
      <c r="D56" s="145" t="s">
        <v>113</v>
      </c>
      <c r="E56" s="19">
        <v>55</v>
      </c>
      <c r="H56">
        <f t="shared" si="13"/>
        <v>77</v>
      </c>
      <c r="I56">
        <f t="shared" si="11"/>
        <v>38</v>
      </c>
      <c r="J56">
        <f t="shared" si="12"/>
        <v>55</v>
      </c>
      <c r="K56">
        <f t="shared" si="14"/>
        <v>115</v>
      </c>
      <c r="M56">
        <v>77</v>
      </c>
      <c r="N56">
        <v>38</v>
      </c>
      <c r="O56">
        <v>55</v>
      </c>
      <c r="Q56" t="b">
        <f t="shared" si="8"/>
        <v>1</v>
      </c>
      <c r="R56" t="b">
        <f t="shared" si="9"/>
        <v>1</v>
      </c>
      <c r="S56" t="b">
        <f t="shared" si="10"/>
        <v>1</v>
      </c>
    </row>
    <row r="57" spans="1:19" x14ac:dyDescent="0.2">
      <c r="A57" s="106">
        <f>_xlfn.XLOOKUP(B57,pratos!B:B,pratos!A:A,"não")</f>
        <v>80</v>
      </c>
      <c r="B57" s="52" t="s">
        <v>35</v>
      </c>
      <c r="C57" s="105">
        <f>_xlfn.XLOOKUP(D57,ingredientes!B:B,ingredientes!A:A,"não")</f>
        <v>41</v>
      </c>
      <c r="D57" s="9" t="s">
        <v>35</v>
      </c>
      <c r="E57" s="10">
        <v>8</v>
      </c>
      <c r="H57">
        <f t="shared" si="13"/>
        <v>80</v>
      </c>
      <c r="I57">
        <f t="shared" si="11"/>
        <v>41</v>
      </c>
      <c r="J57">
        <f t="shared" si="12"/>
        <v>8</v>
      </c>
      <c r="K57">
        <f t="shared" si="14"/>
        <v>121</v>
      </c>
      <c r="M57">
        <v>80</v>
      </c>
      <c r="N57">
        <v>41</v>
      </c>
      <c r="O57">
        <v>8</v>
      </c>
      <c r="Q57" t="b">
        <f t="shared" si="8"/>
        <v>1</v>
      </c>
      <c r="R57" t="b">
        <f t="shared" si="9"/>
        <v>1</v>
      </c>
      <c r="S57" t="b">
        <f t="shared" si="10"/>
        <v>1</v>
      </c>
    </row>
    <row r="58" spans="1:19" x14ac:dyDescent="0.2">
      <c r="A58" s="106">
        <f>_xlfn.XLOOKUP(B58,pratos!B:B,pratos!A:A,"não")</f>
        <v>81</v>
      </c>
      <c r="B58" s="115" t="s">
        <v>183</v>
      </c>
      <c r="C58" s="105">
        <f>_xlfn.XLOOKUP(D58,ingredientes!B:B,ingredientes!A:A,"não")</f>
        <v>45</v>
      </c>
      <c r="D58" s="20" t="s">
        <v>183</v>
      </c>
      <c r="E58" s="19">
        <v>50</v>
      </c>
      <c r="H58">
        <f t="shared" si="13"/>
        <v>81</v>
      </c>
      <c r="I58">
        <f t="shared" si="11"/>
        <v>45</v>
      </c>
      <c r="J58">
        <f t="shared" si="12"/>
        <v>50</v>
      </c>
      <c r="K58">
        <f t="shared" si="14"/>
        <v>126</v>
      </c>
      <c r="M58">
        <v>81</v>
      </c>
      <c r="N58">
        <v>45</v>
      </c>
      <c r="O58">
        <v>50</v>
      </c>
      <c r="Q58" t="b">
        <f t="shared" si="8"/>
        <v>1</v>
      </c>
      <c r="R58" t="b">
        <f t="shared" si="9"/>
        <v>1</v>
      </c>
      <c r="S58" t="b">
        <f t="shared" si="10"/>
        <v>1</v>
      </c>
    </row>
    <row r="59" spans="1:19" x14ac:dyDescent="0.2">
      <c r="A59" s="106">
        <f>_xlfn.XLOOKUP(B59,pratos!B:B,pratos!A:A,"não")</f>
        <v>82</v>
      </c>
      <c r="B59" s="130" t="s">
        <v>460</v>
      </c>
      <c r="C59" s="105">
        <f>_xlfn.XLOOKUP(D59,ingredientes!B:B,ingredientes!A:A,"não")</f>
        <v>46</v>
      </c>
      <c r="D59" s="78" t="s">
        <v>460</v>
      </c>
      <c r="E59" s="82">
        <v>65</v>
      </c>
      <c r="H59">
        <f t="shared" si="13"/>
        <v>82</v>
      </c>
      <c r="I59">
        <f t="shared" si="11"/>
        <v>46</v>
      </c>
      <c r="J59">
        <f t="shared" si="12"/>
        <v>65</v>
      </c>
      <c r="K59">
        <f t="shared" si="14"/>
        <v>128</v>
      </c>
      <c r="M59">
        <v>82</v>
      </c>
      <c r="N59">
        <v>46</v>
      </c>
      <c r="O59">
        <v>65</v>
      </c>
      <c r="Q59" t="b">
        <f t="shared" si="8"/>
        <v>1</v>
      </c>
      <c r="R59" t="b">
        <f t="shared" si="9"/>
        <v>1</v>
      </c>
      <c r="S59" t="b">
        <f t="shared" si="10"/>
        <v>1</v>
      </c>
    </row>
    <row r="60" spans="1:19" x14ac:dyDescent="0.2">
      <c r="A60" s="106">
        <f>_xlfn.XLOOKUP(B60,pratos!B:B,pratos!A:A,"não")</f>
        <v>83</v>
      </c>
      <c r="B60" s="108" t="s">
        <v>156</v>
      </c>
      <c r="C60" s="105">
        <f>_xlfn.XLOOKUP(D60,ingredientes!B:B,ingredientes!A:A,"não")</f>
        <v>47</v>
      </c>
      <c r="D60" s="3" t="s">
        <v>156</v>
      </c>
      <c r="E60" s="19">
        <v>120</v>
      </c>
      <c r="H60">
        <f t="shared" si="13"/>
        <v>83</v>
      </c>
      <c r="I60">
        <f t="shared" si="11"/>
        <v>47</v>
      </c>
      <c r="J60">
        <f t="shared" si="12"/>
        <v>120</v>
      </c>
      <c r="K60">
        <f t="shared" si="14"/>
        <v>130</v>
      </c>
      <c r="M60">
        <v>83</v>
      </c>
      <c r="N60">
        <v>47</v>
      </c>
      <c r="O60">
        <v>120</v>
      </c>
      <c r="Q60" t="b">
        <f t="shared" si="8"/>
        <v>1</v>
      </c>
      <c r="R60" t="b">
        <f t="shared" si="9"/>
        <v>1</v>
      </c>
      <c r="S60" t="b">
        <f t="shared" si="10"/>
        <v>1</v>
      </c>
    </row>
    <row r="61" spans="1:19" x14ac:dyDescent="0.2">
      <c r="A61" s="106">
        <f>_xlfn.XLOOKUP(B61,pratos!B:B,pratos!A:A,"não")</f>
        <v>84</v>
      </c>
      <c r="B61" s="116" t="s">
        <v>349</v>
      </c>
      <c r="C61" s="105">
        <f>_xlfn.XLOOKUP(D61,ingredientes!B:B,ingredientes!A:A,"não")</f>
        <v>49</v>
      </c>
      <c r="D61" s="39" t="s">
        <v>554</v>
      </c>
      <c r="E61" s="93">
        <v>100</v>
      </c>
      <c r="H61">
        <f t="shared" si="13"/>
        <v>84</v>
      </c>
      <c r="I61">
        <f t="shared" si="11"/>
        <v>49</v>
      </c>
      <c r="J61">
        <f t="shared" si="12"/>
        <v>100</v>
      </c>
      <c r="K61">
        <f t="shared" si="14"/>
        <v>133</v>
      </c>
      <c r="M61">
        <v>84</v>
      </c>
      <c r="N61">
        <v>49</v>
      </c>
      <c r="O61">
        <v>100</v>
      </c>
      <c r="Q61" t="b">
        <f t="shared" si="8"/>
        <v>1</v>
      </c>
      <c r="R61" t="b">
        <f t="shared" si="9"/>
        <v>1</v>
      </c>
      <c r="S61" t="b">
        <f t="shared" si="10"/>
        <v>1</v>
      </c>
    </row>
    <row r="62" spans="1:19" x14ac:dyDescent="0.2">
      <c r="A62" s="106">
        <f>_xlfn.XLOOKUP(B62,pratos!B:B,pratos!A:A,"não")</f>
        <v>86</v>
      </c>
      <c r="B62" s="111" t="s">
        <v>319</v>
      </c>
      <c r="C62" s="105">
        <f>_xlfn.XLOOKUP(D62,ingredientes!B:B,ingredientes!A:A,"não")</f>
        <v>52</v>
      </c>
      <c r="D62" s="30" t="s">
        <v>614</v>
      </c>
      <c r="E62" s="19">
        <v>100</v>
      </c>
      <c r="H62">
        <f t="shared" si="13"/>
        <v>86</v>
      </c>
      <c r="I62">
        <f t="shared" si="11"/>
        <v>52</v>
      </c>
      <c r="J62">
        <f t="shared" si="12"/>
        <v>100</v>
      </c>
      <c r="K62">
        <f t="shared" si="14"/>
        <v>138</v>
      </c>
      <c r="M62">
        <v>86</v>
      </c>
      <c r="N62">
        <v>52</v>
      </c>
      <c r="O62">
        <v>100</v>
      </c>
      <c r="Q62" t="b">
        <f t="shared" si="8"/>
        <v>1</v>
      </c>
      <c r="R62" t="b">
        <f t="shared" si="9"/>
        <v>1</v>
      </c>
      <c r="S62" t="b">
        <f t="shared" si="10"/>
        <v>1</v>
      </c>
    </row>
    <row r="63" spans="1:19" x14ac:dyDescent="0.2">
      <c r="A63" s="106">
        <f>_xlfn.XLOOKUP(B63,pratos!B:B,pratos!A:A,"não")</f>
        <v>87</v>
      </c>
      <c r="B63" s="111" t="s">
        <v>318</v>
      </c>
      <c r="C63" s="105">
        <f>_xlfn.XLOOKUP(D63,ingredientes!B:B,ingredientes!A:A,"não")</f>
        <v>10</v>
      </c>
      <c r="D63" s="30" t="s">
        <v>600</v>
      </c>
      <c r="E63" s="10">
        <v>50</v>
      </c>
      <c r="H63">
        <f t="shared" si="13"/>
        <v>87</v>
      </c>
      <c r="I63">
        <f t="shared" si="11"/>
        <v>10</v>
      </c>
      <c r="J63">
        <f t="shared" si="12"/>
        <v>50</v>
      </c>
      <c r="K63">
        <f t="shared" si="14"/>
        <v>97</v>
      </c>
      <c r="M63">
        <v>87</v>
      </c>
      <c r="N63">
        <v>10</v>
      </c>
      <c r="O63">
        <v>50</v>
      </c>
      <c r="Q63" t="b">
        <f t="shared" si="8"/>
        <v>1</v>
      </c>
      <c r="R63" t="b">
        <f t="shared" si="9"/>
        <v>1</v>
      </c>
      <c r="S63" t="b">
        <f t="shared" si="10"/>
        <v>1</v>
      </c>
    </row>
    <row r="64" spans="1:19" x14ac:dyDescent="0.2">
      <c r="A64" s="106">
        <f>_xlfn.XLOOKUP(B64,pratos!B:B,pratos!A:A,"não")</f>
        <v>87</v>
      </c>
      <c r="B64" s="111" t="s">
        <v>318</v>
      </c>
      <c r="C64" s="105">
        <f>_xlfn.XLOOKUP(D64,ingredientes!B:B,ingredientes!A:A,"não")</f>
        <v>52</v>
      </c>
      <c r="D64" s="30" t="s">
        <v>614</v>
      </c>
      <c r="E64" s="19">
        <v>50</v>
      </c>
      <c r="H64">
        <f t="shared" si="13"/>
        <v>87</v>
      </c>
      <c r="I64">
        <f t="shared" si="11"/>
        <v>52</v>
      </c>
      <c r="J64">
        <f t="shared" si="12"/>
        <v>50</v>
      </c>
      <c r="K64">
        <f t="shared" si="14"/>
        <v>139</v>
      </c>
      <c r="M64">
        <v>87</v>
      </c>
      <c r="N64">
        <v>52</v>
      </c>
      <c r="O64">
        <v>50</v>
      </c>
      <c r="Q64" t="b">
        <f t="shared" si="8"/>
        <v>1</v>
      </c>
      <c r="R64" t="b">
        <f t="shared" si="9"/>
        <v>1</v>
      </c>
      <c r="S64" t="b">
        <f t="shared" si="10"/>
        <v>1</v>
      </c>
    </row>
    <row r="65" spans="1:19" x14ac:dyDescent="0.2">
      <c r="A65" s="106">
        <f>_xlfn.XLOOKUP(B65,pratos!B:B,pratos!A:A,"não")</f>
        <v>88</v>
      </c>
      <c r="B65" s="52" t="s">
        <v>169</v>
      </c>
      <c r="C65" s="105">
        <f>_xlfn.XLOOKUP(D65,ingredientes!B:B,ingredientes!A:A,"não")</f>
        <v>52</v>
      </c>
      <c r="D65" s="30" t="s">
        <v>614</v>
      </c>
      <c r="E65" s="10">
        <v>100</v>
      </c>
      <c r="H65">
        <f t="shared" si="13"/>
        <v>88</v>
      </c>
      <c r="I65">
        <f t="shared" si="11"/>
        <v>52</v>
      </c>
      <c r="J65">
        <f t="shared" si="12"/>
        <v>100</v>
      </c>
      <c r="K65">
        <f t="shared" si="14"/>
        <v>140</v>
      </c>
      <c r="M65">
        <v>88</v>
      </c>
      <c r="N65">
        <v>52</v>
      </c>
      <c r="O65">
        <v>100</v>
      </c>
      <c r="Q65" t="b">
        <f t="shared" si="8"/>
        <v>1</v>
      </c>
      <c r="R65" t="b">
        <f t="shared" si="9"/>
        <v>1</v>
      </c>
      <c r="S65" t="b">
        <f t="shared" si="10"/>
        <v>1</v>
      </c>
    </row>
    <row r="66" spans="1:19" x14ac:dyDescent="0.2">
      <c r="A66" s="106">
        <f>_xlfn.XLOOKUP(B66,pratos!B:B,pratos!A:A,"não")</f>
        <v>89</v>
      </c>
      <c r="B66" s="128" t="s">
        <v>419</v>
      </c>
      <c r="C66" s="105">
        <f>_xlfn.XLOOKUP(D66,ingredientes!B:B,ingredientes!A:A,"não")</f>
        <v>52</v>
      </c>
      <c r="D66" s="30" t="s">
        <v>614</v>
      </c>
      <c r="E66" s="10">
        <v>50</v>
      </c>
      <c r="H66">
        <f t="shared" si="13"/>
        <v>89</v>
      </c>
      <c r="I66">
        <f t="shared" si="11"/>
        <v>52</v>
      </c>
      <c r="J66">
        <f t="shared" si="12"/>
        <v>50</v>
      </c>
      <c r="K66">
        <f t="shared" si="14"/>
        <v>141</v>
      </c>
      <c r="M66">
        <v>89</v>
      </c>
      <c r="N66">
        <v>52</v>
      </c>
      <c r="O66">
        <v>50</v>
      </c>
      <c r="Q66" t="b">
        <f t="shared" si="8"/>
        <v>1</v>
      </c>
      <c r="R66" t="b">
        <f t="shared" si="9"/>
        <v>1</v>
      </c>
      <c r="S66" t="b">
        <f t="shared" si="10"/>
        <v>1</v>
      </c>
    </row>
    <row r="67" spans="1:19" x14ac:dyDescent="0.2">
      <c r="A67" s="106">
        <f>_xlfn.XLOOKUP(B67,pratos!B:B,pratos!A:A,"não")</f>
        <v>90</v>
      </c>
      <c r="B67" s="111" t="s">
        <v>65</v>
      </c>
      <c r="C67" s="105">
        <f>_xlfn.XLOOKUP(D67,ingredientes!B:B,ingredientes!A:A,"não")</f>
        <v>58</v>
      </c>
      <c r="D67" s="30" t="s">
        <v>618</v>
      </c>
      <c r="E67" s="19">
        <v>100</v>
      </c>
      <c r="H67">
        <f t="shared" si="13"/>
        <v>90</v>
      </c>
      <c r="I67">
        <f t="shared" si="11"/>
        <v>58</v>
      </c>
      <c r="J67">
        <f t="shared" si="12"/>
        <v>100</v>
      </c>
      <c r="K67">
        <f t="shared" si="14"/>
        <v>148</v>
      </c>
      <c r="M67">
        <v>90</v>
      </c>
      <c r="N67">
        <v>58</v>
      </c>
      <c r="O67">
        <v>100</v>
      </c>
      <c r="Q67" t="b">
        <f t="shared" si="8"/>
        <v>1</v>
      </c>
      <c r="R67" t="b">
        <f t="shared" si="9"/>
        <v>1</v>
      </c>
      <c r="S67" t="b">
        <f t="shared" si="10"/>
        <v>1</v>
      </c>
    </row>
    <row r="68" spans="1:19" x14ac:dyDescent="0.2">
      <c r="A68" s="106">
        <f>_xlfn.XLOOKUP(B68,pratos!B:B,pratos!A:A,"não")</f>
        <v>91</v>
      </c>
      <c r="B68" s="111" t="s">
        <v>317</v>
      </c>
      <c r="C68" s="105">
        <f>_xlfn.XLOOKUP(D68,ingredientes!B:B,ingredientes!A:A,"não")</f>
        <v>58</v>
      </c>
      <c r="D68" s="30" t="s">
        <v>618</v>
      </c>
      <c r="E68" s="10">
        <v>50</v>
      </c>
      <c r="H68">
        <f t="shared" si="13"/>
        <v>91</v>
      </c>
      <c r="I68">
        <f t="shared" si="11"/>
        <v>58</v>
      </c>
      <c r="J68">
        <f t="shared" si="12"/>
        <v>50</v>
      </c>
      <c r="K68">
        <f t="shared" si="14"/>
        <v>149</v>
      </c>
      <c r="M68">
        <v>91</v>
      </c>
      <c r="N68">
        <v>58</v>
      </c>
      <c r="O68">
        <v>50</v>
      </c>
      <c r="Q68" t="b">
        <f t="shared" si="8"/>
        <v>1</v>
      </c>
      <c r="R68" t="b">
        <f t="shared" si="9"/>
        <v>1</v>
      </c>
      <c r="S68" t="b">
        <f t="shared" si="10"/>
        <v>1</v>
      </c>
    </row>
    <row r="69" spans="1:19" x14ac:dyDescent="0.2">
      <c r="A69" s="106">
        <f>_xlfn.XLOOKUP(B69,pratos!B:B,pratos!A:A,"não")</f>
        <v>91</v>
      </c>
      <c r="B69" s="111" t="s">
        <v>317</v>
      </c>
      <c r="C69" s="105">
        <f>_xlfn.XLOOKUP(D69,ingredientes!B:B,ingredientes!A:A,"não")</f>
        <v>96</v>
      </c>
      <c r="D69" s="30" t="s">
        <v>641</v>
      </c>
      <c r="E69" s="10">
        <v>50</v>
      </c>
      <c r="H69">
        <f t="shared" si="13"/>
        <v>91</v>
      </c>
      <c r="I69">
        <f t="shared" si="11"/>
        <v>96</v>
      </c>
      <c r="J69">
        <f t="shared" si="12"/>
        <v>50</v>
      </c>
      <c r="K69">
        <f t="shared" si="14"/>
        <v>187</v>
      </c>
      <c r="M69">
        <v>91</v>
      </c>
      <c r="N69">
        <v>96</v>
      </c>
      <c r="O69">
        <v>50</v>
      </c>
      <c r="Q69" t="b">
        <f t="shared" si="8"/>
        <v>1</v>
      </c>
      <c r="R69" t="b">
        <f t="shared" si="9"/>
        <v>1</v>
      </c>
      <c r="S69" t="b">
        <f t="shared" si="10"/>
        <v>1</v>
      </c>
    </row>
    <row r="70" spans="1:19" x14ac:dyDescent="0.2">
      <c r="A70" s="106">
        <f>_xlfn.XLOOKUP(B70,pratos!B:B,pratos!A:A,"não")</f>
        <v>92</v>
      </c>
      <c r="B70" s="52" t="s">
        <v>476</v>
      </c>
      <c r="C70" s="105">
        <f>_xlfn.XLOOKUP(D70,ingredientes!B:B,ingredientes!A:A,"não")</f>
        <v>56</v>
      </c>
      <c r="D70" s="30" t="s">
        <v>616</v>
      </c>
      <c r="E70" s="10">
        <v>100</v>
      </c>
      <c r="H70">
        <f t="shared" si="13"/>
        <v>92</v>
      </c>
      <c r="I70">
        <f t="shared" si="11"/>
        <v>56</v>
      </c>
      <c r="J70">
        <f t="shared" si="12"/>
        <v>100</v>
      </c>
      <c r="K70">
        <f t="shared" si="14"/>
        <v>148</v>
      </c>
      <c r="M70">
        <v>92</v>
      </c>
      <c r="N70">
        <v>56</v>
      </c>
      <c r="O70">
        <v>100</v>
      </c>
      <c r="Q70" t="b">
        <f t="shared" si="8"/>
        <v>1</v>
      </c>
      <c r="R70" t="b">
        <f t="shared" si="9"/>
        <v>1</v>
      </c>
      <c r="S70" t="b">
        <f t="shared" si="10"/>
        <v>1</v>
      </c>
    </row>
    <row r="71" spans="1:19" x14ac:dyDescent="0.2">
      <c r="A71" s="106">
        <f>_xlfn.XLOOKUP(B71,pratos!B:B,pratos!A:A,"não")</f>
        <v>92</v>
      </c>
      <c r="B71" s="52" t="s">
        <v>476</v>
      </c>
      <c r="C71" s="105">
        <f>_xlfn.XLOOKUP(D71,ingredientes!B:B,ingredientes!A:A,"não")</f>
        <v>199</v>
      </c>
      <c r="D71" s="62" t="s">
        <v>95</v>
      </c>
      <c r="E71" s="32">
        <v>5</v>
      </c>
      <c r="H71">
        <f t="shared" si="13"/>
        <v>92</v>
      </c>
      <c r="I71">
        <f t="shared" si="11"/>
        <v>199</v>
      </c>
      <c r="J71">
        <f t="shared" si="12"/>
        <v>5</v>
      </c>
      <c r="K71">
        <f t="shared" si="14"/>
        <v>291</v>
      </c>
      <c r="M71">
        <v>92</v>
      </c>
      <c r="N71">
        <v>199</v>
      </c>
      <c r="O71">
        <v>5</v>
      </c>
      <c r="Q71" t="b">
        <f t="shared" si="8"/>
        <v>1</v>
      </c>
      <c r="R71" t="b">
        <f t="shared" si="9"/>
        <v>1</v>
      </c>
      <c r="S71" t="b">
        <f t="shared" si="10"/>
        <v>1</v>
      </c>
    </row>
    <row r="72" spans="1:19" x14ac:dyDescent="0.2">
      <c r="A72" s="106">
        <f>_xlfn.XLOOKUP(B72,pratos!B:B,pratos!A:A,"não")</f>
        <v>93</v>
      </c>
      <c r="B72" s="52" t="s">
        <v>493</v>
      </c>
      <c r="C72" s="105">
        <f>_xlfn.XLOOKUP(D72,ingredientes!B:B,ingredientes!A:A,"não")</f>
        <v>57</v>
      </c>
      <c r="D72" s="9" t="s">
        <v>493</v>
      </c>
      <c r="E72" s="10">
        <v>100</v>
      </c>
      <c r="H72">
        <f t="shared" si="13"/>
        <v>93</v>
      </c>
      <c r="I72">
        <f t="shared" si="11"/>
        <v>57</v>
      </c>
      <c r="J72">
        <f t="shared" si="12"/>
        <v>100</v>
      </c>
      <c r="K72">
        <f t="shared" si="14"/>
        <v>150</v>
      </c>
      <c r="M72">
        <v>93</v>
      </c>
      <c r="N72">
        <v>57</v>
      </c>
      <c r="O72">
        <v>100</v>
      </c>
      <c r="Q72" t="b">
        <f t="shared" si="8"/>
        <v>1</v>
      </c>
      <c r="R72" t="b">
        <f t="shared" si="9"/>
        <v>1</v>
      </c>
      <c r="S72" t="b">
        <f t="shared" si="10"/>
        <v>1</v>
      </c>
    </row>
    <row r="73" spans="1:19" x14ac:dyDescent="0.2">
      <c r="A73" s="106">
        <f>_xlfn.XLOOKUP(B73,pratos!B:B,pratos!A:A,"não")</f>
        <v>94</v>
      </c>
      <c r="B73" s="109" t="s">
        <v>140</v>
      </c>
      <c r="C73" s="105">
        <f>_xlfn.XLOOKUP(D73,ingredientes!B:B,ingredientes!A:A,"não")</f>
        <v>58</v>
      </c>
      <c r="D73" s="30" t="s">
        <v>618</v>
      </c>
      <c r="E73" s="10">
        <v>100</v>
      </c>
      <c r="H73">
        <f t="shared" si="13"/>
        <v>94</v>
      </c>
      <c r="I73">
        <f t="shared" si="11"/>
        <v>58</v>
      </c>
      <c r="J73">
        <f t="shared" si="12"/>
        <v>100</v>
      </c>
      <c r="K73">
        <f t="shared" si="14"/>
        <v>152</v>
      </c>
      <c r="M73">
        <v>94</v>
      </c>
      <c r="N73">
        <v>58</v>
      </c>
      <c r="O73">
        <v>100</v>
      </c>
      <c r="Q73" t="b">
        <f t="shared" si="8"/>
        <v>1</v>
      </c>
      <c r="R73" t="b">
        <f t="shared" si="9"/>
        <v>1</v>
      </c>
      <c r="S73" t="b">
        <f t="shared" si="10"/>
        <v>1</v>
      </c>
    </row>
    <row r="74" spans="1:19" x14ac:dyDescent="0.2">
      <c r="A74" s="106">
        <f>_xlfn.XLOOKUP(B74,pratos!B:B,pratos!A:A,"não")</f>
        <v>94</v>
      </c>
      <c r="B74" s="109" t="s">
        <v>140</v>
      </c>
      <c r="C74" s="105">
        <f>_xlfn.XLOOKUP(D74,ingredientes!B:B,ingredientes!A:A,"não")</f>
        <v>205</v>
      </c>
      <c r="D74" s="9" t="s">
        <v>141</v>
      </c>
      <c r="E74" s="10">
        <v>50</v>
      </c>
      <c r="H74">
        <f t="shared" si="13"/>
        <v>94</v>
      </c>
      <c r="I74">
        <f t="shared" si="11"/>
        <v>205</v>
      </c>
      <c r="J74">
        <f t="shared" si="12"/>
        <v>50</v>
      </c>
      <c r="K74">
        <f t="shared" si="14"/>
        <v>299</v>
      </c>
      <c r="M74">
        <v>94</v>
      </c>
      <c r="N74">
        <v>205</v>
      </c>
      <c r="O74">
        <v>50</v>
      </c>
      <c r="Q74" t="b">
        <f t="shared" si="8"/>
        <v>1</v>
      </c>
      <c r="R74" t="b">
        <f t="shared" si="9"/>
        <v>1</v>
      </c>
      <c r="S74" t="b">
        <f t="shared" si="10"/>
        <v>1</v>
      </c>
    </row>
    <row r="75" spans="1:19" x14ac:dyDescent="0.2">
      <c r="A75" s="106">
        <f>_xlfn.XLOOKUP(B75,pratos!B:B,pratos!A:A,"não")</f>
        <v>94</v>
      </c>
      <c r="B75" s="109" t="s">
        <v>140</v>
      </c>
      <c r="C75" s="105">
        <f>_xlfn.XLOOKUP(D75,ingredientes!B:B,ingredientes!A:A,"não")</f>
        <v>277</v>
      </c>
      <c r="D75" s="40" t="s">
        <v>29</v>
      </c>
      <c r="E75" s="10">
        <v>10</v>
      </c>
      <c r="H75">
        <f t="shared" si="13"/>
        <v>94</v>
      </c>
      <c r="I75">
        <f t="shared" si="11"/>
        <v>277</v>
      </c>
      <c r="J75">
        <f t="shared" si="12"/>
        <v>10</v>
      </c>
      <c r="K75">
        <f t="shared" si="14"/>
        <v>371</v>
      </c>
      <c r="M75">
        <v>94</v>
      </c>
      <c r="N75">
        <v>277</v>
      </c>
      <c r="O75">
        <v>10</v>
      </c>
      <c r="Q75" t="b">
        <f t="shared" si="8"/>
        <v>1</v>
      </c>
      <c r="R75" t="b">
        <f t="shared" si="9"/>
        <v>1</v>
      </c>
      <c r="S75" t="b">
        <f t="shared" si="10"/>
        <v>1</v>
      </c>
    </row>
    <row r="76" spans="1:19" x14ac:dyDescent="0.2">
      <c r="A76" s="106">
        <f>_xlfn.XLOOKUP(B76,pratos!B:B,pratos!A:A,"não")</f>
        <v>95</v>
      </c>
      <c r="B76" s="109" t="s">
        <v>159</v>
      </c>
      <c r="C76" s="105">
        <f>_xlfn.XLOOKUP(D76,ingredientes!B:B,ingredientes!A:A,"não")</f>
        <v>60</v>
      </c>
      <c r="D76" t="s">
        <v>620</v>
      </c>
      <c r="E76" s="10">
        <v>100</v>
      </c>
      <c r="H76">
        <f t="shared" si="13"/>
        <v>95</v>
      </c>
      <c r="I76">
        <f t="shared" si="11"/>
        <v>60</v>
      </c>
      <c r="J76">
        <f t="shared" si="12"/>
        <v>100</v>
      </c>
      <c r="K76">
        <f t="shared" si="14"/>
        <v>155</v>
      </c>
      <c r="M76">
        <v>95</v>
      </c>
      <c r="N76">
        <v>60</v>
      </c>
      <c r="O76">
        <v>100</v>
      </c>
      <c r="Q76" t="b">
        <f t="shared" si="8"/>
        <v>1</v>
      </c>
      <c r="R76" t="b">
        <f t="shared" si="9"/>
        <v>1</v>
      </c>
      <c r="S76" t="b">
        <f t="shared" si="10"/>
        <v>1</v>
      </c>
    </row>
    <row r="77" spans="1:19" x14ac:dyDescent="0.2">
      <c r="A77" s="106">
        <f>_xlfn.XLOOKUP(B77,pratos!B:B,pratos!A:A,"não")</f>
        <v>96</v>
      </c>
      <c r="B77" s="111" t="s">
        <v>350</v>
      </c>
      <c r="C77" s="105">
        <f>_xlfn.XLOOKUP(D77,ingredientes!B:B,ingredientes!A:A,"não")</f>
        <v>58</v>
      </c>
      <c r="D77" t="s">
        <v>618</v>
      </c>
      <c r="E77" s="19">
        <v>40</v>
      </c>
      <c r="H77">
        <f t="shared" si="13"/>
        <v>96</v>
      </c>
      <c r="I77">
        <f t="shared" si="11"/>
        <v>58</v>
      </c>
      <c r="J77">
        <f t="shared" si="12"/>
        <v>40</v>
      </c>
      <c r="K77">
        <f t="shared" si="14"/>
        <v>154</v>
      </c>
      <c r="M77">
        <v>96</v>
      </c>
      <c r="N77">
        <v>58</v>
      </c>
      <c r="O77">
        <v>40</v>
      </c>
      <c r="Q77" t="b">
        <f t="shared" si="8"/>
        <v>1</v>
      </c>
      <c r="R77" t="b">
        <f t="shared" si="9"/>
        <v>1</v>
      </c>
      <c r="S77" t="b">
        <f t="shared" si="10"/>
        <v>1</v>
      </c>
    </row>
    <row r="78" spans="1:19" x14ac:dyDescent="0.2">
      <c r="A78" s="106">
        <f>_xlfn.XLOOKUP(B78,pratos!B:B,pratos!A:A,"não")</f>
        <v>96</v>
      </c>
      <c r="B78" s="111" t="s">
        <v>350</v>
      </c>
      <c r="C78" s="105">
        <f>_xlfn.XLOOKUP(D78,ingredientes!B:B,ingredientes!A:A,"não")</f>
        <v>96</v>
      </c>
      <c r="D78" t="s">
        <v>641</v>
      </c>
      <c r="E78" s="10">
        <v>30</v>
      </c>
      <c r="H78">
        <f t="shared" si="13"/>
        <v>96</v>
      </c>
      <c r="I78">
        <f t="shared" si="11"/>
        <v>96</v>
      </c>
      <c r="J78">
        <f t="shared" si="12"/>
        <v>30</v>
      </c>
      <c r="K78">
        <f t="shared" si="14"/>
        <v>192</v>
      </c>
      <c r="M78">
        <v>96</v>
      </c>
      <c r="N78">
        <v>96</v>
      </c>
      <c r="O78">
        <v>30</v>
      </c>
      <c r="Q78" t="b">
        <f t="shared" si="8"/>
        <v>1</v>
      </c>
      <c r="R78" t="b">
        <f t="shared" si="9"/>
        <v>1</v>
      </c>
      <c r="S78" t="b">
        <f t="shared" si="10"/>
        <v>1</v>
      </c>
    </row>
    <row r="79" spans="1:19" x14ac:dyDescent="0.2">
      <c r="A79" s="106">
        <f>_xlfn.XLOOKUP(B79,pratos!B:B,pratos!A:A,"não")</f>
        <v>96</v>
      </c>
      <c r="B79" s="111" t="s">
        <v>350</v>
      </c>
      <c r="C79" s="105">
        <f>_xlfn.XLOOKUP(D79,ingredientes!B:B,ingredientes!A:A,"não")</f>
        <v>320</v>
      </c>
      <c r="D79" t="s">
        <v>705</v>
      </c>
      <c r="E79" s="17">
        <v>40</v>
      </c>
      <c r="H79">
        <f t="shared" si="13"/>
        <v>96</v>
      </c>
      <c r="I79">
        <f t="shared" si="11"/>
        <v>320</v>
      </c>
      <c r="J79">
        <f t="shared" si="12"/>
        <v>40</v>
      </c>
      <c r="K79">
        <f t="shared" si="14"/>
        <v>416</v>
      </c>
      <c r="M79">
        <v>96</v>
      </c>
      <c r="N79">
        <v>320</v>
      </c>
      <c r="O79">
        <v>40</v>
      </c>
      <c r="Q79" t="b">
        <f t="shared" ref="Q79:Q142" si="15">EXACT(H79,M79)</f>
        <v>1</v>
      </c>
      <c r="R79" t="b">
        <f t="shared" ref="R79:R142" si="16">EXACT(I79,N79)</f>
        <v>1</v>
      </c>
      <c r="S79" t="b">
        <f t="shared" ref="S79:S142" si="17">EXACT(J79,O79)</f>
        <v>1</v>
      </c>
    </row>
    <row r="80" spans="1:19" x14ac:dyDescent="0.2">
      <c r="A80" s="106">
        <f>_xlfn.XLOOKUP(B80,pratos!B:B,pratos!A:A,"não")</f>
        <v>97</v>
      </c>
      <c r="B80" s="116" t="s">
        <v>525</v>
      </c>
      <c r="C80" s="105">
        <f>_xlfn.XLOOKUP(D80,ingredientes!B:B,ingredientes!A:A,"não")</f>
        <v>10</v>
      </c>
      <c r="D80" s="30" t="s">
        <v>600</v>
      </c>
      <c r="E80" s="17">
        <v>50</v>
      </c>
      <c r="H80">
        <f t="shared" si="13"/>
        <v>97</v>
      </c>
      <c r="I80">
        <f t="shared" si="11"/>
        <v>10</v>
      </c>
      <c r="J80">
        <f t="shared" si="12"/>
        <v>50</v>
      </c>
      <c r="K80">
        <f t="shared" si="14"/>
        <v>107</v>
      </c>
      <c r="M80">
        <v>97</v>
      </c>
      <c r="N80">
        <v>10</v>
      </c>
      <c r="O80">
        <v>50</v>
      </c>
      <c r="Q80" t="b">
        <f t="shared" si="15"/>
        <v>1</v>
      </c>
      <c r="R80" t="b">
        <f t="shared" si="16"/>
        <v>1</v>
      </c>
      <c r="S80" t="b">
        <f t="shared" si="17"/>
        <v>1</v>
      </c>
    </row>
    <row r="81" spans="1:19" x14ac:dyDescent="0.2">
      <c r="A81" s="106">
        <f>_xlfn.XLOOKUP(B81,pratos!B:B,pratos!A:A,"não")</f>
        <v>97</v>
      </c>
      <c r="B81" s="116" t="s">
        <v>525</v>
      </c>
      <c r="C81" s="105">
        <f>_xlfn.XLOOKUP(D81,ingredientes!B:B,ingredientes!A:A,"não")</f>
        <v>63</v>
      </c>
      <c r="D81" s="30" t="s">
        <v>622</v>
      </c>
      <c r="E81" s="93">
        <v>50</v>
      </c>
      <c r="H81">
        <f t="shared" si="13"/>
        <v>97</v>
      </c>
      <c r="I81">
        <f t="shared" ref="I81:I120" si="18">C81</f>
        <v>63</v>
      </c>
      <c r="J81">
        <f t="shared" ref="J81:J120" si="19">E81</f>
        <v>50</v>
      </c>
      <c r="K81">
        <f t="shared" si="14"/>
        <v>160</v>
      </c>
      <c r="M81">
        <v>97</v>
      </c>
      <c r="N81">
        <v>63</v>
      </c>
      <c r="O81">
        <v>50</v>
      </c>
      <c r="Q81" t="b">
        <f t="shared" si="15"/>
        <v>1</v>
      </c>
      <c r="R81" t="b">
        <f t="shared" si="16"/>
        <v>1</v>
      </c>
      <c r="S81" t="b">
        <f t="shared" si="17"/>
        <v>1</v>
      </c>
    </row>
    <row r="82" spans="1:19" x14ac:dyDescent="0.2">
      <c r="A82" s="106">
        <f>_xlfn.XLOOKUP(B82,pratos!B:B,pratos!A:A,"não")</f>
        <v>98</v>
      </c>
      <c r="B82" s="116" t="s">
        <v>516</v>
      </c>
      <c r="C82" s="105">
        <f>_xlfn.XLOOKUP(D82,ingredientes!B:B,ingredientes!A:A,"não")</f>
        <v>10</v>
      </c>
      <c r="D82" s="30" t="s">
        <v>600</v>
      </c>
      <c r="E82" s="87">
        <v>50</v>
      </c>
      <c r="H82">
        <f t="shared" si="13"/>
        <v>98</v>
      </c>
      <c r="I82">
        <f t="shared" si="18"/>
        <v>10</v>
      </c>
      <c r="J82">
        <f t="shared" si="19"/>
        <v>50</v>
      </c>
      <c r="K82">
        <f t="shared" si="14"/>
        <v>108</v>
      </c>
      <c r="M82">
        <v>98</v>
      </c>
      <c r="N82">
        <v>10</v>
      </c>
      <c r="O82">
        <v>50</v>
      </c>
      <c r="Q82" t="b">
        <f t="shared" si="15"/>
        <v>1</v>
      </c>
      <c r="R82" t="b">
        <f t="shared" si="16"/>
        <v>1</v>
      </c>
      <c r="S82" t="b">
        <f t="shared" si="17"/>
        <v>1</v>
      </c>
    </row>
    <row r="83" spans="1:19" x14ac:dyDescent="0.2">
      <c r="A83" s="106">
        <f>_xlfn.XLOOKUP(B83,pratos!B:B,pratos!A:A,"não")</f>
        <v>98</v>
      </c>
      <c r="B83" s="116" t="s">
        <v>516</v>
      </c>
      <c r="C83" s="105">
        <f>_xlfn.XLOOKUP(D83,ingredientes!B:B,ingredientes!A:A,"não")</f>
        <v>63</v>
      </c>
      <c r="D83" s="30" t="s">
        <v>622</v>
      </c>
      <c r="E83" s="87">
        <v>50</v>
      </c>
      <c r="H83">
        <f t="shared" ref="H83:H122" si="20">A83</f>
        <v>98</v>
      </c>
      <c r="I83">
        <f t="shared" si="18"/>
        <v>63</v>
      </c>
      <c r="J83">
        <f t="shared" si="19"/>
        <v>50</v>
      </c>
      <c r="K83">
        <f t="shared" si="14"/>
        <v>161</v>
      </c>
      <c r="M83">
        <v>98</v>
      </c>
      <c r="N83">
        <v>63</v>
      </c>
      <c r="O83">
        <v>50</v>
      </c>
      <c r="Q83" t="b">
        <f t="shared" si="15"/>
        <v>1</v>
      </c>
      <c r="R83" t="b">
        <f t="shared" si="16"/>
        <v>1</v>
      </c>
      <c r="S83" t="b">
        <f t="shared" si="17"/>
        <v>1</v>
      </c>
    </row>
    <row r="84" spans="1:19" x14ac:dyDescent="0.2">
      <c r="A84" s="106">
        <f>_xlfn.XLOOKUP(B84,pratos!B:B,pratos!A:A,"não")</f>
        <v>99</v>
      </c>
      <c r="B84" s="109" t="s">
        <v>540</v>
      </c>
      <c r="C84" s="105">
        <f>_xlfn.XLOOKUP(D84,ingredientes!B:B,ingredientes!A:A,"não")</f>
        <v>63</v>
      </c>
      <c r="D84" s="30" t="s">
        <v>622</v>
      </c>
      <c r="E84" s="10">
        <v>50</v>
      </c>
      <c r="H84">
        <f t="shared" si="20"/>
        <v>99</v>
      </c>
      <c r="I84">
        <f t="shared" si="18"/>
        <v>63</v>
      </c>
      <c r="J84">
        <f t="shared" si="19"/>
        <v>50</v>
      </c>
      <c r="K84">
        <f t="shared" ref="K84:K123" si="21">H84+I84</f>
        <v>162</v>
      </c>
      <c r="M84">
        <v>99</v>
      </c>
      <c r="N84">
        <v>63</v>
      </c>
      <c r="O84">
        <v>50</v>
      </c>
      <c r="Q84" t="b">
        <f t="shared" si="15"/>
        <v>1</v>
      </c>
      <c r="R84" t="b">
        <f t="shared" si="16"/>
        <v>1</v>
      </c>
      <c r="S84" t="b">
        <f t="shared" si="17"/>
        <v>1</v>
      </c>
    </row>
    <row r="85" spans="1:19" x14ac:dyDescent="0.2">
      <c r="A85" s="106">
        <f>_xlfn.XLOOKUP(B85,pratos!B:B,pratos!A:A,"não")</f>
        <v>99</v>
      </c>
      <c r="B85" s="112" t="s">
        <v>540</v>
      </c>
      <c r="C85" s="105">
        <f>_xlfn.XLOOKUP(D85,ingredientes!B:B,ingredientes!A:A,"não")</f>
        <v>106</v>
      </c>
      <c r="D85" s="30" t="s">
        <v>645</v>
      </c>
      <c r="E85" s="17">
        <v>45</v>
      </c>
      <c r="H85">
        <f t="shared" si="20"/>
        <v>99</v>
      </c>
      <c r="I85">
        <f t="shared" si="18"/>
        <v>106</v>
      </c>
      <c r="J85">
        <f t="shared" si="19"/>
        <v>45</v>
      </c>
      <c r="K85">
        <f t="shared" si="21"/>
        <v>205</v>
      </c>
      <c r="M85">
        <v>99</v>
      </c>
      <c r="N85">
        <v>106</v>
      </c>
      <c r="O85">
        <v>45</v>
      </c>
      <c r="Q85" t="b">
        <f t="shared" si="15"/>
        <v>1</v>
      </c>
      <c r="R85" t="b">
        <f t="shared" si="16"/>
        <v>1</v>
      </c>
      <c r="S85" t="b">
        <f t="shared" si="17"/>
        <v>1</v>
      </c>
    </row>
    <row r="86" spans="1:19" x14ac:dyDescent="0.2">
      <c r="A86" s="106">
        <f>_xlfn.XLOOKUP(B86,pratos!B:B,pratos!A:A,"não")</f>
        <v>99</v>
      </c>
      <c r="B86" s="109" t="s">
        <v>540</v>
      </c>
      <c r="C86" s="105">
        <f>_xlfn.XLOOKUP(D86,ingredientes!B:B,ingredientes!A:A,"não")</f>
        <v>253</v>
      </c>
      <c r="D86" s="38" t="s">
        <v>314</v>
      </c>
      <c r="E86" s="10">
        <v>10</v>
      </c>
      <c r="H86">
        <f t="shared" si="20"/>
        <v>99</v>
      </c>
      <c r="I86">
        <f t="shared" si="18"/>
        <v>253</v>
      </c>
      <c r="J86">
        <f t="shared" si="19"/>
        <v>10</v>
      </c>
      <c r="K86">
        <f t="shared" si="21"/>
        <v>352</v>
      </c>
      <c r="M86">
        <v>99</v>
      </c>
      <c r="N86">
        <v>253</v>
      </c>
      <c r="O86">
        <v>10</v>
      </c>
      <c r="Q86" t="b">
        <f t="shared" si="15"/>
        <v>1</v>
      </c>
      <c r="R86" t="b">
        <f t="shared" si="16"/>
        <v>1</v>
      </c>
      <c r="S86" t="b">
        <f t="shared" si="17"/>
        <v>1</v>
      </c>
    </row>
    <row r="87" spans="1:19" x14ac:dyDescent="0.2">
      <c r="A87" s="106">
        <f>_xlfn.XLOOKUP(B87,pratos!B:B,pratos!A:A,"não")</f>
        <v>100</v>
      </c>
      <c r="B87" s="111" t="s">
        <v>271</v>
      </c>
      <c r="C87" s="105">
        <f>_xlfn.XLOOKUP(D87,ingredientes!B:B,ingredientes!A:A,"não")</f>
        <v>64</v>
      </c>
      <c r="D87" t="s">
        <v>624</v>
      </c>
      <c r="E87" s="10">
        <v>100</v>
      </c>
      <c r="H87">
        <f t="shared" si="20"/>
        <v>100</v>
      </c>
      <c r="I87">
        <f t="shared" si="18"/>
        <v>64</v>
      </c>
      <c r="J87">
        <f t="shared" si="19"/>
        <v>100</v>
      </c>
      <c r="K87">
        <f t="shared" si="21"/>
        <v>164</v>
      </c>
      <c r="M87">
        <v>100</v>
      </c>
      <c r="N87">
        <v>64</v>
      </c>
      <c r="O87">
        <v>100</v>
      </c>
      <c r="Q87" t="b">
        <f t="shared" si="15"/>
        <v>1</v>
      </c>
      <c r="R87" t="b">
        <f t="shared" si="16"/>
        <v>1</v>
      </c>
      <c r="S87" t="b">
        <f t="shared" si="17"/>
        <v>1</v>
      </c>
    </row>
    <row r="88" spans="1:19" x14ac:dyDescent="0.2">
      <c r="A88" s="106">
        <f>_xlfn.XLOOKUP(B88,pratos!B:B,pratos!A:A,"não")</f>
        <v>101</v>
      </c>
      <c r="B88" s="123" t="s">
        <v>385</v>
      </c>
      <c r="C88" s="105">
        <f>_xlfn.XLOOKUP(D88,ingredientes!B:B,ingredientes!A:A,"não")</f>
        <v>3</v>
      </c>
      <c r="D88" t="s">
        <v>604</v>
      </c>
      <c r="E88" s="10">
        <v>50</v>
      </c>
      <c r="H88">
        <f t="shared" si="20"/>
        <v>101</v>
      </c>
      <c r="I88">
        <f t="shared" si="18"/>
        <v>3</v>
      </c>
      <c r="J88">
        <f t="shared" si="19"/>
        <v>50</v>
      </c>
      <c r="K88">
        <f t="shared" si="21"/>
        <v>104</v>
      </c>
      <c r="M88">
        <v>101</v>
      </c>
      <c r="N88">
        <v>3</v>
      </c>
      <c r="O88">
        <v>50</v>
      </c>
      <c r="Q88" t="b">
        <f t="shared" si="15"/>
        <v>1</v>
      </c>
      <c r="R88" t="b">
        <f t="shared" si="16"/>
        <v>1</v>
      </c>
      <c r="S88" t="b">
        <f t="shared" si="17"/>
        <v>1</v>
      </c>
    </row>
    <row r="89" spans="1:19" x14ac:dyDescent="0.2">
      <c r="A89" s="106">
        <f>_xlfn.XLOOKUP(B89,pratos!B:B,pratos!A:A,"não")</f>
        <v>101</v>
      </c>
      <c r="B89" s="123" t="s">
        <v>385</v>
      </c>
      <c r="C89" s="105">
        <f>_xlfn.XLOOKUP(D89,ingredientes!B:B,ingredientes!A:A,"não")</f>
        <v>64</v>
      </c>
      <c r="D89" t="s">
        <v>624</v>
      </c>
      <c r="E89" s="10">
        <v>50</v>
      </c>
      <c r="H89">
        <f t="shared" si="20"/>
        <v>101</v>
      </c>
      <c r="I89">
        <f t="shared" si="18"/>
        <v>64</v>
      </c>
      <c r="J89">
        <f t="shared" si="19"/>
        <v>50</v>
      </c>
      <c r="K89">
        <f t="shared" si="21"/>
        <v>165</v>
      </c>
      <c r="M89">
        <v>101</v>
      </c>
      <c r="N89">
        <v>64</v>
      </c>
      <c r="O89">
        <v>50</v>
      </c>
      <c r="Q89" t="b">
        <f t="shared" si="15"/>
        <v>1</v>
      </c>
      <c r="R89" t="b">
        <f t="shared" si="16"/>
        <v>1</v>
      </c>
      <c r="S89" t="b">
        <f t="shared" si="17"/>
        <v>1</v>
      </c>
    </row>
    <row r="90" spans="1:19" x14ac:dyDescent="0.2">
      <c r="A90" s="106">
        <f>_xlfn.XLOOKUP(B90,pratos!B:B,pratos!A:A,"não")</f>
        <v>102</v>
      </c>
      <c r="B90" s="123" t="s">
        <v>378</v>
      </c>
      <c r="C90" s="105">
        <f>_xlfn.XLOOKUP(D90,ingredientes!B:B,ingredientes!A:A,"não")</f>
        <v>64</v>
      </c>
      <c r="D90" t="s">
        <v>624</v>
      </c>
      <c r="E90" s="10">
        <v>50</v>
      </c>
      <c r="H90">
        <f t="shared" si="20"/>
        <v>102</v>
      </c>
      <c r="I90">
        <f t="shared" si="18"/>
        <v>64</v>
      </c>
      <c r="J90">
        <f t="shared" si="19"/>
        <v>50</v>
      </c>
      <c r="K90">
        <f t="shared" si="21"/>
        <v>166</v>
      </c>
      <c r="M90">
        <v>102</v>
      </c>
      <c r="N90">
        <v>64</v>
      </c>
      <c r="O90">
        <v>50</v>
      </c>
      <c r="Q90" t="b">
        <f t="shared" si="15"/>
        <v>1</v>
      </c>
      <c r="R90" t="b">
        <f t="shared" si="16"/>
        <v>1</v>
      </c>
      <c r="S90" t="b">
        <f t="shared" si="17"/>
        <v>1</v>
      </c>
    </row>
    <row r="91" spans="1:19" x14ac:dyDescent="0.2">
      <c r="A91" s="106">
        <f>_xlfn.XLOOKUP(B91,pratos!B:B,pratos!A:A,"não")</f>
        <v>102</v>
      </c>
      <c r="B91" s="123" t="s">
        <v>378</v>
      </c>
      <c r="C91" s="105">
        <f>_xlfn.XLOOKUP(D91,ingredientes!B:B,ingredientes!A:A,"não")</f>
        <v>320</v>
      </c>
      <c r="D91" t="s">
        <v>705</v>
      </c>
      <c r="E91" s="10">
        <v>50</v>
      </c>
      <c r="H91">
        <f t="shared" si="20"/>
        <v>102</v>
      </c>
      <c r="I91">
        <f t="shared" si="18"/>
        <v>320</v>
      </c>
      <c r="J91">
        <f t="shared" si="19"/>
        <v>50</v>
      </c>
      <c r="K91">
        <f t="shared" si="21"/>
        <v>422</v>
      </c>
      <c r="M91">
        <v>102</v>
      </c>
      <c r="N91">
        <v>320</v>
      </c>
      <c r="O91">
        <v>50</v>
      </c>
      <c r="Q91" t="b">
        <f t="shared" si="15"/>
        <v>1</v>
      </c>
      <c r="R91" t="b">
        <f t="shared" si="16"/>
        <v>1</v>
      </c>
      <c r="S91" t="b">
        <f t="shared" si="17"/>
        <v>1</v>
      </c>
    </row>
    <row r="92" spans="1:19" x14ac:dyDescent="0.2">
      <c r="A92" s="106">
        <f>_xlfn.XLOOKUP(B92,pratos!B:B,pratos!A:A,"não")</f>
        <v>103</v>
      </c>
      <c r="B92" s="109" t="s">
        <v>541</v>
      </c>
      <c r="C92" s="105">
        <f>_xlfn.XLOOKUP(D92,ingredientes!B:B,ingredientes!A:A,"não")</f>
        <v>44</v>
      </c>
      <c r="D92" s="143" t="s">
        <v>261</v>
      </c>
      <c r="E92" s="10">
        <v>5</v>
      </c>
      <c r="H92">
        <f t="shared" si="20"/>
        <v>103</v>
      </c>
      <c r="I92">
        <f t="shared" si="18"/>
        <v>44</v>
      </c>
      <c r="J92">
        <f t="shared" si="19"/>
        <v>5</v>
      </c>
      <c r="K92">
        <f t="shared" si="21"/>
        <v>147</v>
      </c>
      <c r="M92">
        <v>103</v>
      </c>
      <c r="N92">
        <v>44</v>
      </c>
      <c r="O92">
        <v>5</v>
      </c>
      <c r="Q92" t="b">
        <f t="shared" si="15"/>
        <v>1</v>
      </c>
      <c r="R92" t="b">
        <f t="shared" si="16"/>
        <v>1</v>
      </c>
      <c r="S92" t="b">
        <f t="shared" si="17"/>
        <v>1</v>
      </c>
    </row>
    <row r="93" spans="1:19" x14ac:dyDescent="0.2">
      <c r="A93" s="106">
        <f>_xlfn.XLOOKUP(B93,pratos!B:B,pratos!A:A,"não")</f>
        <v>103</v>
      </c>
      <c r="B93" s="109" t="s">
        <v>541</v>
      </c>
      <c r="C93" s="105">
        <f>_xlfn.XLOOKUP(D93,ingredientes!B:B,ingredientes!A:A,"não")</f>
        <v>88</v>
      </c>
      <c r="D93" t="s">
        <v>637</v>
      </c>
      <c r="E93" s="100">
        <v>120</v>
      </c>
      <c r="H93">
        <f t="shared" si="20"/>
        <v>103</v>
      </c>
      <c r="I93">
        <f t="shared" si="18"/>
        <v>88</v>
      </c>
      <c r="J93">
        <f t="shared" si="19"/>
        <v>120</v>
      </c>
      <c r="K93">
        <f t="shared" si="21"/>
        <v>191</v>
      </c>
      <c r="M93">
        <v>103</v>
      </c>
      <c r="N93">
        <v>88</v>
      </c>
      <c r="O93">
        <v>120</v>
      </c>
      <c r="Q93" t="b">
        <f t="shared" si="15"/>
        <v>1</v>
      </c>
      <c r="R93" t="b">
        <f t="shared" si="16"/>
        <v>1</v>
      </c>
      <c r="S93" t="b">
        <f t="shared" si="17"/>
        <v>1</v>
      </c>
    </row>
    <row r="94" spans="1:19" x14ac:dyDescent="0.2">
      <c r="A94" s="106">
        <f>_xlfn.XLOOKUP(B94,pratos!B:B,pratos!A:A,"não")</f>
        <v>104</v>
      </c>
      <c r="B94" s="52" t="s">
        <v>146</v>
      </c>
      <c r="C94" s="105">
        <f>_xlfn.XLOOKUP(D94,ingredientes!B:B,ingredientes!A:A,"não")</f>
        <v>84</v>
      </c>
      <c r="D94" t="s">
        <v>635</v>
      </c>
      <c r="E94" s="27">
        <v>72</v>
      </c>
      <c r="H94">
        <f t="shared" si="20"/>
        <v>104</v>
      </c>
      <c r="I94">
        <f t="shared" si="18"/>
        <v>84</v>
      </c>
      <c r="J94">
        <f t="shared" si="19"/>
        <v>72</v>
      </c>
      <c r="K94">
        <f t="shared" si="21"/>
        <v>188</v>
      </c>
      <c r="M94">
        <v>104</v>
      </c>
      <c r="N94">
        <v>84</v>
      </c>
      <c r="O94">
        <v>72</v>
      </c>
      <c r="Q94" t="b">
        <f t="shared" si="15"/>
        <v>1</v>
      </c>
      <c r="R94" t="b">
        <f t="shared" si="16"/>
        <v>1</v>
      </c>
      <c r="S94" t="b">
        <f t="shared" si="17"/>
        <v>1</v>
      </c>
    </row>
    <row r="95" spans="1:19" x14ac:dyDescent="0.2">
      <c r="A95" s="106">
        <f>_xlfn.XLOOKUP(B95,pratos!B:B,pratos!A:A,"não")</f>
        <v>104</v>
      </c>
      <c r="B95" s="52" t="s">
        <v>146</v>
      </c>
      <c r="C95" s="105">
        <f>_xlfn.XLOOKUP(D95,ingredientes!B:B,ingredientes!A:A,"não")</f>
        <v>91</v>
      </c>
      <c r="D95" s="147" t="s">
        <v>147</v>
      </c>
      <c r="E95" s="19">
        <v>11</v>
      </c>
      <c r="H95">
        <f t="shared" si="20"/>
        <v>104</v>
      </c>
      <c r="I95">
        <f t="shared" si="18"/>
        <v>91</v>
      </c>
      <c r="J95">
        <f t="shared" si="19"/>
        <v>11</v>
      </c>
      <c r="K95">
        <f t="shared" si="21"/>
        <v>195</v>
      </c>
      <c r="M95">
        <v>104</v>
      </c>
      <c r="N95">
        <v>91</v>
      </c>
      <c r="O95">
        <v>11</v>
      </c>
      <c r="Q95" t="b">
        <f t="shared" si="15"/>
        <v>1</v>
      </c>
      <c r="R95" t="b">
        <f t="shared" si="16"/>
        <v>1</v>
      </c>
      <c r="S95" t="b">
        <f t="shared" si="17"/>
        <v>1</v>
      </c>
    </row>
    <row r="96" spans="1:19" x14ac:dyDescent="0.2">
      <c r="A96" s="106">
        <f>_xlfn.XLOOKUP(B96,pratos!B:B,pratos!A:A,"não")</f>
        <v>104</v>
      </c>
      <c r="B96" s="52" t="s">
        <v>146</v>
      </c>
      <c r="C96" s="105">
        <f>_xlfn.XLOOKUP(D96,ingredientes!B:B,ingredientes!A:A,"não")</f>
        <v>137</v>
      </c>
      <c r="D96" s="11" t="s">
        <v>148</v>
      </c>
      <c r="E96" s="19">
        <v>4</v>
      </c>
      <c r="H96">
        <f t="shared" si="20"/>
        <v>104</v>
      </c>
      <c r="I96">
        <f t="shared" si="18"/>
        <v>137</v>
      </c>
      <c r="J96">
        <f t="shared" si="19"/>
        <v>4</v>
      </c>
      <c r="K96">
        <f t="shared" si="21"/>
        <v>241</v>
      </c>
      <c r="M96">
        <v>104</v>
      </c>
      <c r="N96">
        <v>137</v>
      </c>
      <c r="O96">
        <v>4</v>
      </c>
      <c r="Q96" t="b">
        <f t="shared" si="15"/>
        <v>1</v>
      </c>
      <c r="R96" t="b">
        <f t="shared" si="16"/>
        <v>1</v>
      </c>
      <c r="S96" t="b">
        <f t="shared" si="17"/>
        <v>1</v>
      </c>
    </row>
    <row r="97" spans="1:19" x14ac:dyDescent="0.2">
      <c r="A97" s="106">
        <f>_xlfn.XLOOKUP(B97,pratos!B:B,pratos!A:A,"não")</f>
        <v>104</v>
      </c>
      <c r="B97" s="52" t="s">
        <v>146</v>
      </c>
      <c r="C97" s="105">
        <f>_xlfn.XLOOKUP(D97,ingredientes!B:B,ingredientes!A:A,"não")</f>
        <v>221</v>
      </c>
      <c r="D97" s="11" t="s">
        <v>151</v>
      </c>
      <c r="E97" s="19">
        <v>10</v>
      </c>
      <c r="H97">
        <f t="shared" si="20"/>
        <v>104</v>
      </c>
      <c r="I97">
        <f t="shared" si="18"/>
        <v>221</v>
      </c>
      <c r="J97">
        <f t="shared" si="19"/>
        <v>10</v>
      </c>
      <c r="K97">
        <f t="shared" si="21"/>
        <v>325</v>
      </c>
      <c r="M97">
        <v>104</v>
      </c>
      <c r="N97">
        <v>221</v>
      </c>
      <c r="O97">
        <v>10</v>
      </c>
      <c r="Q97" t="b">
        <f t="shared" si="15"/>
        <v>1</v>
      </c>
      <c r="R97" t="b">
        <f t="shared" si="16"/>
        <v>1</v>
      </c>
      <c r="S97" t="b">
        <f t="shared" si="17"/>
        <v>1</v>
      </c>
    </row>
    <row r="98" spans="1:19" x14ac:dyDescent="0.2">
      <c r="A98" s="106">
        <f>_xlfn.XLOOKUP(B98,pratos!B:B,pratos!A:A,"não")</f>
        <v>104</v>
      </c>
      <c r="B98" s="52" t="s">
        <v>146</v>
      </c>
      <c r="C98" s="105">
        <f>_xlfn.XLOOKUP(D98,ingredientes!B:B,ingredientes!A:A,"não")</f>
        <v>222</v>
      </c>
      <c r="D98" s="11" t="s">
        <v>149</v>
      </c>
      <c r="E98" s="19">
        <v>10</v>
      </c>
      <c r="H98">
        <f t="shared" si="20"/>
        <v>104</v>
      </c>
      <c r="I98">
        <f t="shared" si="18"/>
        <v>222</v>
      </c>
      <c r="J98">
        <f t="shared" si="19"/>
        <v>10</v>
      </c>
      <c r="K98">
        <f t="shared" si="21"/>
        <v>326</v>
      </c>
      <c r="M98">
        <v>104</v>
      </c>
      <c r="N98">
        <v>222</v>
      </c>
      <c r="O98">
        <v>10</v>
      </c>
      <c r="Q98" t="b">
        <f t="shared" si="15"/>
        <v>1</v>
      </c>
      <c r="R98" t="b">
        <f t="shared" si="16"/>
        <v>1</v>
      </c>
      <c r="S98" t="b">
        <f t="shared" si="17"/>
        <v>1</v>
      </c>
    </row>
    <row r="99" spans="1:19" x14ac:dyDescent="0.2">
      <c r="A99" s="106">
        <f>_xlfn.XLOOKUP(B99,pratos!B:B,pratos!A:A,"não")</f>
        <v>104</v>
      </c>
      <c r="B99" s="52" t="s">
        <v>146</v>
      </c>
      <c r="C99" s="105">
        <f>_xlfn.XLOOKUP(D99,ingredientes!B:B,ingredientes!A:A,"não")</f>
        <v>229</v>
      </c>
      <c r="D99" s="11" t="s">
        <v>539</v>
      </c>
      <c r="E99" s="19">
        <v>4</v>
      </c>
      <c r="H99">
        <f t="shared" si="20"/>
        <v>104</v>
      </c>
      <c r="I99">
        <f t="shared" si="18"/>
        <v>229</v>
      </c>
      <c r="J99">
        <f t="shared" si="19"/>
        <v>4</v>
      </c>
      <c r="K99">
        <f t="shared" si="21"/>
        <v>333</v>
      </c>
      <c r="M99">
        <v>104</v>
      </c>
      <c r="N99">
        <v>229</v>
      </c>
      <c r="O99">
        <v>4</v>
      </c>
      <c r="Q99" t="b">
        <f t="shared" si="15"/>
        <v>1</v>
      </c>
      <c r="R99" t="b">
        <f t="shared" si="16"/>
        <v>1</v>
      </c>
      <c r="S99" t="b">
        <f t="shared" si="17"/>
        <v>1</v>
      </c>
    </row>
    <row r="100" spans="1:19" x14ac:dyDescent="0.2">
      <c r="A100" s="106">
        <f>_xlfn.XLOOKUP(B100,pratos!B:B,pratos!A:A,"não")</f>
        <v>104</v>
      </c>
      <c r="B100" s="52" t="s">
        <v>146</v>
      </c>
      <c r="C100" s="105">
        <f>_xlfn.XLOOKUP(D100,ingredientes!B:B,ingredientes!A:A,"não")</f>
        <v>310</v>
      </c>
      <c r="D100" s="11" t="s">
        <v>150</v>
      </c>
      <c r="E100" s="19">
        <v>6</v>
      </c>
      <c r="H100">
        <f t="shared" si="20"/>
        <v>104</v>
      </c>
      <c r="I100">
        <f t="shared" si="18"/>
        <v>310</v>
      </c>
      <c r="J100">
        <f t="shared" si="19"/>
        <v>6</v>
      </c>
      <c r="K100">
        <f t="shared" si="21"/>
        <v>414</v>
      </c>
      <c r="M100">
        <v>104</v>
      </c>
      <c r="N100">
        <v>310</v>
      </c>
      <c r="O100">
        <v>6</v>
      </c>
      <c r="Q100" t="b">
        <f t="shared" si="15"/>
        <v>1</v>
      </c>
      <c r="R100" t="b">
        <f t="shared" si="16"/>
        <v>1</v>
      </c>
      <c r="S100" t="b">
        <f t="shared" si="17"/>
        <v>1</v>
      </c>
    </row>
    <row r="101" spans="1:19" x14ac:dyDescent="0.2">
      <c r="A101" s="106">
        <f>_xlfn.XLOOKUP(B101,pratos!B:B,pratos!A:A,"não")</f>
        <v>105</v>
      </c>
      <c r="B101" s="109" t="s">
        <v>436</v>
      </c>
      <c r="C101" s="105">
        <f>_xlfn.XLOOKUP(D101,ingredientes!B:B,ingredientes!A:A,"não")</f>
        <v>96</v>
      </c>
      <c r="D101" s="30" t="s">
        <v>641</v>
      </c>
      <c r="E101" s="84">
        <v>25</v>
      </c>
      <c r="H101">
        <f t="shared" si="20"/>
        <v>105</v>
      </c>
      <c r="I101">
        <f t="shared" si="18"/>
        <v>96</v>
      </c>
      <c r="J101">
        <f t="shared" si="19"/>
        <v>25</v>
      </c>
      <c r="K101">
        <f t="shared" si="21"/>
        <v>201</v>
      </c>
      <c r="M101">
        <v>105</v>
      </c>
      <c r="N101">
        <v>96</v>
      </c>
      <c r="O101">
        <v>25</v>
      </c>
      <c r="Q101" t="b">
        <f t="shared" si="15"/>
        <v>1</v>
      </c>
      <c r="R101" t="b">
        <f t="shared" si="16"/>
        <v>1</v>
      </c>
      <c r="S101" t="b">
        <f t="shared" si="17"/>
        <v>1</v>
      </c>
    </row>
    <row r="102" spans="1:19" x14ac:dyDescent="0.2">
      <c r="A102" s="106">
        <f>_xlfn.XLOOKUP(B102,pratos!B:B,pratos!A:A,"não")</f>
        <v>105</v>
      </c>
      <c r="B102" s="109" t="s">
        <v>436</v>
      </c>
      <c r="C102" s="105">
        <f>_xlfn.XLOOKUP(D102,ingredientes!B:B,ingredientes!A:A,"não")</f>
        <v>233</v>
      </c>
      <c r="D102" s="30" t="s">
        <v>676</v>
      </c>
      <c r="E102" s="10">
        <v>120</v>
      </c>
      <c r="H102">
        <f t="shared" si="20"/>
        <v>105</v>
      </c>
      <c r="I102">
        <f t="shared" si="18"/>
        <v>233</v>
      </c>
      <c r="J102">
        <f t="shared" si="19"/>
        <v>120</v>
      </c>
      <c r="K102">
        <f t="shared" si="21"/>
        <v>338</v>
      </c>
      <c r="M102">
        <v>105</v>
      </c>
      <c r="N102">
        <v>233</v>
      </c>
      <c r="O102">
        <v>120</v>
      </c>
      <c r="Q102" t="b">
        <f t="shared" si="15"/>
        <v>1</v>
      </c>
      <c r="R102" t="b">
        <f t="shared" si="16"/>
        <v>1</v>
      </c>
      <c r="S102" t="b">
        <f t="shared" si="17"/>
        <v>1</v>
      </c>
    </row>
    <row r="103" spans="1:19" x14ac:dyDescent="0.2">
      <c r="A103" s="106">
        <f>_xlfn.XLOOKUP(B103,pratos!B:B,pratos!A:A,"não")</f>
        <v>107</v>
      </c>
      <c r="B103" s="111" t="s">
        <v>71</v>
      </c>
      <c r="C103" s="105">
        <f>_xlfn.XLOOKUP(D103,ingredientes!B:B,ingredientes!A:A,"não")</f>
        <v>67</v>
      </c>
      <c r="D103" s="20" t="s">
        <v>72</v>
      </c>
      <c r="E103" s="19">
        <v>35</v>
      </c>
      <c r="H103">
        <f t="shared" si="20"/>
        <v>107</v>
      </c>
      <c r="I103">
        <f t="shared" si="18"/>
        <v>67</v>
      </c>
      <c r="J103">
        <f t="shared" si="19"/>
        <v>35</v>
      </c>
      <c r="K103">
        <f t="shared" si="21"/>
        <v>174</v>
      </c>
      <c r="M103">
        <v>107</v>
      </c>
      <c r="N103">
        <v>67</v>
      </c>
      <c r="O103">
        <v>35</v>
      </c>
      <c r="Q103" t="b">
        <f t="shared" si="15"/>
        <v>1</v>
      </c>
      <c r="R103" t="b">
        <f t="shared" si="16"/>
        <v>1</v>
      </c>
      <c r="S103" t="b">
        <f t="shared" si="17"/>
        <v>1</v>
      </c>
    </row>
    <row r="104" spans="1:19" x14ac:dyDescent="0.2">
      <c r="A104" s="106">
        <f>_xlfn.XLOOKUP(B104,pratos!B:B,pratos!A:A,"não")</f>
        <v>108</v>
      </c>
      <c r="B104" s="111" t="s">
        <v>171</v>
      </c>
      <c r="C104" s="105">
        <f>_xlfn.XLOOKUP(D104,ingredientes!B:B,ingredientes!A:A,"não")</f>
        <v>67</v>
      </c>
      <c r="D104" s="20" t="s">
        <v>72</v>
      </c>
      <c r="E104" s="19">
        <v>35</v>
      </c>
      <c r="H104">
        <f t="shared" si="20"/>
        <v>108</v>
      </c>
      <c r="I104">
        <f t="shared" si="18"/>
        <v>67</v>
      </c>
      <c r="J104">
        <f t="shared" si="19"/>
        <v>35</v>
      </c>
      <c r="K104">
        <f t="shared" si="21"/>
        <v>175</v>
      </c>
      <c r="M104">
        <v>108</v>
      </c>
      <c r="N104">
        <v>67</v>
      </c>
      <c r="O104">
        <v>35</v>
      </c>
      <c r="Q104" t="b">
        <f t="shared" si="15"/>
        <v>1</v>
      </c>
      <c r="R104" t="b">
        <f t="shared" si="16"/>
        <v>1</v>
      </c>
      <c r="S104" t="b">
        <f t="shared" si="17"/>
        <v>1</v>
      </c>
    </row>
    <row r="105" spans="1:19" x14ac:dyDescent="0.2">
      <c r="A105" s="106">
        <f>_xlfn.XLOOKUP(B105,pratos!B:B,pratos!A:A,"não")</f>
        <v>109</v>
      </c>
      <c r="B105" s="109" t="s">
        <v>301</v>
      </c>
      <c r="C105" s="105">
        <f>_xlfn.XLOOKUP(D105,ingredientes!B:B,ingredientes!A:A,"não")</f>
        <v>69</v>
      </c>
      <c r="D105" s="30" t="s">
        <v>625</v>
      </c>
      <c r="E105" s="17">
        <v>100</v>
      </c>
      <c r="H105">
        <f t="shared" si="20"/>
        <v>109</v>
      </c>
      <c r="I105">
        <f t="shared" si="18"/>
        <v>69</v>
      </c>
      <c r="J105">
        <f t="shared" si="19"/>
        <v>100</v>
      </c>
      <c r="K105">
        <f t="shared" si="21"/>
        <v>178</v>
      </c>
      <c r="M105">
        <v>109</v>
      </c>
      <c r="N105">
        <v>69</v>
      </c>
      <c r="O105">
        <v>100</v>
      </c>
      <c r="Q105" t="b">
        <f t="shared" si="15"/>
        <v>1</v>
      </c>
      <c r="R105" t="b">
        <f t="shared" si="16"/>
        <v>1</v>
      </c>
      <c r="S105" t="b">
        <f t="shared" si="17"/>
        <v>1</v>
      </c>
    </row>
    <row r="106" spans="1:19" x14ac:dyDescent="0.2">
      <c r="A106" s="106">
        <f>_xlfn.XLOOKUP(B106,pratos!B:B,pratos!A:A,"não")</f>
        <v>110</v>
      </c>
      <c r="B106" s="52" t="s">
        <v>509</v>
      </c>
      <c r="C106" s="105">
        <f>_xlfn.XLOOKUP(D106,ingredientes!B:B,ingredientes!A:A,"não")</f>
        <v>69</v>
      </c>
      <c r="D106" s="30" t="s">
        <v>625</v>
      </c>
      <c r="E106" s="10">
        <v>100</v>
      </c>
      <c r="H106">
        <f t="shared" si="20"/>
        <v>110</v>
      </c>
      <c r="I106">
        <f t="shared" si="18"/>
        <v>69</v>
      </c>
      <c r="J106">
        <f t="shared" si="19"/>
        <v>100</v>
      </c>
      <c r="K106">
        <f t="shared" si="21"/>
        <v>179</v>
      </c>
      <c r="M106">
        <v>110</v>
      </c>
      <c r="N106">
        <v>69</v>
      </c>
      <c r="O106">
        <v>100</v>
      </c>
      <c r="Q106" t="b">
        <f t="shared" si="15"/>
        <v>1</v>
      </c>
      <c r="R106" t="b">
        <f t="shared" si="16"/>
        <v>1</v>
      </c>
      <c r="S106" t="b">
        <f t="shared" si="17"/>
        <v>1</v>
      </c>
    </row>
    <row r="107" spans="1:19" x14ac:dyDescent="0.2">
      <c r="A107" s="106">
        <f>_xlfn.XLOOKUP(B107,pratos!B:B,pratos!A:A,"não")</f>
        <v>111</v>
      </c>
      <c r="B107" s="52" t="s">
        <v>442</v>
      </c>
      <c r="C107" s="105">
        <f>_xlfn.XLOOKUP(D107,ingredientes!B:B,ingredientes!A:A,"não")</f>
        <v>72</v>
      </c>
      <c r="D107" s="30" t="s">
        <v>628</v>
      </c>
      <c r="E107" s="17">
        <v>50</v>
      </c>
      <c r="H107">
        <f t="shared" si="20"/>
        <v>111</v>
      </c>
      <c r="I107">
        <f t="shared" si="18"/>
        <v>72</v>
      </c>
      <c r="J107">
        <f t="shared" si="19"/>
        <v>50</v>
      </c>
      <c r="K107">
        <f t="shared" si="21"/>
        <v>183</v>
      </c>
      <c r="M107">
        <v>111</v>
      </c>
      <c r="N107">
        <v>72</v>
      </c>
      <c r="O107">
        <v>50</v>
      </c>
      <c r="Q107" t="b">
        <f t="shared" si="15"/>
        <v>1</v>
      </c>
      <c r="R107" t="b">
        <f t="shared" si="16"/>
        <v>1</v>
      </c>
      <c r="S107" t="b">
        <f t="shared" si="17"/>
        <v>1</v>
      </c>
    </row>
    <row r="108" spans="1:19" x14ac:dyDescent="0.2">
      <c r="A108" s="106">
        <f>_xlfn.XLOOKUP(B108,pratos!B:B,pratos!A:A,"não")</f>
        <v>111</v>
      </c>
      <c r="B108" s="52" t="s">
        <v>442</v>
      </c>
      <c r="C108" s="105">
        <f>_xlfn.XLOOKUP(D108,ingredientes!B:B,ingredientes!A:A,"não")</f>
        <v>96</v>
      </c>
      <c r="D108" s="30" t="s">
        <v>641</v>
      </c>
      <c r="E108" s="17">
        <v>50</v>
      </c>
      <c r="H108">
        <f t="shared" si="20"/>
        <v>111</v>
      </c>
      <c r="I108">
        <f t="shared" si="18"/>
        <v>96</v>
      </c>
      <c r="J108">
        <f t="shared" si="19"/>
        <v>50</v>
      </c>
      <c r="K108">
        <f t="shared" si="21"/>
        <v>207</v>
      </c>
      <c r="M108">
        <v>111</v>
      </c>
      <c r="N108">
        <v>96</v>
      </c>
      <c r="O108">
        <v>50</v>
      </c>
      <c r="Q108" t="b">
        <f t="shared" si="15"/>
        <v>1</v>
      </c>
      <c r="R108" t="b">
        <f t="shared" si="16"/>
        <v>1</v>
      </c>
      <c r="S108" t="b">
        <f t="shared" si="17"/>
        <v>1</v>
      </c>
    </row>
    <row r="109" spans="1:19" x14ac:dyDescent="0.2">
      <c r="A109" s="106">
        <f>_xlfn.XLOOKUP(B109,pratos!B:B,pratos!A:A,"não")</f>
        <v>111</v>
      </c>
      <c r="B109" s="52" t="s">
        <v>442</v>
      </c>
      <c r="C109" s="105">
        <f>_xlfn.XLOOKUP(D109,ingredientes!B:B,ingredientes!A:A,"não")</f>
        <v>198</v>
      </c>
      <c r="D109" s="9" t="s">
        <v>4</v>
      </c>
      <c r="E109" s="63">
        <v>5</v>
      </c>
      <c r="H109">
        <f t="shared" si="20"/>
        <v>111</v>
      </c>
      <c r="I109">
        <f t="shared" si="18"/>
        <v>198</v>
      </c>
      <c r="J109">
        <f t="shared" si="19"/>
        <v>5</v>
      </c>
      <c r="K109">
        <f t="shared" si="21"/>
        <v>309</v>
      </c>
      <c r="M109">
        <v>111</v>
      </c>
      <c r="N109">
        <v>198</v>
      </c>
      <c r="O109">
        <v>5</v>
      </c>
      <c r="Q109" t="b">
        <f t="shared" si="15"/>
        <v>1</v>
      </c>
      <c r="R109" t="b">
        <f t="shared" si="16"/>
        <v>1</v>
      </c>
      <c r="S109" t="b">
        <f t="shared" si="17"/>
        <v>1</v>
      </c>
    </row>
    <row r="110" spans="1:19" x14ac:dyDescent="0.2">
      <c r="A110" s="106">
        <f>_xlfn.XLOOKUP(B110,pratos!B:B,pratos!A:A,"não")</f>
        <v>112</v>
      </c>
      <c r="B110" s="116" t="s">
        <v>572</v>
      </c>
      <c r="C110" s="105">
        <f>_xlfn.XLOOKUP(D110,ingredientes!B:B,ingredientes!A:A,"não")</f>
        <v>72</v>
      </c>
      <c r="D110" s="30" t="s">
        <v>628</v>
      </c>
      <c r="E110" s="87">
        <v>50</v>
      </c>
      <c r="H110">
        <f t="shared" si="20"/>
        <v>112</v>
      </c>
      <c r="I110">
        <f t="shared" si="18"/>
        <v>72</v>
      </c>
      <c r="J110">
        <f t="shared" si="19"/>
        <v>50</v>
      </c>
      <c r="K110">
        <f t="shared" si="21"/>
        <v>184</v>
      </c>
      <c r="M110">
        <v>112</v>
      </c>
      <c r="N110">
        <v>72</v>
      </c>
      <c r="O110">
        <v>50</v>
      </c>
      <c r="Q110" t="b">
        <f t="shared" si="15"/>
        <v>1</v>
      </c>
      <c r="R110" t="b">
        <f t="shared" si="16"/>
        <v>1</v>
      </c>
      <c r="S110" t="b">
        <f t="shared" si="17"/>
        <v>1</v>
      </c>
    </row>
    <row r="111" spans="1:19" x14ac:dyDescent="0.2">
      <c r="A111" s="106">
        <f>_xlfn.XLOOKUP(B111,pratos!B:B,pratos!A:A,"não")</f>
        <v>113</v>
      </c>
      <c r="B111" s="116" t="s">
        <v>558</v>
      </c>
      <c r="C111" s="105">
        <f>_xlfn.XLOOKUP(D111,ingredientes!B:B,ingredientes!A:A,"não")</f>
        <v>117</v>
      </c>
      <c r="D111" t="s">
        <v>648</v>
      </c>
      <c r="E111" s="87">
        <v>50</v>
      </c>
      <c r="H111">
        <f t="shared" si="20"/>
        <v>113</v>
      </c>
      <c r="I111">
        <f t="shared" si="18"/>
        <v>117</v>
      </c>
      <c r="J111">
        <f t="shared" si="19"/>
        <v>50</v>
      </c>
      <c r="K111">
        <f t="shared" si="21"/>
        <v>230</v>
      </c>
      <c r="M111">
        <v>113</v>
      </c>
      <c r="N111">
        <v>117</v>
      </c>
      <c r="O111">
        <v>50</v>
      </c>
      <c r="Q111" t="b">
        <f t="shared" si="15"/>
        <v>1</v>
      </c>
      <c r="R111" t="b">
        <f t="shared" si="16"/>
        <v>1</v>
      </c>
      <c r="S111" t="b">
        <f t="shared" si="17"/>
        <v>1</v>
      </c>
    </row>
    <row r="112" spans="1:19" x14ac:dyDescent="0.2">
      <c r="A112" s="106">
        <f>_xlfn.XLOOKUP(B112,pratos!B:B,pratos!A:A,"não")</f>
        <v>115</v>
      </c>
      <c r="B112" s="130" t="s">
        <v>459</v>
      </c>
      <c r="C112" s="105">
        <f>_xlfn.XLOOKUP(D112,ingredientes!B:B,ingredientes!A:A,"não")</f>
        <v>73</v>
      </c>
      <c r="D112" s="138" t="s">
        <v>459</v>
      </c>
      <c r="E112" s="82">
        <v>100</v>
      </c>
      <c r="H112">
        <f t="shared" si="20"/>
        <v>115</v>
      </c>
      <c r="I112">
        <f t="shared" si="18"/>
        <v>73</v>
      </c>
      <c r="J112">
        <f t="shared" si="19"/>
        <v>100</v>
      </c>
      <c r="K112">
        <f t="shared" si="21"/>
        <v>188</v>
      </c>
      <c r="M112">
        <v>115</v>
      </c>
      <c r="N112">
        <v>73</v>
      </c>
      <c r="O112">
        <v>100</v>
      </c>
      <c r="Q112" t="b">
        <f t="shared" si="15"/>
        <v>1</v>
      </c>
      <c r="R112" t="b">
        <f t="shared" si="16"/>
        <v>1</v>
      </c>
      <c r="S112" t="b">
        <f t="shared" si="17"/>
        <v>1</v>
      </c>
    </row>
    <row r="113" spans="1:19" x14ac:dyDescent="0.2">
      <c r="A113" s="106">
        <f>_xlfn.XLOOKUP(B113,pratos!B:B,pratos!A:A,"não")</f>
        <v>116</v>
      </c>
      <c r="B113" s="52" t="s">
        <v>14</v>
      </c>
      <c r="C113" s="105">
        <f>_xlfn.XLOOKUP(D113,ingredientes!B:B,ingredientes!A:A,"não")</f>
        <v>74</v>
      </c>
      <c r="D113" s="147" t="s">
        <v>15</v>
      </c>
      <c r="E113" s="10">
        <v>50</v>
      </c>
      <c r="H113">
        <f t="shared" si="20"/>
        <v>116</v>
      </c>
      <c r="I113">
        <f t="shared" si="18"/>
        <v>74</v>
      </c>
      <c r="J113">
        <f t="shared" si="19"/>
        <v>50</v>
      </c>
      <c r="K113">
        <f t="shared" si="21"/>
        <v>190</v>
      </c>
      <c r="M113">
        <v>116</v>
      </c>
      <c r="N113">
        <v>74</v>
      </c>
      <c r="O113">
        <v>50</v>
      </c>
      <c r="Q113" t="b">
        <f t="shared" si="15"/>
        <v>1</v>
      </c>
      <c r="R113" t="b">
        <f t="shared" si="16"/>
        <v>1</v>
      </c>
      <c r="S113" t="b">
        <f t="shared" si="17"/>
        <v>1</v>
      </c>
    </row>
    <row r="114" spans="1:19" x14ac:dyDescent="0.2">
      <c r="A114" s="106">
        <f>_xlfn.XLOOKUP(B114,pratos!B:B,pratos!A:A,"não")</f>
        <v>116</v>
      </c>
      <c r="B114" s="52" t="s">
        <v>14</v>
      </c>
      <c r="C114" s="105">
        <f>_xlfn.XLOOKUP(D114,ingredientes!B:B,ingredientes!A:A,"não")</f>
        <v>208</v>
      </c>
      <c r="D114" s="147" t="s">
        <v>16</v>
      </c>
      <c r="E114" s="10">
        <v>20</v>
      </c>
      <c r="H114">
        <f t="shared" si="20"/>
        <v>116</v>
      </c>
      <c r="I114">
        <f t="shared" si="18"/>
        <v>208</v>
      </c>
      <c r="J114">
        <f t="shared" si="19"/>
        <v>20</v>
      </c>
      <c r="K114">
        <f t="shared" si="21"/>
        <v>324</v>
      </c>
      <c r="M114">
        <v>116</v>
      </c>
      <c r="N114">
        <v>208</v>
      </c>
      <c r="O114">
        <v>20</v>
      </c>
      <c r="Q114" t="b">
        <f t="shared" si="15"/>
        <v>1</v>
      </c>
      <c r="R114" t="b">
        <f t="shared" si="16"/>
        <v>1</v>
      </c>
      <c r="S114" t="b">
        <f t="shared" si="17"/>
        <v>1</v>
      </c>
    </row>
    <row r="115" spans="1:19" x14ac:dyDescent="0.2">
      <c r="A115" s="106">
        <f>_xlfn.XLOOKUP(B115,pratos!B:B,pratos!A:A,"não")</f>
        <v>117</v>
      </c>
      <c r="B115" s="52" t="s">
        <v>79</v>
      </c>
      <c r="C115" s="105">
        <f>_xlfn.XLOOKUP(D115,ingredientes!B:B,ingredientes!A:A,"não")</f>
        <v>75</v>
      </c>
      <c r="D115" s="147" t="s">
        <v>48</v>
      </c>
      <c r="E115" s="10">
        <v>150</v>
      </c>
      <c r="H115">
        <f t="shared" si="20"/>
        <v>117</v>
      </c>
      <c r="I115">
        <f t="shared" si="18"/>
        <v>75</v>
      </c>
      <c r="J115">
        <f t="shared" si="19"/>
        <v>150</v>
      </c>
      <c r="K115">
        <f t="shared" si="21"/>
        <v>192</v>
      </c>
      <c r="M115">
        <v>117</v>
      </c>
      <c r="N115">
        <v>75</v>
      </c>
      <c r="O115">
        <v>150</v>
      </c>
      <c r="Q115" t="b">
        <f t="shared" si="15"/>
        <v>1</v>
      </c>
      <c r="R115" t="b">
        <f t="shared" si="16"/>
        <v>1</v>
      </c>
      <c r="S115" t="b">
        <f t="shared" si="17"/>
        <v>1</v>
      </c>
    </row>
    <row r="116" spans="1:19" x14ac:dyDescent="0.2">
      <c r="A116" s="106">
        <f>_xlfn.XLOOKUP(B116,pratos!B:B,pratos!A:A,"não")</f>
        <v>117</v>
      </c>
      <c r="B116" s="52" t="s">
        <v>79</v>
      </c>
      <c r="C116" s="105">
        <f>_xlfn.XLOOKUP(D116,ingredientes!B:B,ingredientes!A:A,"não")</f>
        <v>208</v>
      </c>
      <c r="D116" s="163" t="s">
        <v>16</v>
      </c>
      <c r="E116" s="10">
        <v>20</v>
      </c>
      <c r="H116">
        <f t="shared" si="20"/>
        <v>117</v>
      </c>
      <c r="I116">
        <f t="shared" si="18"/>
        <v>208</v>
      </c>
      <c r="J116">
        <f t="shared" si="19"/>
        <v>20</v>
      </c>
      <c r="K116">
        <f t="shared" si="21"/>
        <v>325</v>
      </c>
      <c r="M116">
        <v>117</v>
      </c>
      <c r="N116">
        <v>208</v>
      </c>
      <c r="O116">
        <v>20</v>
      </c>
      <c r="Q116" t="b">
        <f t="shared" si="15"/>
        <v>1</v>
      </c>
      <c r="R116" t="b">
        <f t="shared" si="16"/>
        <v>1</v>
      </c>
      <c r="S116" t="b">
        <f t="shared" si="17"/>
        <v>1</v>
      </c>
    </row>
    <row r="117" spans="1:19" x14ac:dyDescent="0.2">
      <c r="A117" s="106">
        <f>_xlfn.XLOOKUP(B117,pratos!B:B,pratos!A:A,"não")</f>
        <v>118</v>
      </c>
      <c r="B117" s="111" t="s">
        <v>242</v>
      </c>
      <c r="C117" s="105">
        <f>_xlfn.XLOOKUP(D117,ingredientes!B:B,ingredientes!A:A,"não")</f>
        <v>75</v>
      </c>
      <c r="D117" s="150" t="s">
        <v>48</v>
      </c>
      <c r="E117" s="17">
        <v>100</v>
      </c>
      <c r="H117">
        <f t="shared" si="20"/>
        <v>118</v>
      </c>
      <c r="I117">
        <f t="shared" si="18"/>
        <v>75</v>
      </c>
      <c r="J117">
        <f t="shared" si="19"/>
        <v>100</v>
      </c>
      <c r="K117">
        <f t="shared" si="21"/>
        <v>193</v>
      </c>
      <c r="M117">
        <v>118</v>
      </c>
      <c r="N117">
        <v>75</v>
      </c>
      <c r="O117">
        <v>100</v>
      </c>
      <c r="Q117" t="b">
        <f t="shared" si="15"/>
        <v>1</v>
      </c>
      <c r="R117" t="b">
        <f t="shared" si="16"/>
        <v>1</v>
      </c>
      <c r="S117" t="b">
        <f t="shared" si="17"/>
        <v>1</v>
      </c>
    </row>
    <row r="118" spans="1:19" x14ac:dyDescent="0.2">
      <c r="A118" s="106">
        <f>_xlfn.XLOOKUP(B118,pratos!B:B,pratos!A:A,"não")</f>
        <v>119</v>
      </c>
      <c r="B118" s="109" t="s">
        <v>367</v>
      </c>
      <c r="C118" s="105">
        <f>_xlfn.XLOOKUP(D118,ingredientes!B:B,ingredientes!A:A,"não")</f>
        <v>75</v>
      </c>
      <c r="D118" s="49" t="s">
        <v>48</v>
      </c>
      <c r="E118" s="17">
        <v>100</v>
      </c>
      <c r="H118">
        <f t="shared" si="20"/>
        <v>119</v>
      </c>
      <c r="I118">
        <f t="shared" si="18"/>
        <v>75</v>
      </c>
      <c r="J118">
        <f t="shared" si="19"/>
        <v>100</v>
      </c>
      <c r="K118">
        <f t="shared" si="21"/>
        <v>194</v>
      </c>
      <c r="M118">
        <v>119</v>
      </c>
      <c r="N118">
        <v>75</v>
      </c>
      <c r="O118">
        <v>100</v>
      </c>
      <c r="Q118" t="b">
        <f t="shared" si="15"/>
        <v>1</v>
      </c>
      <c r="R118" t="b">
        <f t="shared" si="16"/>
        <v>1</v>
      </c>
      <c r="S118" t="b">
        <f t="shared" si="17"/>
        <v>1</v>
      </c>
    </row>
    <row r="119" spans="1:19" x14ac:dyDescent="0.2">
      <c r="A119" s="106">
        <f>_xlfn.XLOOKUP(B119,pratos!B:B,pratos!A:A,"não")</f>
        <v>119</v>
      </c>
      <c r="B119" s="109" t="s">
        <v>367</v>
      </c>
      <c r="C119" s="105">
        <f>_xlfn.XLOOKUP(D119,ingredientes!B:B,ingredientes!A:A,"não")</f>
        <v>113</v>
      </c>
      <c r="D119" s="47" t="s">
        <v>368</v>
      </c>
      <c r="E119" s="10">
        <v>5</v>
      </c>
      <c r="H119">
        <f t="shared" si="20"/>
        <v>119</v>
      </c>
      <c r="I119">
        <f t="shared" si="18"/>
        <v>113</v>
      </c>
      <c r="J119">
        <f t="shared" si="19"/>
        <v>5</v>
      </c>
      <c r="K119">
        <f t="shared" si="21"/>
        <v>232</v>
      </c>
      <c r="M119">
        <v>119</v>
      </c>
      <c r="N119">
        <v>113</v>
      </c>
      <c r="O119">
        <v>5</v>
      </c>
      <c r="Q119" t="b">
        <f t="shared" si="15"/>
        <v>1</v>
      </c>
      <c r="R119" t="b">
        <f t="shared" si="16"/>
        <v>1</v>
      </c>
      <c r="S119" t="b">
        <f t="shared" si="17"/>
        <v>1</v>
      </c>
    </row>
    <row r="120" spans="1:19" x14ac:dyDescent="0.2">
      <c r="A120" s="106">
        <f>_xlfn.XLOOKUP(B120,pratos!B:B,pratos!A:A,"não")</f>
        <v>120</v>
      </c>
      <c r="B120" s="111" t="s">
        <v>325</v>
      </c>
      <c r="C120" s="105">
        <f>_xlfn.XLOOKUP(D120,ingredientes!B:B,ingredientes!A:A,"não")</f>
        <v>28</v>
      </c>
      <c r="D120" s="150" t="s">
        <v>104</v>
      </c>
      <c r="E120" s="19">
        <v>5</v>
      </c>
      <c r="H120">
        <f t="shared" si="20"/>
        <v>120</v>
      </c>
      <c r="I120">
        <f t="shared" si="18"/>
        <v>28</v>
      </c>
      <c r="J120">
        <f t="shared" si="19"/>
        <v>5</v>
      </c>
      <c r="K120">
        <f t="shared" si="21"/>
        <v>148</v>
      </c>
      <c r="M120">
        <v>120</v>
      </c>
      <c r="N120">
        <v>28</v>
      </c>
      <c r="O120">
        <v>5</v>
      </c>
      <c r="Q120" t="b">
        <f t="shared" si="15"/>
        <v>1</v>
      </c>
      <c r="R120" t="b">
        <f t="shared" si="16"/>
        <v>1</v>
      </c>
      <c r="S120" t="b">
        <f t="shared" si="17"/>
        <v>1</v>
      </c>
    </row>
    <row r="121" spans="1:19" x14ac:dyDescent="0.2">
      <c r="A121" s="106">
        <f>_xlfn.XLOOKUP(B121,pratos!B:B,pratos!A:A,"não")</f>
        <v>120</v>
      </c>
      <c r="B121" s="111" t="s">
        <v>325</v>
      </c>
      <c r="C121" s="105">
        <f>_xlfn.XLOOKUP(D121,ingredientes!B:B,ingredientes!A:A,"não")</f>
        <v>75</v>
      </c>
      <c r="D121" s="150" t="s">
        <v>48</v>
      </c>
      <c r="E121" s="19">
        <v>100</v>
      </c>
      <c r="H121">
        <f t="shared" si="20"/>
        <v>120</v>
      </c>
      <c r="I121">
        <f t="shared" ref="I121:I161" si="22">C121</f>
        <v>75</v>
      </c>
      <c r="J121">
        <f t="shared" ref="J121:J161" si="23">E121</f>
        <v>100</v>
      </c>
      <c r="K121">
        <f t="shared" si="21"/>
        <v>195</v>
      </c>
      <c r="M121">
        <v>120</v>
      </c>
      <c r="N121">
        <v>75</v>
      </c>
      <c r="O121">
        <v>100</v>
      </c>
      <c r="Q121" t="b">
        <f t="shared" si="15"/>
        <v>1</v>
      </c>
      <c r="R121" t="b">
        <f t="shared" si="16"/>
        <v>1</v>
      </c>
      <c r="S121" t="b">
        <f t="shared" si="17"/>
        <v>1</v>
      </c>
    </row>
    <row r="122" spans="1:19" x14ac:dyDescent="0.2">
      <c r="A122" s="106">
        <f>_xlfn.XLOOKUP(B122,pratos!B:B,pratos!A:A,"não")</f>
        <v>120</v>
      </c>
      <c r="B122" s="111" t="s">
        <v>325</v>
      </c>
      <c r="C122" s="105">
        <f>_xlfn.XLOOKUP(D122,ingredientes!B:B,ingredientes!A:A,"não")</f>
        <v>312</v>
      </c>
      <c r="D122" s="150" t="s">
        <v>326</v>
      </c>
      <c r="E122" s="19">
        <v>10</v>
      </c>
      <c r="H122">
        <f t="shared" si="20"/>
        <v>120</v>
      </c>
      <c r="I122">
        <f t="shared" si="22"/>
        <v>312</v>
      </c>
      <c r="J122">
        <f t="shared" si="23"/>
        <v>10</v>
      </c>
      <c r="K122">
        <f t="shared" si="21"/>
        <v>432</v>
      </c>
      <c r="M122">
        <v>120</v>
      </c>
      <c r="N122">
        <v>312</v>
      </c>
      <c r="O122">
        <v>10</v>
      </c>
      <c r="Q122" t="b">
        <f t="shared" si="15"/>
        <v>1</v>
      </c>
      <c r="R122" t="b">
        <f t="shared" si="16"/>
        <v>1</v>
      </c>
      <c r="S122" t="b">
        <f t="shared" si="17"/>
        <v>1</v>
      </c>
    </row>
    <row r="123" spans="1:19" x14ac:dyDescent="0.2">
      <c r="A123" s="106">
        <f>_xlfn.XLOOKUP(B123,pratos!B:B,pratos!A:A,"não")</f>
        <v>121</v>
      </c>
      <c r="B123" s="108" t="s">
        <v>5</v>
      </c>
      <c r="C123" s="105">
        <f>_xlfn.XLOOKUP(D123,ingredientes!B:B,ingredientes!A:A,"não")</f>
        <v>17</v>
      </c>
      <c r="D123" s="146" t="s">
        <v>7</v>
      </c>
      <c r="E123" s="5">
        <v>6</v>
      </c>
      <c r="H123">
        <f t="shared" ref="H123:H162" si="24">A123</f>
        <v>121</v>
      </c>
      <c r="I123">
        <f t="shared" si="22"/>
        <v>17</v>
      </c>
      <c r="J123">
        <f t="shared" si="23"/>
        <v>6</v>
      </c>
      <c r="K123">
        <f t="shared" si="21"/>
        <v>138</v>
      </c>
      <c r="M123">
        <v>121</v>
      </c>
      <c r="N123">
        <v>17</v>
      </c>
      <c r="O123">
        <v>6</v>
      </c>
      <c r="Q123" t="b">
        <f t="shared" si="15"/>
        <v>1</v>
      </c>
      <c r="R123" t="b">
        <f t="shared" si="16"/>
        <v>1</v>
      </c>
      <c r="S123" t="b">
        <f t="shared" si="17"/>
        <v>1</v>
      </c>
    </row>
    <row r="124" spans="1:19" x14ac:dyDescent="0.2">
      <c r="A124" s="106">
        <f>_xlfn.XLOOKUP(B124,pratos!B:B,pratos!A:A,"não")</f>
        <v>122</v>
      </c>
      <c r="B124" s="108" t="s">
        <v>89</v>
      </c>
      <c r="C124" s="105">
        <f>_xlfn.XLOOKUP(D124,ingredientes!B:B,ingredientes!A:A,"não")</f>
        <v>17</v>
      </c>
      <c r="D124" s="141" t="s">
        <v>7</v>
      </c>
      <c r="E124" s="5">
        <v>6</v>
      </c>
      <c r="H124">
        <f t="shared" si="24"/>
        <v>122</v>
      </c>
      <c r="I124">
        <f t="shared" si="22"/>
        <v>17</v>
      </c>
      <c r="J124">
        <f t="shared" si="23"/>
        <v>6</v>
      </c>
      <c r="K124">
        <f t="shared" ref="K124:K162" si="25">H124+I124</f>
        <v>139</v>
      </c>
      <c r="M124">
        <v>122</v>
      </c>
      <c r="N124">
        <v>17</v>
      </c>
      <c r="O124">
        <v>6</v>
      </c>
      <c r="Q124" t="b">
        <f t="shared" si="15"/>
        <v>1</v>
      </c>
      <c r="R124" t="b">
        <f t="shared" si="16"/>
        <v>1</v>
      </c>
      <c r="S124" t="b">
        <f t="shared" si="17"/>
        <v>1</v>
      </c>
    </row>
    <row r="125" spans="1:19" x14ac:dyDescent="0.2">
      <c r="A125" s="106">
        <f>_xlfn.XLOOKUP(B125,pratos!B:B,pratos!A:A,"não")</f>
        <v>122</v>
      </c>
      <c r="B125" s="108" t="s">
        <v>89</v>
      </c>
      <c r="C125" s="105">
        <f>_xlfn.XLOOKUP(D125,ingredientes!B:B,ingredientes!A:A,"não")</f>
        <v>77</v>
      </c>
      <c r="D125" s="141" t="s">
        <v>629</v>
      </c>
      <c r="E125" s="5">
        <v>60</v>
      </c>
      <c r="H125">
        <f t="shared" si="24"/>
        <v>122</v>
      </c>
      <c r="I125">
        <f t="shared" si="22"/>
        <v>77</v>
      </c>
      <c r="J125">
        <f t="shared" si="23"/>
        <v>60</v>
      </c>
      <c r="K125">
        <f t="shared" si="25"/>
        <v>199</v>
      </c>
      <c r="M125">
        <v>122</v>
      </c>
      <c r="N125">
        <v>77</v>
      </c>
      <c r="O125">
        <v>60</v>
      </c>
      <c r="Q125" t="b">
        <f t="shared" si="15"/>
        <v>1</v>
      </c>
      <c r="R125" t="b">
        <f t="shared" si="16"/>
        <v>1</v>
      </c>
      <c r="S125" t="b">
        <f t="shared" si="17"/>
        <v>1</v>
      </c>
    </row>
    <row r="126" spans="1:19" x14ac:dyDescent="0.2">
      <c r="A126" s="106">
        <f>_xlfn.XLOOKUP(B126,pratos!B:B,pratos!A:A,"não")</f>
        <v>122</v>
      </c>
      <c r="B126" s="108" t="s">
        <v>89</v>
      </c>
      <c r="C126" s="105">
        <f>_xlfn.XLOOKUP(D126,ingredientes!B:B,ingredientes!A:A,"não")</f>
        <v>178</v>
      </c>
      <c r="D126" s="138" t="s">
        <v>90</v>
      </c>
      <c r="E126" s="5">
        <v>20</v>
      </c>
      <c r="H126">
        <f t="shared" si="24"/>
        <v>122</v>
      </c>
      <c r="I126">
        <f t="shared" si="22"/>
        <v>178</v>
      </c>
      <c r="J126">
        <f t="shared" si="23"/>
        <v>20</v>
      </c>
      <c r="K126">
        <f t="shared" si="25"/>
        <v>300</v>
      </c>
      <c r="M126">
        <v>122</v>
      </c>
      <c r="N126">
        <v>178</v>
      </c>
      <c r="O126">
        <v>20</v>
      </c>
      <c r="Q126" t="b">
        <f t="shared" si="15"/>
        <v>1</v>
      </c>
      <c r="R126" t="b">
        <f t="shared" si="16"/>
        <v>1</v>
      </c>
      <c r="S126" t="b">
        <f t="shared" si="17"/>
        <v>1</v>
      </c>
    </row>
    <row r="127" spans="1:19" x14ac:dyDescent="0.2">
      <c r="A127" s="106">
        <f>_xlfn.XLOOKUP(B127,pratos!B:B,pratos!A:A,"não")</f>
        <v>123</v>
      </c>
      <c r="B127" s="120" t="s">
        <v>41</v>
      </c>
      <c r="C127" s="105">
        <f>_xlfn.XLOOKUP(D127,ingredientes!B:B,ingredientes!A:A,"não")</f>
        <v>77</v>
      </c>
      <c r="D127" s="142" t="s">
        <v>629</v>
      </c>
      <c r="E127" s="5">
        <v>60</v>
      </c>
      <c r="H127">
        <f t="shared" si="24"/>
        <v>123</v>
      </c>
      <c r="I127">
        <f t="shared" si="22"/>
        <v>77</v>
      </c>
      <c r="J127">
        <f t="shared" si="23"/>
        <v>60</v>
      </c>
      <c r="K127">
        <f t="shared" si="25"/>
        <v>200</v>
      </c>
      <c r="M127">
        <v>123</v>
      </c>
      <c r="N127">
        <v>77</v>
      </c>
      <c r="O127">
        <v>60</v>
      </c>
      <c r="Q127" t="b">
        <f t="shared" si="15"/>
        <v>1</v>
      </c>
      <c r="R127" t="b">
        <f t="shared" si="16"/>
        <v>1</v>
      </c>
      <c r="S127" t="b">
        <f t="shared" si="17"/>
        <v>1</v>
      </c>
    </row>
    <row r="128" spans="1:19" x14ac:dyDescent="0.2">
      <c r="A128" s="106">
        <f>_xlfn.XLOOKUP(B128,pratos!B:B,pratos!A:A,"não")</f>
        <v>123</v>
      </c>
      <c r="B128" s="108" t="s">
        <v>41</v>
      </c>
      <c r="C128" s="105">
        <f>_xlfn.XLOOKUP(D128,ingredientes!B:B,ingredientes!A:A,"não")</f>
        <v>177</v>
      </c>
      <c r="D128" s="141" t="s">
        <v>6</v>
      </c>
      <c r="E128" s="5">
        <v>100</v>
      </c>
      <c r="H128">
        <f t="shared" si="24"/>
        <v>123</v>
      </c>
      <c r="I128">
        <f t="shared" si="22"/>
        <v>177</v>
      </c>
      <c r="J128">
        <f t="shared" si="23"/>
        <v>100</v>
      </c>
      <c r="K128">
        <f t="shared" si="25"/>
        <v>300</v>
      </c>
      <c r="M128">
        <v>123</v>
      </c>
      <c r="N128">
        <v>177</v>
      </c>
      <c r="O128">
        <v>100</v>
      </c>
      <c r="Q128" t="b">
        <f t="shared" si="15"/>
        <v>1</v>
      </c>
      <c r="R128" t="b">
        <f t="shared" si="16"/>
        <v>1</v>
      </c>
      <c r="S128" t="b">
        <f t="shared" si="17"/>
        <v>1</v>
      </c>
    </row>
    <row r="129" spans="1:19" x14ac:dyDescent="0.2">
      <c r="A129" s="106">
        <f>_xlfn.XLOOKUP(B129,pratos!B:B,pratos!A:A,"não")</f>
        <v>124</v>
      </c>
      <c r="B129" s="108" t="s">
        <v>54</v>
      </c>
      <c r="C129" s="105">
        <f>_xlfn.XLOOKUP(D129,ingredientes!B:B,ingredientes!A:A,"não")</f>
        <v>17</v>
      </c>
      <c r="D129" s="141" t="s">
        <v>7</v>
      </c>
      <c r="E129" s="5">
        <v>6</v>
      </c>
      <c r="H129">
        <f t="shared" si="24"/>
        <v>124</v>
      </c>
      <c r="I129">
        <f t="shared" si="22"/>
        <v>17</v>
      </c>
      <c r="J129">
        <f t="shared" si="23"/>
        <v>6</v>
      </c>
      <c r="K129">
        <f t="shared" si="25"/>
        <v>141</v>
      </c>
      <c r="M129">
        <v>124</v>
      </c>
      <c r="N129">
        <v>17</v>
      </c>
      <c r="O129">
        <v>6</v>
      </c>
      <c r="Q129" t="b">
        <f t="shared" si="15"/>
        <v>1</v>
      </c>
      <c r="R129" t="b">
        <f t="shared" si="16"/>
        <v>1</v>
      </c>
      <c r="S129" t="b">
        <f t="shared" si="17"/>
        <v>1</v>
      </c>
    </row>
    <row r="130" spans="1:19" x14ac:dyDescent="0.2">
      <c r="A130" s="106">
        <f>_xlfn.XLOOKUP(B130,pratos!B:B,pratos!A:A,"não")</f>
        <v>125</v>
      </c>
      <c r="B130" s="108" t="s">
        <v>241</v>
      </c>
      <c r="C130" s="105">
        <f>_xlfn.XLOOKUP(D130,ingredientes!B:B,ingredientes!A:A,"não")</f>
        <v>77</v>
      </c>
      <c r="D130" s="141" t="s">
        <v>629</v>
      </c>
      <c r="E130" s="5">
        <v>60</v>
      </c>
      <c r="H130">
        <f t="shared" si="24"/>
        <v>125</v>
      </c>
      <c r="I130">
        <f t="shared" si="22"/>
        <v>77</v>
      </c>
      <c r="J130">
        <f t="shared" si="23"/>
        <v>60</v>
      </c>
      <c r="K130">
        <f t="shared" si="25"/>
        <v>202</v>
      </c>
      <c r="M130">
        <v>125</v>
      </c>
      <c r="N130">
        <v>77</v>
      </c>
      <c r="O130">
        <v>60</v>
      </c>
      <c r="Q130" t="b">
        <f t="shared" si="15"/>
        <v>1</v>
      </c>
      <c r="R130" t="b">
        <f t="shared" si="16"/>
        <v>1</v>
      </c>
      <c r="S130" t="b">
        <f t="shared" si="17"/>
        <v>1</v>
      </c>
    </row>
    <row r="131" spans="1:19" x14ac:dyDescent="0.2">
      <c r="A131" s="106">
        <f>_xlfn.XLOOKUP(B131,pratos!B:B,pratos!A:A,"não")</f>
        <v>126</v>
      </c>
      <c r="B131" s="112" t="s">
        <v>46</v>
      </c>
      <c r="C131" s="105">
        <f>_xlfn.XLOOKUP(D131,ingredientes!B:B,ingredientes!A:A,"não")</f>
        <v>77</v>
      </c>
      <c r="D131" s="156" t="s">
        <v>629</v>
      </c>
      <c r="E131" s="63">
        <v>80</v>
      </c>
      <c r="H131">
        <f t="shared" si="24"/>
        <v>126</v>
      </c>
      <c r="I131">
        <f t="shared" si="22"/>
        <v>77</v>
      </c>
      <c r="J131">
        <f t="shared" si="23"/>
        <v>80</v>
      </c>
      <c r="K131">
        <f t="shared" si="25"/>
        <v>203</v>
      </c>
      <c r="M131">
        <v>126</v>
      </c>
      <c r="N131">
        <v>77</v>
      </c>
      <c r="O131">
        <v>80</v>
      </c>
      <c r="Q131" t="b">
        <f t="shared" si="15"/>
        <v>1</v>
      </c>
      <c r="R131" t="b">
        <f t="shared" si="16"/>
        <v>1</v>
      </c>
      <c r="S131" t="b">
        <f t="shared" si="17"/>
        <v>1</v>
      </c>
    </row>
    <row r="132" spans="1:19" x14ac:dyDescent="0.2">
      <c r="A132" s="106">
        <f>_xlfn.XLOOKUP(B132,pratos!B:B,pratos!A:A,"não")</f>
        <v>126</v>
      </c>
      <c r="B132" s="108" t="s">
        <v>46</v>
      </c>
      <c r="C132" s="105">
        <f>_xlfn.XLOOKUP(D132,ingredientes!B:B,ingredientes!A:A,"não")</f>
        <v>177</v>
      </c>
      <c r="D132" s="141" t="s">
        <v>6</v>
      </c>
      <c r="E132" s="5">
        <v>100</v>
      </c>
      <c r="H132">
        <f t="shared" si="24"/>
        <v>126</v>
      </c>
      <c r="I132">
        <f t="shared" si="22"/>
        <v>177</v>
      </c>
      <c r="J132">
        <f t="shared" si="23"/>
        <v>100</v>
      </c>
      <c r="K132">
        <f t="shared" si="25"/>
        <v>303</v>
      </c>
      <c r="M132">
        <v>126</v>
      </c>
      <c r="N132">
        <v>177</v>
      </c>
      <c r="O132">
        <v>100</v>
      </c>
      <c r="Q132" t="b">
        <f t="shared" si="15"/>
        <v>1</v>
      </c>
      <c r="R132" t="b">
        <f t="shared" si="16"/>
        <v>1</v>
      </c>
      <c r="S132" t="b">
        <f t="shared" si="17"/>
        <v>1</v>
      </c>
    </row>
    <row r="133" spans="1:19" x14ac:dyDescent="0.2">
      <c r="A133" s="106">
        <f>_xlfn.XLOOKUP(B133,pratos!B:B,pratos!A:A,"não")</f>
        <v>127</v>
      </c>
      <c r="B133" s="108" t="s">
        <v>96</v>
      </c>
      <c r="C133" s="105">
        <f>_xlfn.XLOOKUP(D133,ingredientes!B:B,ingredientes!A:A,"não")</f>
        <v>17</v>
      </c>
      <c r="D133" s="141" t="s">
        <v>7</v>
      </c>
      <c r="E133" s="26">
        <v>10</v>
      </c>
      <c r="H133">
        <f t="shared" si="24"/>
        <v>127</v>
      </c>
      <c r="I133">
        <f t="shared" si="22"/>
        <v>17</v>
      </c>
      <c r="J133">
        <f t="shared" si="23"/>
        <v>10</v>
      </c>
      <c r="K133">
        <f t="shared" si="25"/>
        <v>144</v>
      </c>
      <c r="M133">
        <v>127</v>
      </c>
      <c r="N133">
        <v>17</v>
      </c>
      <c r="O133">
        <v>10</v>
      </c>
      <c r="Q133" t="b">
        <f t="shared" si="15"/>
        <v>1</v>
      </c>
      <c r="R133" t="b">
        <f t="shared" si="16"/>
        <v>1</v>
      </c>
      <c r="S133" t="b">
        <f t="shared" si="17"/>
        <v>1</v>
      </c>
    </row>
    <row r="134" spans="1:19" x14ac:dyDescent="0.2">
      <c r="A134" s="106">
        <f>_xlfn.XLOOKUP(B134,pratos!B:B,pratos!A:A,"não")</f>
        <v>127</v>
      </c>
      <c r="B134" s="119" t="s">
        <v>96</v>
      </c>
      <c r="C134" s="105">
        <f>_xlfn.XLOOKUP(D134,ingredientes!B:B,ingredientes!A:A,"não")</f>
        <v>77</v>
      </c>
      <c r="D134" s="168" t="s">
        <v>629</v>
      </c>
      <c r="E134" s="5">
        <v>100</v>
      </c>
      <c r="H134">
        <f t="shared" si="24"/>
        <v>127</v>
      </c>
      <c r="I134">
        <f t="shared" si="22"/>
        <v>77</v>
      </c>
      <c r="J134">
        <f t="shared" si="23"/>
        <v>100</v>
      </c>
      <c r="K134">
        <f t="shared" si="25"/>
        <v>204</v>
      </c>
      <c r="M134">
        <v>127</v>
      </c>
      <c r="N134">
        <v>77</v>
      </c>
      <c r="O134">
        <v>100</v>
      </c>
      <c r="Q134" t="b">
        <f t="shared" si="15"/>
        <v>1</v>
      </c>
      <c r="R134" t="b">
        <f t="shared" si="16"/>
        <v>1</v>
      </c>
      <c r="S134" t="b">
        <f t="shared" si="17"/>
        <v>1</v>
      </c>
    </row>
    <row r="135" spans="1:19" x14ac:dyDescent="0.2">
      <c r="A135" s="106">
        <f>_xlfn.XLOOKUP(B135,pratos!B:B,pratos!A:A,"não")</f>
        <v>128</v>
      </c>
      <c r="B135" s="128" t="s">
        <v>464</v>
      </c>
      <c r="C135" s="105">
        <f>_xlfn.XLOOKUP(D135,ingredientes!B:B,ingredientes!A:A,"não")</f>
        <v>23</v>
      </c>
      <c r="D135" t="s">
        <v>608</v>
      </c>
      <c r="E135" s="82">
        <v>90</v>
      </c>
      <c r="H135">
        <f t="shared" si="24"/>
        <v>128</v>
      </c>
      <c r="I135">
        <f t="shared" si="22"/>
        <v>23</v>
      </c>
      <c r="J135">
        <f t="shared" si="23"/>
        <v>90</v>
      </c>
      <c r="K135">
        <f t="shared" si="25"/>
        <v>151</v>
      </c>
      <c r="M135">
        <v>128</v>
      </c>
      <c r="N135">
        <v>23</v>
      </c>
      <c r="O135">
        <v>90</v>
      </c>
      <c r="Q135" t="b">
        <f t="shared" si="15"/>
        <v>1</v>
      </c>
      <c r="R135" t="b">
        <f t="shared" si="16"/>
        <v>1</v>
      </c>
      <c r="S135" t="b">
        <f t="shared" si="17"/>
        <v>1</v>
      </c>
    </row>
    <row r="136" spans="1:19" x14ac:dyDescent="0.2">
      <c r="A136" s="106">
        <f>_xlfn.XLOOKUP(B136,pratos!B:B,pratos!A:A,"não")</f>
        <v>129</v>
      </c>
      <c r="B136" s="128" t="s">
        <v>452</v>
      </c>
      <c r="C136" s="105">
        <f>_xlfn.XLOOKUP(D136,ingredientes!B:B,ingredientes!A:A,"não")</f>
        <v>23</v>
      </c>
      <c r="D136" t="s">
        <v>608</v>
      </c>
      <c r="E136" s="82">
        <v>90</v>
      </c>
      <c r="H136">
        <f t="shared" si="24"/>
        <v>129</v>
      </c>
      <c r="I136">
        <f t="shared" si="22"/>
        <v>23</v>
      </c>
      <c r="J136">
        <f t="shared" si="23"/>
        <v>90</v>
      </c>
      <c r="K136">
        <f t="shared" si="25"/>
        <v>152</v>
      </c>
      <c r="M136">
        <v>129</v>
      </c>
      <c r="N136">
        <v>23</v>
      </c>
      <c r="O136">
        <v>90</v>
      </c>
      <c r="Q136" t="b">
        <f t="shared" si="15"/>
        <v>1</v>
      </c>
      <c r="R136" t="b">
        <f t="shared" si="16"/>
        <v>1</v>
      </c>
      <c r="S136" t="b">
        <f t="shared" si="17"/>
        <v>1</v>
      </c>
    </row>
    <row r="137" spans="1:19" x14ac:dyDescent="0.2">
      <c r="A137" s="106">
        <f>_xlfn.XLOOKUP(B137,pratos!B:B,pratos!A:A,"não")</f>
        <v>129</v>
      </c>
      <c r="B137" s="128" t="s">
        <v>452</v>
      </c>
      <c r="C137" s="105">
        <f>_xlfn.XLOOKUP(D137,ingredientes!B:B,ingredientes!A:A,"não")</f>
        <v>242</v>
      </c>
      <c r="D137" t="s">
        <v>276</v>
      </c>
      <c r="E137" s="86">
        <v>120</v>
      </c>
      <c r="H137">
        <f t="shared" si="24"/>
        <v>129</v>
      </c>
      <c r="I137">
        <f t="shared" si="22"/>
        <v>242</v>
      </c>
      <c r="J137">
        <f t="shared" si="23"/>
        <v>120</v>
      </c>
      <c r="K137">
        <f t="shared" si="25"/>
        <v>371</v>
      </c>
      <c r="M137">
        <v>129</v>
      </c>
      <c r="N137">
        <v>242</v>
      </c>
      <c r="O137">
        <v>120</v>
      </c>
      <c r="Q137" t="b">
        <f t="shared" si="15"/>
        <v>1</v>
      </c>
      <c r="R137" t="b">
        <f t="shared" si="16"/>
        <v>1</v>
      </c>
      <c r="S137" t="b">
        <f t="shared" si="17"/>
        <v>1</v>
      </c>
    </row>
    <row r="138" spans="1:19" x14ac:dyDescent="0.2">
      <c r="A138" s="106">
        <f>_xlfn.XLOOKUP(B138,pratos!B:B,pratos!A:A,"não")</f>
        <v>130</v>
      </c>
      <c r="B138" s="111" t="s">
        <v>129</v>
      </c>
      <c r="C138" s="105">
        <f>_xlfn.XLOOKUP(D138,ingredientes!B:B,ingredientes!A:A,"não")</f>
        <v>141</v>
      </c>
      <c r="D138" t="s">
        <v>659</v>
      </c>
      <c r="E138" s="10">
        <v>100</v>
      </c>
      <c r="H138">
        <f t="shared" si="24"/>
        <v>130</v>
      </c>
      <c r="I138">
        <f t="shared" si="22"/>
        <v>141</v>
      </c>
      <c r="J138">
        <f t="shared" si="23"/>
        <v>100</v>
      </c>
      <c r="K138">
        <f t="shared" si="25"/>
        <v>271</v>
      </c>
      <c r="M138">
        <v>130</v>
      </c>
      <c r="N138">
        <v>141</v>
      </c>
      <c r="O138">
        <v>100</v>
      </c>
      <c r="Q138" t="b">
        <f t="shared" si="15"/>
        <v>1</v>
      </c>
      <c r="R138" t="b">
        <f t="shared" si="16"/>
        <v>1</v>
      </c>
      <c r="S138" t="b">
        <f t="shared" si="17"/>
        <v>1</v>
      </c>
    </row>
    <row r="139" spans="1:19" x14ac:dyDescent="0.2">
      <c r="A139" s="106">
        <f>_xlfn.XLOOKUP(B139,pratos!B:B,pratos!A:A,"não")</f>
        <v>132</v>
      </c>
      <c r="B139" s="111" t="s">
        <v>122</v>
      </c>
      <c r="C139" s="105">
        <f>_xlfn.XLOOKUP(D139,ingredientes!B:B,ingredientes!A:A,"não")</f>
        <v>141</v>
      </c>
      <c r="D139" t="s">
        <v>659</v>
      </c>
      <c r="E139" s="17">
        <v>100</v>
      </c>
      <c r="H139">
        <f t="shared" si="24"/>
        <v>132</v>
      </c>
      <c r="I139">
        <f t="shared" si="22"/>
        <v>141</v>
      </c>
      <c r="J139">
        <f t="shared" si="23"/>
        <v>100</v>
      </c>
      <c r="K139">
        <f t="shared" si="25"/>
        <v>273</v>
      </c>
      <c r="M139">
        <v>132</v>
      </c>
      <c r="N139">
        <v>141</v>
      </c>
      <c r="O139">
        <v>100</v>
      </c>
      <c r="Q139" t="b">
        <f t="shared" si="15"/>
        <v>1</v>
      </c>
      <c r="R139" t="b">
        <f t="shared" si="16"/>
        <v>1</v>
      </c>
      <c r="S139" t="b">
        <f t="shared" si="17"/>
        <v>1</v>
      </c>
    </row>
    <row r="140" spans="1:19" x14ac:dyDescent="0.2">
      <c r="A140" s="106">
        <f>_xlfn.XLOOKUP(B140,pratos!B:B,pratos!A:A,"não")</f>
        <v>134</v>
      </c>
      <c r="B140" s="111" t="s">
        <v>328</v>
      </c>
      <c r="C140" s="105">
        <f>_xlfn.XLOOKUP(D140,ingredientes!B:B,ingredientes!A:A,"não")</f>
        <v>34</v>
      </c>
      <c r="D140" t="s">
        <v>611</v>
      </c>
      <c r="E140" s="57">
        <v>60</v>
      </c>
      <c r="H140">
        <f t="shared" si="24"/>
        <v>134</v>
      </c>
      <c r="I140">
        <f t="shared" si="22"/>
        <v>34</v>
      </c>
      <c r="J140">
        <f t="shared" si="23"/>
        <v>60</v>
      </c>
      <c r="K140">
        <f t="shared" si="25"/>
        <v>168</v>
      </c>
      <c r="M140">
        <v>134</v>
      </c>
      <c r="N140">
        <v>34</v>
      </c>
      <c r="O140">
        <v>60</v>
      </c>
      <c r="Q140" t="b">
        <f t="shared" si="15"/>
        <v>1</v>
      </c>
      <c r="R140" t="b">
        <f t="shared" si="16"/>
        <v>1</v>
      </c>
      <c r="S140" t="b">
        <f t="shared" si="17"/>
        <v>1</v>
      </c>
    </row>
    <row r="141" spans="1:19" x14ac:dyDescent="0.2">
      <c r="A141" s="106">
        <f>_xlfn.XLOOKUP(B141,pratos!B:B,pratos!A:A,"não")</f>
        <v>134</v>
      </c>
      <c r="B141" s="111" t="s">
        <v>328</v>
      </c>
      <c r="C141" s="105">
        <f>_xlfn.XLOOKUP(D141,ingredientes!B:B,ingredientes!A:A,"não")</f>
        <v>96</v>
      </c>
      <c r="D141" t="s">
        <v>641</v>
      </c>
      <c r="E141" s="57">
        <v>30</v>
      </c>
      <c r="H141">
        <f t="shared" si="24"/>
        <v>134</v>
      </c>
      <c r="I141">
        <f t="shared" si="22"/>
        <v>96</v>
      </c>
      <c r="J141">
        <f t="shared" si="23"/>
        <v>30</v>
      </c>
      <c r="K141">
        <f t="shared" si="25"/>
        <v>230</v>
      </c>
      <c r="M141">
        <v>134</v>
      </c>
      <c r="N141">
        <v>96</v>
      </c>
      <c r="O141">
        <v>30</v>
      </c>
      <c r="Q141" t="b">
        <f t="shared" si="15"/>
        <v>1</v>
      </c>
      <c r="R141" t="b">
        <f t="shared" si="16"/>
        <v>1</v>
      </c>
      <c r="S141" t="b">
        <f t="shared" si="17"/>
        <v>1</v>
      </c>
    </row>
    <row r="142" spans="1:19" x14ac:dyDescent="0.2">
      <c r="A142" s="106">
        <f>_xlfn.XLOOKUP(B142,pratos!B:B,pratos!A:A,"não")</f>
        <v>134</v>
      </c>
      <c r="B142" s="111" t="s">
        <v>328</v>
      </c>
      <c r="C142" s="105">
        <f>_xlfn.XLOOKUP(D142,ingredientes!B:B,ingredientes!A:A,"não")</f>
        <v>167</v>
      </c>
      <c r="D142" s="169" t="s">
        <v>329</v>
      </c>
      <c r="E142" s="57">
        <v>5</v>
      </c>
      <c r="H142">
        <f t="shared" si="24"/>
        <v>134</v>
      </c>
      <c r="I142">
        <f t="shared" si="22"/>
        <v>167</v>
      </c>
      <c r="J142">
        <f t="shared" si="23"/>
        <v>5</v>
      </c>
      <c r="K142">
        <f t="shared" si="25"/>
        <v>301</v>
      </c>
      <c r="M142">
        <v>134</v>
      </c>
      <c r="N142">
        <v>167</v>
      </c>
      <c r="O142">
        <v>5</v>
      </c>
      <c r="Q142" t="b">
        <f t="shared" si="15"/>
        <v>1</v>
      </c>
      <c r="R142" t="b">
        <f t="shared" si="16"/>
        <v>1</v>
      </c>
      <c r="S142" t="b">
        <f t="shared" si="17"/>
        <v>1</v>
      </c>
    </row>
    <row r="143" spans="1:19" x14ac:dyDescent="0.2">
      <c r="A143" s="106">
        <f>_xlfn.XLOOKUP(B143,pratos!B:B,pratos!A:A,"não")</f>
        <v>134</v>
      </c>
      <c r="B143" s="116" t="s">
        <v>328</v>
      </c>
      <c r="C143" s="105">
        <f>_xlfn.XLOOKUP(D143,ingredientes!B:B,ingredientes!A:A,"não")</f>
        <v>242</v>
      </c>
      <c r="D143" t="s">
        <v>276</v>
      </c>
      <c r="E143" s="32">
        <v>30</v>
      </c>
      <c r="H143">
        <f t="shared" si="24"/>
        <v>134</v>
      </c>
      <c r="I143">
        <f t="shared" si="22"/>
        <v>242</v>
      </c>
      <c r="J143">
        <f t="shared" si="23"/>
        <v>30</v>
      </c>
      <c r="K143">
        <f t="shared" si="25"/>
        <v>376</v>
      </c>
      <c r="M143">
        <v>134</v>
      </c>
      <c r="N143">
        <v>242</v>
      </c>
      <c r="O143">
        <v>30</v>
      </c>
      <c r="Q143" t="b">
        <f t="shared" ref="Q143:Q206" si="26">EXACT(H143,M143)</f>
        <v>1</v>
      </c>
      <c r="R143" t="b">
        <f t="shared" ref="R143:R206" si="27">EXACT(I143,N143)</f>
        <v>1</v>
      </c>
      <c r="S143" t="b">
        <f t="shared" ref="S143:S206" si="28">EXACT(J143,O143)</f>
        <v>1</v>
      </c>
    </row>
    <row r="144" spans="1:19" x14ac:dyDescent="0.2">
      <c r="A144" s="106">
        <f>_xlfn.XLOOKUP(B144,pratos!B:B,pratos!A:A,"não")</f>
        <v>135</v>
      </c>
      <c r="B144" s="52" t="s">
        <v>288</v>
      </c>
      <c r="C144" s="105">
        <f>_xlfn.XLOOKUP(D144,ingredientes!B:B,ingredientes!A:A,"não")</f>
        <v>79</v>
      </c>
      <c r="D144" t="s">
        <v>631</v>
      </c>
      <c r="E144" s="65">
        <v>100</v>
      </c>
      <c r="H144">
        <f t="shared" si="24"/>
        <v>135</v>
      </c>
      <c r="I144">
        <f t="shared" si="22"/>
        <v>79</v>
      </c>
      <c r="J144">
        <f t="shared" si="23"/>
        <v>100</v>
      </c>
      <c r="K144">
        <f t="shared" si="25"/>
        <v>214</v>
      </c>
      <c r="M144">
        <v>135</v>
      </c>
      <c r="N144">
        <v>79</v>
      </c>
      <c r="O144">
        <v>100</v>
      </c>
      <c r="Q144" t="b">
        <f t="shared" si="26"/>
        <v>1</v>
      </c>
      <c r="R144" t="b">
        <f t="shared" si="27"/>
        <v>1</v>
      </c>
      <c r="S144" t="b">
        <f t="shared" si="28"/>
        <v>1</v>
      </c>
    </row>
    <row r="145" spans="1:19" x14ac:dyDescent="0.2">
      <c r="A145" s="106">
        <f>_xlfn.XLOOKUP(B145,pratos!B:B,pratos!A:A,"não")</f>
        <v>135</v>
      </c>
      <c r="B145" s="52" t="s">
        <v>288</v>
      </c>
      <c r="C145" s="105">
        <f>_xlfn.XLOOKUP(D145,ingredientes!B:B,ingredientes!A:A,"não")</f>
        <v>182</v>
      </c>
      <c r="D145" s="155" t="s">
        <v>408</v>
      </c>
      <c r="E145" s="65">
        <v>10</v>
      </c>
      <c r="H145">
        <f t="shared" si="24"/>
        <v>135</v>
      </c>
      <c r="I145">
        <f t="shared" si="22"/>
        <v>182</v>
      </c>
      <c r="J145">
        <f t="shared" si="23"/>
        <v>10</v>
      </c>
      <c r="K145">
        <f t="shared" si="25"/>
        <v>317</v>
      </c>
      <c r="M145">
        <v>135</v>
      </c>
      <c r="N145">
        <v>182</v>
      </c>
      <c r="O145">
        <v>10</v>
      </c>
      <c r="Q145" t="b">
        <f t="shared" si="26"/>
        <v>1</v>
      </c>
      <c r="R145" t="b">
        <f t="shared" si="27"/>
        <v>1</v>
      </c>
      <c r="S145" t="b">
        <f t="shared" si="28"/>
        <v>1</v>
      </c>
    </row>
    <row r="146" spans="1:19" x14ac:dyDescent="0.2">
      <c r="A146" s="106">
        <f>_xlfn.XLOOKUP(B146,pratos!B:B,pratos!A:A,"não")</f>
        <v>136</v>
      </c>
      <c r="B146" s="121" t="s">
        <v>287</v>
      </c>
      <c r="C146" s="105">
        <f>_xlfn.XLOOKUP(D146,ingredientes!B:B,ingredientes!A:A,"não")</f>
        <v>19</v>
      </c>
      <c r="D146" s="140" t="s">
        <v>244</v>
      </c>
      <c r="E146" s="59">
        <v>10</v>
      </c>
      <c r="H146">
        <f t="shared" si="24"/>
        <v>136</v>
      </c>
      <c r="I146">
        <f t="shared" si="22"/>
        <v>19</v>
      </c>
      <c r="J146">
        <f t="shared" si="23"/>
        <v>10</v>
      </c>
      <c r="K146">
        <f t="shared" si="25"/>
        <v>155</v>
      </c>
      <c r="M146">
        <v>136</v>
      </c>
      <c r="N146">
        <v>19</v>
      </c>
      <c r="O146">
        <v>10</v>
      </c>
      <c r="Q146" t="b">
        <f t="shared" si="26"/>
        <v>1</v>
      </c>
      <c r="R146" t="b">
        <f t="shared" si="27"/>
        <v>1</v>
      </c>
      <c r="S146" t="b">
        <f t="shared" si="28"/>
        <v>1</v>
      </c>
    </row>
    <row r="147" spans="1:19" x14ac:dyDescent="0.2">
      <c r="A147" s="106">
        <f>_xlfn.XLOOKUP(B147,pratos!B:B,pratos!A:A,"não")</f>
        <v>136</v>
      </c>
      <c r="B147" s="114" t="s">
        <v>287</v>
      </c>
      <c r="C147" s="105">
        <f>_xlfn.XLOOKUP(D147,ingredientes!B:B,ingredientes!A:A,"não")</f>
        <v>79</v>
      </c>
      <c r="D147" t="s">
        <v>631</v>
      </c>
      <c r="E147" s="44">
        <v>20</v>
      </c>
      <c r="H147">
        <f t="shared" si="24"/>
        <v>136</v>
      </c>
      <c r="I147">
        <f t="shared" si="22"/>
        <v>79</v>
      </c>
      <c r="J147">
        <f t="shared" si="23"/>
        <v>20</v>
      </c>
      <c r="K147">
        <f t="shared" si="25"/>
        <v>215</v>
      </c>
      <c r="M147">
        <v>136</v>
      </c>
      <c r="N147">
        <v>79</v>
      </c>
      <c r="O147">
        <v>20</v>
      </c>
      <c r="Q147" t="b">
        <f t="shared" si="26"/>
        <v>1</v>
      </c>
      <c r="R147" t="b">
        <f t="shared" si="27"/>
        <v>1</v>
      </c>
      <c r="S147" t="b">
        <f t="shared" si="28"/>
        <v>1</v>
      </c>
    </row>
    <row r="148" spans="1:19" x14ac:dyDescent="0.2">
      <c r="A148" s="106">
        <f>_xlfn.XLOOKUP(B148,pratos!B:B,pratos!A:A,"não")</f>
        <v>137</v>
      </c>
      <c r="B148" s="121" t="s">
        <v>292</v>
      </c>
      <c r="C148" s="105">
        <f>_xlfn.XLOOKUP(D148,ingredientes!B:B,ingredientes!A:A,"não")</f>
        <v>19</v>
      </c>
      <c r="D148" s="140" t="s">
        <v>244</v>
      </c>
      <c r="E148" s="59">
        <v>10</v>
      </c>
      <c r="H148">
        <f t="shared" si="24"/>
        <v>137</v>
      </c>
      <c r="I148">
        <f t="shared" si="22"/>
        <v>19</v>
      </c>
      <c r="J148">
        <f t="shared" si="23"/>
        <v>10</v>
      </c>
      <c r="K148">
        <f t="shared" si="25"/>
        <v>156</v>
      </c>
      <c r="M148">
        <v>137</v>
      </c>
      <c r="N148">
        <v>19</v>
      </c>
      <c r="O148">
        <v>10</v>
      </c>
      <c r="Q148" t="b">
        <f t="shared" si="26"/>
        <v>1</v>
      </c>
      <c r="R148" t="b">
        <f t="shared" si="27"/>
        <v>1</v>
      </c>
      <c r="S148" t="b">
        <f t="shared" si="28"/>
        <v>1</v>
      </c>
    </row>
    <row r="149" spans="1:19" x14ac:dyDescent="0.2">
      <c r="A149" s="106">
        <f>_xlfn.XLOOKUP(B149,pratos!B:B,pratos!A:A,"não")</f>
        <v>137</v>
      </c>
      <c r="B149" s="114" t="s">
        <v>292</v>
      </c>
      <c r="C149" s="105">
        <f>_xlfn.XLOOKUP(D149,ingredientes!B:B,ingredientes!A:A,"não")</f>
        <v>79</v>
      </c>
      <c r="D149" t="s">
        <v>631</v>
      </c>
      <c r="E149" s="44">
        <v>20</v>
      </c>
      <c r="H149">
        <f t="shared" si="24"/>
        <v>137</v>
      </c>
      <c r="I149">
        <f t="shared" si="22"/>
        <v>79</v>
      </c>
      <c r="J149">
        <f t="shared" si="23"/>
        <v>20</v>
      </c>
      <c r="K149">
        <f t="shared" si="25"/>
        <v>216</v>
      </c>
      <c r="M149">
        <v>137</v>
      </c>
      <c r="N149">
        <v>79</v>
      </c>
      <c r="O149">
        <v>20</v>
      </c>
      <c r="Q149" t="b">
        <f t="shared" si="26"/>
        <v>1</v>
      </c>
      <c r="R149" t="b">
        <f t="shared" si="27"/>
        <v>1</v>
      </c>
      <c r="S149" t="b">
        <f t="shared" si="28"/>
        <v>1</v>
      </c>
    </row>
    <row r="150" spans="1:19" x14ac:dyDescent="0.2">
      <c r="A150" s="106">
        <f>_xlfn.XLOOKUP(B150,pratos!B:B,pratos!A:A,"não")</f>
        <v>138</v>
      </c>
      <c r="B150" s="111" t="s">
        <v>278</v>
      </c>
      <c r="C150" s="105">
        <f>_xlfn.XLOOKUP(D150,ingredientes!B:B,ingredientes!A:A,"não")</f>
        <v>302</v>
      </c>
      <c r="D150" s="20" t="s">
        <v>699</v>
      </c>
      <c r="E150" s="55">
        <v>100</v>
      </c>
      <c r="H150">
        <f t="shared" si="24"/>
        <v>138</v>
      </c>
      <c r="I150">
        <f t="shared" si="22"/>
        <v>302</v>
      </c>
      <c r="J150">
        <f t="shared" si="23"/>
        <v>100</v>
      </c>
      <c r="K150">
        <f t="shared" si="25"/>
        <v>440</v>
      </c>
      <c r="M150">
        <v>138</v>
      </c>
      <c r="N150">
        <v>302</v>
      </c>
      <c r="O150">
        <v>100</v>
      </c>
      <c r="Q150" t="b">
        <f t="shared" si="26"/>
        <v>1</v>
      </c>
      <c r="R150" t="b">
        <f t="shared" si="27"/>
        <v>1</v>
      </c>
      <c r="S150" t="b">
        <f t="shared" si="28"/>
        <v>1</v>
      </c>
    </row>
    <row r="151" spans="1:19" x14ac:dyDescent="0.2">
      <c r="A151" s="106">
        <f>_xlfn.XLOOKUP(B151,pratos!B:B,pratos!A:A,"não")</f>
        <v>139</v>
      </c>
      <c r="B151" s="128" t="s">
        <v>428</v>
      </c>
      <c r="C151" s="105">
        <f>_xlfn.XLOOKUP(D151,ingredientes!B:B,ingredientes!A:A,"não")</f>
        <v>79</v>
      </c>
      <c r="D151" s="30" t="s">
        <v>631</v>
      </c>
      <c r="E151" s="81">
        <v>20</v>
      </c>
      <c r="H151">
        <f t="shared" si="24"/>
        <v>139</v>
      </c>
      <c r="I151">
        <f t="shared" si="22"/>
        <v>79</v>
      </c>
      <c r="J151">
        <f t="shared" si="23"/>
        <v>20</v>
      </c>
      <c r="K151">
        <f t="shared" si="25"/>
        <v>218</v>
      </c>
      <c r="M151">
        <v>139</v>
      </c>
      <c r="N151">
        <v>79</v>
      </c>
      <c r="O151">
        <v>20</v>
      </c>
      <c r="Q151" t="b">
        <f t="shared" si="26"/>
        <v>1</v>
      </c>
      <c r="R151" t="b">
        <f t="shared" si="27"/>
        <v>1</v>
      </c>
      <c r="S151" t="b">
        <f t="shared" si="28"/>
        <v>1</v>
      </c>
    </row>
    <row r="152" spans="1:19" x14ac:dyDescent="0.2">
      <c r="A152" s="106">
        <f>_xlfn.XLOOKUP(B152,pratos!B:B,pratos!A:A,"não")</f>
        <v>139</v>
      </c>
      <c r="B152" s="128" t="s">
        <v>428</v>
      </c>
      <c r="C152" s="105">
        <f>_xlfn.XLOOKUP(D152,ingredientes!B:B,ingredientes!A:A,"não")</f>
        <v>115</v>
      </c>
      <c r="D152" s="9" t="s">
        <v>429</v>
      </c>
      <c r="E152" s="31">
        <v>10</v>
      </c>
      <c r="H152">
        <f t="shared" si="24"/>
        <v>139</v>
      </c>
      <c r="I152">
        <f t="shared" si="22"/>
        <v>115</v>
      </c>
      <c r="J152">
        <f t="shared" si="23"/>
        <v>10</v>
      </c>
      <c r="K152">
        <f t="shared" si="25"/>
        <v>254</v>
      </c>
      <c r="M152">
        <v>139</v>
      </c>
      <c r="N152">
        <v>115</v>
      </c>
      <c r="O152">
        <v>10</v>
      </c>
      <c r="Q152" t="b">
        <f t="shared" si="26"/>
        <v>1</v>
      </c>
      <c r="R152" t="b">
        <f t="shared" si="27"/>
        <v>1</v>
      </c>
      <c r="S152" t="b">
        <f t="shared" si="28"/>
        <v>1</v>
      </c>
    </row>
    <row r="153" spans="1:19" x14ac:dyDescent="0.2">
      <c r="A153" s="106">
        <f>_xlfn.XLOOKUP(B153,pratos!B:B,pratos!A:A,"não")</f>
        <v>140</v>
      </c>
      <c r="B153" s="128" t="s">
        <v>430</v>
      </c>
      <c r="C153" s="105">
        <f>_xlfn.XLOOKUP(D153,ingredientes!B:B,ingredientes!A:A,"não")</f>
        <v>79</v>
      </c>
      <c r="D153" s="30" t="s">
        <v>631</v>
      </c>
      <c r="E153" s="65">
        <v>20</v>
      </c>
      <c r="H153">
        <f t="shared" si="24"/>
        <v>140</v>
      </c>
      <c r="I153">
        <f t="shared" si="22"/>
        <v>79</v>
      </c>
      <c r="J153">
        <f t="shared" si="23"/>
        <v>20</v>
      </c>
      <c r="K153">
        <f t="shared" si="25"/>
        <v>219</v>
      </c>
      <c r="M153">
        <v>140</v>
      </c>
      <c r="N153">
        <v>79</v>
      </c>
      <c r="O153">
        <v>20</v>
      </c>
      <c r="Q153" t="b">
        <f t="shared" si="26"/>
        <v>1</v>
      </c>
      <c r="R153" t="b">
        <f t="shared" si="27"/>
        <v>1</v>
      </c>
      <c r="S153" t="b">
        <f t="shared" si="28"/>
        <v>1</v>
      </c>
    </row>
    <row r="154" spans="1:19" x14ac:dyDescent="0.2">
      <c r="A154" s="106">
        <f>_xlfn.XLOOKUP(B154,pratos!B:B,pratos!A:A,"não")</f>
        <v>140</v>
      </c>
      <c r="B154" s="128" t="s">
        <v>430</v>
      </c>
      <c r="C154" s="105">
        <f>_xlfn.XLOOKUP(D154,ingredientes!B:B,ingredientes!A:A,"não")</f>
        <v>115</v>
      </c>
      <c r="D154" s="138" t="s">
        <v>429</v>
      </c>
      <c r="E154" s="68">
        <v>10</v>
      </c>
      <c r="H154">
        <f t="shared" si="24"/>
        <v>140</v>
      </c>
      <c r="I154">
        <f t="shared" si="22"/>
        <v>115</v>
      </c>
      <c r="J154">
        <f t="shared" si="23"/>
        <v>10</v>
      </c>
      <c r="K154">
        <f t="shared" si="25"/>
        <v>255</v>
      </c>
      <c r="M154">
        <v>140</v>
      </c>
      <c r="N154">
        <v>115</v>
      </c>
      <c r="O154">
        <v>10</v>
      </c>
      <c r="Q154" t="b">
        <f t="shared" si="26"/>
        <v>1</v>
      </c>
      <c r="R154" t="b">
        <f t="shared" si="27"/>
        <v>1</v>
      </c>
      <c r="S154" t="b">
        <f t="shared" si="28"/>
        <v>1</v>
      </c>
    </row>
    <row r="155" spans="1:19" x14ac:dyDescent="0.2">
      <c r="A155" s="106">
        <f>_xlfn.XLOOKUP(B155,pratos!B:B,pratos!A:A,"não")</f>
        <v>140</v>
      </c>
      <c r="B155" s="128" t="s">
        <v>430</v>
      </c>
      <c r="C155" s="105">
        <f>_xlfn.XLOOKUP(D155,ingredientes!B:B,ingredientes!A:A,"não")</f>
        <v>242</v>
      </c>
      <c r="D155" t="s">
        <v>276</v>
      </c>
      <c r="E155" s="17">
        <v>60</v>
      </c>
      <c r="H155">
        <f t="shared" si="24"/>
        <v>140</v>
      </c>
      <c r="I155">
        <f t="shared" si="22"/>
        <v>242</v>
      </c>
      <c r="J155">
        <f t="shared" si="23"/>
        <v>60</v>
      </c>
      <c r="K155">
        <f t="shared" si="25"/>
        <v>382</v>
      </c>
      <c r="M155">
        <v>140</v>
      </c>
      <c r="N155">
        <v>242</v>
      </c>
      <c r="O155">
        <v>60</v>
      </c>
      <c r="Q155" t="b">
        <f t="shared" si="26"/>
        <v>1</v>
      </c>
      <c r="R155" t="b">
        <f t="shared" si="27"/>
        <v>1</v>
      </c>
      <c r="S155" t="b">
        <f t="shared" si="28"/>
        <v>1</v>
      </c>
    </row>
    <row r="156" spans="1:19" x14ac:dyDescent="0.2">
      <c r="A156" s="106">
        <f>_xlfn.XLOOKUP(B156,pratos!B:B,pratos!A:A,"não")</f>
        <v>141</v>
      </c>
      <c r="B156" s="52" t="s">
        <v>414</v>
      </c>
      <c r="C156" s="105">
        <f>_xlfn.XLOOKUP(D156,ingredientes!B:B,ingredientes!A:A,"não")</f>
        <v>79</v>
      </c>
      <c r="D156" t="s">
        <v>631</v>
      </c>
      <c r="E156" s="65">
        <v>100</v>
      </c>
      <c r="H156">
        <f t="shared" si="24"/>
        <v>141</v>
      </c>
      <c r="I156">
        <f t="shared" si="22"/>
        <v>79</v>
      </c>
      <c r="J156">
        <f t="shared" si="23"/>
        <v>100</v>
      </c>
      <c r="K156">
        <f t="shared" si="25"/>
        <v>220</v>
      </c>
      <c r="M156">
        <v>141</v>
      </c>
      <c r="N156">
        <v>79</v>
      </c>
      <c r="O156">
        <v>100</v>
      </c>
      <c r="Q156" t="b">
        <f t="shared" si="26"/>
        <v>1</v>
      </c>
      <c r="R156" t="b">
        <f t="shared" si="27"/>
        <v>1</v>
      </c>
      <c r="S156" t="b">
        <f t="shared" si="28"/>
        <v>1</v>
      </c>
    </row>
    <row r="157" spans="1:19" x14ac:dyDescent="0.2">
      <c r="A157" s="106">
        <f>_xlfn.XLOOKUP(B157,pratos!B:B,pratos!A:A,"não")</f>
        <v>142</v>
      </c>
      <c r="B157" s="52" t="s">
        <v>450</v>
      </c>
      <c r="C157" s="105">
        <f>_xlfn.XLOOKUP(D157,ingredientes!B:B,ingredientes!A:A,"não")</f>
        <v>82</v>
      </c>
      <c r="D157" s="9" t="s">
        <v>451</v>
      </c>
      <c r="E157" s="82">
        <v>120</v>
      </c>
      <c r="H157">
        <f t="shared" si="24"/>
        <v>142</v>
      </c>
      <c r="I157">
        <f t="shared" si="22"/>
        <v>82</v>
      </c>
      <c r="J157">
        <f t="shared" si="23"/>
        <v>120</v>
      </c>
      <c r="K157">
        <f t="shared" si="25"/>
        <v>224</v>
      </c>
      <c r="M157">
        <v>142</v>
      </c>
      <c r="N157">
        <v>82</v>
      </c>
      <c r="O157">
        <v>120</v>
      </c>
      <c r="Q157" t="b">
        <f t="shared" si="26"/>
        <v>1</v>
      </c>
      <c r="R157" t="b">
        <f t="shared" si="27"/>
        <v>1</v>
      </c>
      <c r="S157" t="b">
        <f t="shared" si="28"/>
        <v>1</v>
      </c>
    </row>
    <row r="158" spans="1:19" x14ac:dyDescent="0.2">
      <c r="A158" s="106">
        <f>_xlfn.XLOOKUP(B158,pratos!B:B,pratos!A:A,"não")</f>
        <v>143</v>
      </c>
      <c r="B158" s="52" t="s">
        <v>42</v>
      </c>
      <c r="C158" s="105">
        <f>_xlfn.XLOOKUP(D158,ingredientes!B:B,ingredientes!A:A,"não")</f>
        <v>81</v>
      </c>
      <c r="D158" t="s">
        <v>633</v>
      </c>
      <c r="E158" s="10">
        <v>120</v>
      </c>
      <c r="H158">
        <f t="shared" si="24"/>
        <v>143</v>
      </c>
      <c r="I158">
        <f t="shared" si="22"/>
        <v>81</v>
      </c>
      <c r="J158">
        <f t="shared" si="23"/>
        <v>120</v>
      </c>
      <c r="K158">
        <f t="shared" si="25"/>
        <v>224</v>
      </c>
      <c r="M158">
        <v>143</v>
      </c>
      <c r="N158">
        <v>81</v>
      </c>
      <c r="O158">
        <v>120</v>
      </c>
      <c r="Q158" t="b">
        <f t="shared" si="26"/>
        <v>1</v>
      </c>
      <c r="R158" t="b">
        <f t="shared" si="27"/>
        <v>1</v>
      </c>
      <c r="S158" t="b">
        <f t="shared" si="28"/>
        <v>1</v>
      </c>
    </row>
    <row r="159" spans="1:19" x14ac:dyDescent="0.2">
      <c r="A159" s="106">
        <f>_xlfn.XLOOKUP(B159,pratos!B:B,pratos!A:A,"não")</f>
        <v>144</v>
      </c>
      <c r="B159" s="52" t="s">
        <v>26</v>
      </c>
      <c r="C159" s="105">
        <f>_xlfn.XLOOKUP(D159,ingredientes!B:B,ingredientes!A:A,"não")</f>
        <v>81</v>
      </c>
      <c r="D159" t="s">
        <v>633</v>
      </c>
      <c r="E159" s="10">
        <v>120</v>
      </c>
      <c r="H159">
        <f t="shared" si="24"/>
        <v>144</v>
      </c>
      <c r="I159">
        <f t="shared" si="22"/>
        <v>81</v>
      </c>
      <c r="J159">
        <f t="shared" si="23"/>
        <v>120</v>
      </c>
      <c r="K159">
        <f t="shared" si="25"/>
        <v>225</v>
      </c>
      <c r="M159">
        <v>144</v>
      </c>
      <c r="N159">
        <v>81</v>
      </c>
      <c r="O159">
        <v>120</v>
      </c>
      <c r="Q159" t="b">
        <f t="shared" si="26"/>
        <v>1</v>
      </c>
      <c r="R159" t="b">
        <f t="shared" si="27"/>
        <v>1</v>
      </c>
      <c r="S159" t="b">
        <f t="shared" si="28"/>
        <v>1</v>
      </c>
    </row>
    <row r="160" spans="1:19" x14ac:dyDescent="0.2">
      <c r="A160" s="106">
        <f>_xlfn.XLOOKUP(B160,pratos!B:B,pratos!A:A,"não")</f>
        <v>144</v>
      </c>
      <c r="B160" s="52" t="s">
        <v>26</v>
      </c>
      <c r="C160" s="105">
        <f>_xlfn.XLOOKUP(D160,ingredientes!B:B,ingredientes!A:A,"não")</f>
        <v>126</v>
      </c>
      <c r="D160" s="9" t="s">
        <v>27</v>
      </c>
      <c r="E160" s="10">
        <v>5</v>
      </c>
      <c r="H160">
        <f t="shared" si="24"/>
        <v>144</v>
      </c>
      <c r="I160">
        <f t="shared" si="22"/>
        <v>126</v>
      </c>
      <c r="J160">
        <f t="shared" si="23"/>
        <v>5</v>
      </c>
      <c r="K160">
        <f t="shared" si="25"/>
        <v>270</v>
      </c>
      <c r="M160">
        <v>144</v>
      </c>
      <c r="N160">
        <v>126</v>
      </c>
      <c r="O160">
        <v>5</v>
      </c>
      <c r="Q160" t="b">
        <f t="shared" si="26"/>
        <v>1</v>
      </c>
      <c r="R160" t="b">
        <f t="shared" si="27"/>
        <v>1</v>
      </c>
      <c r="S160" t="b">
        <f t="shared" si="28"/>
        <v>1</v>
      </c>
    </row>
    <row r="161" spans="1:19" x14ac:dyDescent="0.2">
      <c r="A161" s="106">
        <f>_xlfn.XLOOKUP(B161,pratos!B:B,pratos!A:A,"não")</f>
        <v>145</v>
      </c>
      <c r="B161" s="52" t="s">
        <v>82</v>
      </c>
      <c r="C161" s="105">
        <f>_xlfn.XLOOKUP(D161,ingredientes!B:B,ingredientes!A:A,"não")</f>
        <v>81</v>
      </c>
      <c r="D161" s="30" t="s">
        <v>633</v>
      </c>
      <c r="E161" s="10">
        <v>120</v>
      </c>
      <c r="H161">
        <f t="shared" si="24"/>
        <v>145</v>
      </c>
      <c r="I161">
        <f t="shared" si="22"/>
        <v>81</v>
      </c>
      <c r="J161">
        <f t="shared" si="23"/>
        <v>120</v>
      </c>
      <c r="K161">
        <f t="shared" si="25"/>
        <v>226</v>
      </c>
      <c r="M161">
        <v>145</v>
      </c>
      <c r="N161">
        <v>81</v>
      </c>
      <c r="O161">
        <v>120</v>
      </c>
      <c r="Q161" t="b">
        <f t="shared" si="26"/>
        <v>1</v>
      </c>
      <c r="R161" t="b">
        <f t="shared" si="27"/>
        <v>1</v>
      </c>
      <c r="S161" t="b">
        <f t="shared" si="28"/>
        <v>1</v>
      </c>
    </row>
    <row r="162" spans="1:19" x14ac:dyDescent="0.2">
      <c r="A162" s="106">
        <f>_xlfn.XLOOKUP(B162,pratos!B:B,pratos!A:A,"não")</f>
        <v>146</v>
      </c>
      <c r="B162" s="111" t="s">
        <v>117</v>
      </c>
      <c r="C162" s="105">
        <f>_xlfn.XLOOKUP(D162,ingredientes!B:B,ingredientes!A:A,"não")</f>
        <v>84</v>
      </c>
      <c r="D162" s="30" t="s">
        <v>635</v>
      </c>
      <c r="E162" s="19">
        <v>120</v>
      </c>
      <c r="H162">
        <f t="shared" si="24"/>
        <v>146</v>
      </c>
      <c r="I162">
        <f t="shared" ref="I162:I205" si="29">C162</f>
        <v>84</v>
      </c>
      <c r="J162">
        <f t="shared" ref="J162:J205" si="30">E162</f>
        <v>120</v>
      </c>
      <c r="K162">
        <f t="shared" si="25"/>
        <v>230</v>
      </c>
      <c r="M162">
        <v>146</v>
      </c>
      <c r="N162">
        <v>84</v>
      </c>
      <c r="O162">
        <v>120</v>
      </c>
      <c r="Q162" t="b">
        <f t="shared" si="26"/>
        <v>1</v>
      </c>
      <c r="R162" t="b">
        <f t="shared" si="27"/>
        <v>1</v>
      </c>
      <c r="S162" t="b">
        <f t="shared" si="28"/>
        <v>1</v>
      </c>
    </row>
    <row r="163" spans="1:19" x14ac:dyDescent="0.2">
      <c r="A163" s="106">
        <f>_xlfn.XLOOKUP(B163,pratos!B:B,pratos!A:A,"não")</f>
        <v>147</v>
      </c>
      <c r="B163" s="108" t="s">
        <v>227</v>
      </c>
      <c r="C163" s="105">
        <f>_xlfn.XLOOKUP(D163,ingredientes!B:B,ingredientes!A:A,"não")</f>
        <v>84</v>
      </c>
      <c r="D163" s="30" t="s">
        <v>635</v>
      </c>
      <c r="E163" s="17">
        <v>120</v>
      </c>
      <c r="H163">
        <f t="shared" ref="H163:H207" si="31">A163</f>
        <v>147</v>
      </c>
      <c r="I163">
        <f t="shared" si="29"/>
        <v>84</v>
      </c>
      <c r="J163">
        <f t="shared" si="30"/>
        <v>120</v>
      </c>
      <c r="K163">
        <f t="shared" ref="K163:K208" si="32">H163+I163</f>
        <v>231</v>
      </c>
      <c r="M163">
        <v>147</v>
      </c>
      <c r="N163">
        <v>84</v>
      </c>
      <c r="O163">
        <v>120</v>
      </c>
      <c r="Q163" t="b">
        <f t="shared" si="26"/>
        <v>1</v>
      </c>
      <c r="R163" t="b">
        <f t="shared" si="27"/>
        <v>1</v>
      </c>
      <c r="S163" t="b">
        <f t="shared" si="28"/>
        <v>1</v>
      </c>
    </row>
    <row r="164" spans="1:19" x14ac:dyDescent="0.2">
      <c r="A164" s="106">
        <f>_xlfn.XLOOKUP(B164,pratos!B:B,pratos!A:A,"não")</f>
        <v>148</v>
      </c>
      <c r="B164" s="109" t="s">
        <v>405</v>
      </c>
      <c r="C164" s="105">
        <f>_xlfn.XLOOKUP(D164,ingredientes!B:B,ingredientes!A:A,"não")</f>
        <v>86</v>
      </c>
      <c r="D164" s="9" t="s">
        <v>406</v>
      </c>
      <c r="E164" s="10">
        <v>120</v>
      </c>
      <c r="H164">
        <f t="shared" si="31"/>
        <v>148</v>
      </c>
      <c r="I164">
        <f t="shared" si="29"/>
        <v>86</v>
      </c>
      <c r="J164">
        <f t="shared" si="30"/>
        <v>120</v>
      </c>
      <c r="K164">
        <f t="shared" si="32"/>
        <v>234</v>
      </c>
      <c r="M164">
        <v>148</v>
      </c>
      <c r="N164">
        <v>86</v>
      </c>
      <c r="O164">
        <v>120</v>
      </c>
      <c r="Q164" t="b">
        <f t="shared" si="26"/>
        <v>1</v>
      </c>
      <c r="R164" t="b">
        <f t="shared" si="27"/>
        <v>1</v>
      </c>
      <c r="S164" t="b">
        <f t="shared" si="28"/>
        <v>1</v>
      </c>
    </row>
    <row r="165" spans="1:19" x14ac:dyDescent="0.2">
      <c r="A165" s="106">
        <f>_xlfn.XLOOKUP(B165,pratos!B:B,pratos!A:A,"não")</f>
        <v>148</v>
      </c>
      <c r="B165" s="109" t="s">
        <v>405</v>
      </c>
      <c r="C165" s="105">
        <f>_xlfn.XLOOKUP(D165,ingredientes!B:B,ingredientes!A:A,"não")</f>
        <v>206</v>
      </c>
      <c r="D165" s="9" t="s">
        <v>407</v>
      </c>
      <c r="E165" s="10">
        <v>10</v>
      </c>
      <c r="H165">
        <f t="shared" si="31"/>
        <v>148</v>
      </c>
      <c r="I165">
        <f t="shared" si="29"/>
        <v>206</v>
      </c>
      <c r="J165">
        <f t="shared" si="30"/>
        <v>10</v>
      </c>
      <c r="K165">
        <f t="shared" si="32"/>
        <v>354</v>
      </c>
      <c r="M165">
        <v>148</v>
      </c>
      <c r="N165">
        <v>206</v>
      </c>
      <c r="O165">
        <v>10</v>
      </c>
      <c r="Q165" t="b">
        <f t="shared" si="26"/>
        <v>1</v>
      </c>
      <c r="R165" t="b">
        <f t="shared" si="27"/>
        <v>1</v>
      </c>
      <c r="S165" t="b">
        <f t="shared" si="28"/>
        <v>1</v>
      </c>
    </row>
    <row r="166" spans="1:19" x14ac:dyDescent="0.2">
      <c r="A166" s="106">
        <f>_xlfn.XLOOKUP(B166,pratos!B:B,pratos!A:A,"não")</f>
        <v>149</v>
      </c>
      <c r="B166" s="109" t="s">
        <v>138</v>
      </c>
      <c r="C166" s="105">
        <f>_xlfn.XLOOKUP(D166,ingredientes!B:B,ingredientes!A:A,"não")</f>
        <v>96</v>
      </c>
      <c r="D166" s="30" t="s">
        <v>641</v>
      </c>
      <c r="E166" s="10">
        <v>50</v>
      </c>
      <c r="H166">
        <f t="shared" si="31"/>
        <v>149</v>
      </c>
      <c r="I166">
        <f t="shared" si="29"/>
        <v>96</v>
      </c>
      <c r="J166">
        <f t="shared" si="30"/>
        <v>50</v>
      </c>
      <c r="K166">
        <f t="shared" si="32"/>
        <v>245</v>
      </c>
      <c r="M166">
        <v>149</v>
      </c>
      <c r="N166">
        <v>96</v>
      </c>
      <c r="O166">
        <v>50</v>
      </c>
      <c r="Q166" t="b">
        <f t="shared" si="26"/>
        <v>1</v>
      </c>
      <c r="R166" t="b">
        <f t="shared" si="27"/>
        <v>1</v>
      </c>
      <c r="S166" t="b">
        <f t="shared" si="28"/>
        <v>1</v>
      </c>
    </row>
    <row r="167" spans="1:19" x14ac:dyDescent="0.2">
      <c r="A167" s="106">
        <f>_xlfn.XLOOKUP(B167,pratos!B:B,pratos!A:A,"não")</f>
        <v>149</v>
      </c>
      <c r="B167" s="109" t="s">
        <v>138</v>
      </c>
      <c r="C167" s="105">
        <f>_xlfn.XLOOKUP(D167,ingredientes!B:B,ingredientes!A:A,"não")</f>
        <v>106</v>
      </c>
      <c r="D167" s="30" t="s">
        <v>645</v>
      </c>
      <c r="E167" s="10">
        <v>50</v>
      </c>
      <c r="H167">
        <f t="shared" si="31"/>
        <v>149</v>
      </c>
      <c r="I167">
        <f t="shared" si="29"/>
        <v>106</v>
      </c>
      <c r="J167">
        <f t="shared" si="30"/>
        <v>50</v>
      </c>
      <c r="K167">
        <f t="shared" si="32"/>
        <v>255</v>
      </c>
      <c r="M167">
        <v>149</v>
      </c>
      <c r="N167">
        <v>106</v>
      </c>
      <c r="O167">
        <v>50</v>
      </c>
      <c r="Q167" t="b">
        <f t="shared" si="26"/>
        <v>1</v>
      </c>
      <c r="R167" t="b">
        <f t="shared" si="27"/>
        <v>1</v>
      </c>
      <c r="S167" t="b">
        <f t="shared" si="28"/>
        <v>1</v>
      </c>
    </row>
    <row r="168" spans="1:19" x14ac:dyDescent="0.2">
      <c r="A168" s="106">
        <f>_xlfn.XLOOKUP(B168,pratos!B:B,pratos!A:A,"não")</f>
        <v>150</v>
      </c>
      <c r="B168" s="109" t="s">
        <v>237</v>
      </c>
      <c r="C168" s="105">
        <f>_xlfn.XLOOKUP(D168,ingredientes!B:B,ingredientes!A:A,"não")</f>
        <v>96</v>
      </c>
      <c r="D168" s="30" t="s">
        <v>641</v>
      </c>
      <c r="E168" s="10">
        <v>50</v>
      </c>
      <c r="H168">
        <f t="shared" si="31"/>
        <v>150</v>
      </c>
      <c r="I168">
        <f t="shared" si="29"/>
        <v>96</v>
      </c>
      <c r="J168">
        <f t="shared" si="30"/>
        <v>50</v>
      </c>
      <c r="K168">
        <f t="shared" si="32"/>
        <v>246</v>
      </c>
      <c r="M168">
        <v>150</v>
      </c>
      <c r="N168">
        <v>96</v>
      </c>
      <c r="O168">
        <v>50</v>
      </c>
      <c r="Q168" t="b">
        <f t="shared" si="26"/>
        <v>1</v>
      </c>
      <c r="R168" t="b">
        <f t="shared" si="27"/>
        <v>1</v>
      </c>
      <c r="S168" t="b">
        <f t="shared" si="28"/>
        <v>1</v>
      </c>
    </row>
    <row r="169" spans="1:19" x14ac:dyDescent="0.2">
      <c r="A169" s="106">
        <f>_xlfn.XLOOKUP(B169,pratos!B:B,pratos!A:A,"não")</f>
        <v>150</v>
      </c>
      <c r="B169" s="109" t="s">
        <v>237</v>
      </c>
      <c r="C169" s="105">
        <f>_xlfn.XLOOKUP(D169,ingredientes!B:B,ingredientes!A:A,"não")</f>
        <v>106</v>
      </c>
      <c r="D169" s="30" t="s">
        <v>645</v>
      </c>
      <c r="E169" s="10">
        <v>50</v>
      </c>
      <c r="H169">
        <f t="shared" si="31"/>
        <v>150</v>
      </c>
      <c r="I169">
        <f t="shared" si="29"/>
        <v>106</v>
      </c>
      <c r="J169">
        <f t="shared" si="30"/>
        <v>50</v>
      </c>
      <c r="K169">
        <f t="shared" si="32"/>
        <v>256</v>
      </c>
      <c r="M169">
        <v>150</v>
      </c>
      <c r="N169">
        <v>106</v>
      </c>
      <c r="O169">
        <v>50</v>
      </c>
      <c r="Q169" t="b">
        <f t="shared" si="26"/>
        <v>1</v>
      </c>
      <c r="R169" t="b">
        <f t="shared" si="27"/>
        <v>1</v>
      </c>
      <c r="S169" t="b">
        <f t="shared" si="28"/>
        <v>1</v>
      </c>
    </row>
    <row r="170" spans="1:19" x14ac:dyDescent="0.2">
      <c r="A170" s="106">
        <f>_xlfn.XLOOKUP(B170,pratos!B:B,pratos!A:A,"não")</f>
        <v>151</v>
      </c>
      <c r="B170" s="111" t="s">
        <v>78</v>
      </c>
      <c r="C170" s="105">
        <f>_xlfn.XLOOKUP(D170,ingredientes!B:B,ingredientes!A:A,"não")</f>
        <v>96</v>
      </c>
      <c r="D170" s="30" t="s">
        <v>641</v>
      </c>
      <c r="E170" s="19">
        <v>100</v>
      </c>
      <c r="H170">
        <f t="shared" si="31"/>
        <v>151</v>
      </c>
      <c r="I170">
        <f t="shared" si="29"/>
        <v>96</v>
      </c>
      <c r="J170">
        <f t="shared" si="30"/>
        <v>100</v>
      </c>
      <c r="K170">
        <f t="shared" si="32"/>
        <v>247</v>
      </c>
      <c r="M170">
        <v>151</v>
      </c>
      <c r="N170">
        <v>96</v>
      </c>
      <c r="O170">
        <v>100</v>
      </c>
      <c r="Q170" t="b">
        <f t="shared" si="26"/>
        <v>1</v>
      </c>
      <c r="R170" t="b">
        <f t="shared" si="27"/>
        <v>1</v>
      </c>
      <c r="S170" t="b">
        <f t="shared" si="28"/>
        <v>1</v>
      </c>
    </row>
    <row r="171" spans="1:19" x14ac:dyDescent="0.2">
      <c r="A171" s="106">
        <f>_xlfn.XLOOKUP(B171,pratos!B:B,pratos!A:A,"não")</f>
        <v>152</v>
      </c>
      <c r="B171" s="52" t="s">
        <v>550</v>
      </c>
      <c r="C171" s="105">
        <f>_xlfn.XLOOKUP(D171,ingredientes!B:B,ingredientes!A:A,"não")</f>
        <v>96</v>
      </c>
      <c r="D171" s="30" t="s">
        <v>641</v>
      </c>
      <c r="E171" s="10">
        <v>50</v>
      </c>
      <c r="H171">
        <f t="shared" si="31"/>
        <v>152</v>
      </c>
      <c r="I171">
        <f t="shared" si="29"/>
        <v>96</v>
      </c>
      <c r="J171">
        <f t="shared" si="30"/>
        <v>50</v>
      </c>
      <c r="K171">
        <f t="shared" si="32"/>
        <v>248</v>
      </c>
      <c r="M171">
        <v>152</v>
      </c>
      <c r="N171">
        <v>96</v>
      </c>
      <c r="O171">
        <v>50</v>
      </c>
      <c r="Q171" t="b">
        <f t="shared" si="26"/>
        <v>1</v>
      </c>
      <c r="R171" t="b">
        <f t="shared" si="27"/>
        <v>1</v>
      </c>
      <c r="S171" t="b">
        <f t="shared" si="28"/>
        <v>1</v>
      </c>
    </row>
    <row r="172" spans="1:19" x14ac:dyDescent="0.2">
      <c r="A172" s="106">
        <f>_xlfn.XLOOKUP(B172,pratos!B:B,pratos!A:A,"não")</f>
        <v>152</v>
      </c>
      <c r="B172" s="116" t="s">
        <v>550</v>
      </c>
      <c r="C172" s="105">
        <f>_xlfn.XLOOKUP(D172,ingredientes!B:B,ingredientes!A:A,"não")</f>
        <v>320</v>
      </c>
      <c r="D172" s="30" t="s">
        <v>705</v>
      </c>
      <c r="E172" s="93">
        <v>50</v>
      </c>
      <c r="H172">
        <f t="shared" si="31"/>
        <v>152</v>
      </c>
      <c r="I172">
        <f t="shared" si="29"/>
        <v>320</v>
      </c>
      <c r="J172">
        <f t="shared" si="30"/>
        <v>50</v>
      </c>
      <c r="K172">
        <f t="shared" si="32"/>
        <v>472</v>
      </c>
      <c r="M172">
        <v>152</v>
      </c>
      <c r="N172">
        <v>320</v>
      </c>
      <c r="O172">
        <v>50</v>
      </c>
      <c r="Q172" t="b">
        <f t="shared" si="26"/>
        <v>1</v>
      </c>
      <c r="R172" t="b">
        <f t="shared" si="27"/>
        <v>1</v>
      </c>
      <c r="S172" t="b">
        <f t="shared" si="28"/>
        <v>1</v>
      </c>
    </row>
    <row r="173" spans="1:19" x14ac:dyDescent="0.2">
      <c r="A173" s="106">
        <f>_xlfn.XLOOKUP(B173,pratos!B:B,pratos!A:A,"não")</f>
        <v>153</v>
      </c>
      <c r="B173" s="111" t="s">
        <v>359</v>
      </c>
      <c r="C173" s="105">
        <f>_xlfn.XLOOKUP(D173,ingredientes!B:B,ingredientes!A:A,"não")</f>
        <v>58</v>
      </c>
      <c r="D173" s="30" t="s">
        <v>618</v>
      </c>
      <c r="E173" s="19">
        <v>50</v>
      </c>
      <c r="H173">
        <f t="shared" si="31"/>
        <v>153</v>
      </c>
      <c r="I173">
        <f t="shared" si="29"/>
        <v>58</v>
      </c>
      <c r="J173">
        <f t="shared" si="30"/>
        <v>50</v>
      </c>
      <c r="K173">
        <f t="shared" si="32"/>
        <v>211</v>
      </c>
      <c r="M173">
        <v>153</v>
      </c>
      <c r="N173">
        <v>58</v>
      </c>
      <c r="O173">
        <v>50</v>
      </c>
      <c r="Q173" t="b">
        <f t="shared" si="26"/>
        <v>1</v>
      </c>
      <c r="R173" t="b">
        <f t="shared" si="27"/>
        <v>1</v>
      </c>
      <c r="S173" t="b">
        <f t="shared" si="28"/>
        <v>1</v>
      </c>
    </row>
    <row r="174" spans="1:19" x14ac:dyDescent="0.2">
      <c r="A174" s="106">
        <f>_xlfn.XLOOKUP(B174,pratos!B:B,pratos!A:A,"não")</f>
        <v>153</v>
      </c>
      <c r="B174" s="111" t="s">
        <v>359</v>
      </c>
      <c r="C174" s="105">
        <f>_xlfn.XLOOKUP(D174,ingredientes!B:B,ingredientes!A:A,"não")</f>
        <v>96</v>
      </c>
      <c r="D174" s="30" t="s">
        <v>641</v>
      </c>
      <c r="E174" s="10">
        <v>50</v>
      </c>
      <c r="H174">
        <f t="shared" si="31"/>
        <v>153</v>
      </c>
      <c r="I174">
        <f t="shared" si="29"/>
        <v>96</v>
      </c>
      <c r="J174">
        <f t="shared" si="30"/>
        <v>50</v>
      </c>
      <c r="K174">
        <f t="shared" si="32"/>
        <v>249</v>
      </c>
      <c r="M174">
        <v>153</v>
      </c>
      <c r="N174">
        <v>96</v>
      </c>
      <c r="O174">
        <v>50</v>
      </c>
      <c r="Q174" t="b">
        <f t="shared" si="26"/>
        <v>1</v>
      </c>
      <c r="R174" t="b">
        <f t="shared" si="27"/>
        <v>1</v>
      </c>
      <c r="S174" t="b">
        <f t="shared" si="28"/>
        <v>1</v>
      </c>
    </row>
    <row r="175" spans="1:19" x14ac:dyDescent="0.2">
      <c r="A175" s="106">
        <f>_xlfn.XLOOKUP(B175,pratos!B:B,pratos!A:A,"não")</f>
        <v>154</v>
      </c>
      <c r="B175" s="116" t="s">
        <v>561</v>
      </c>
      <c r="C175" s="105">
        <f>_xlfn.XLOOKUP(D175,ingredientes!B:B,ingredientes!A:A,"não")</f>
        <v>98</v>
      </c>
      <c r="D175" s="76" t="s">
        <v>24</v>
      </c>
      <c r="E175" s="87">
        <v>100</v>
      </c>
      <c r="H175">
        <f t="shared" si="31"/>
        <v>154</v>
      </c>
      <c r="I175">
        <f t="shared" si="29"/>
        <v>98</v>
      </c>
      <c r="J175">
        <f t="shared" si="30"/>
        <v>100</v>
      </c>
      <c r="K175">
        <f t="shared" si="32"/>
        <v>252</v>
      </c>
      <c r="M175">
        <v>154</v>
      </c>
      <c r="N175">
        <v>98</v>
      </c>
      <c r="O175">
        <v>100</v>
      </c>
      <c r="Q175" t="b">
        <f t="shared" si="26"/>
        <v>1</v>
      </c>
      <c r="R175" t="b">
        <f t="shared" si="27"/>
        <v>1</v>
      </c>
      <c r="S175" t="b">
        <f t="shared" si="28"/>
        <v>1</v>
      </c>
    </row>
    <row r="176" spans="1:19" x14ac:dyDescent="0.2">
      <c r="A176" s="106">
        <f>_xlfn.XLOOKUP(B176,pratos!B:B,pratos!A:A,"não")</f>
        <v>155</v>
      </c>
      <c r="B176" s="52" t="s">
        <v>23</v>
      </c>
      <c r="C176" s="105">
        <f>_xlfn.XLOOKUP(D176,ingredientes!B:B,ingredientes!A:A,"não")</f>
        <v>98</v>
      </c>
      <c r="D176" s="9" t="s">
        <v>24</v>
      </c>
      <c r="E176" s="13">
        <v>50</v>
      </c>
      <c r="H176">
        <f t="shared" si="31"/>
        <v>155</v>
      </c>
      <c r="I176">
        <f t="shared" si="29"/>
        <v>98</v>
      </c>
      <c r="J176">
        <f t="shared" si="30"/>
        <v>50</v>
      </c>
      <c r="K176">
        <f t="shared" si="32"/>
        <v>253</v>
      </c>
      <c r="M176">
        <v>155</v>
      </c>
      <c r="N176">
        <v>98</v>
      </c>
      <c r="O176">
        <v>50</v>
      </c>
      <c r="Q176" t="b">
        <f t="shared" si="26"/>
        <v>1</v>
      </c>
      <c r="R176" t="b">
        <f t="shared" si="27"/>
        <v>1</v>
      </c>
      <c r="S176" t="b">
        <f t="shared" si="28"/>
        <v>1</v>
      </c>
    </row>
    <row r="177" spans="1:19" x14ac:dyDescent="0.2">
      <c r="A177" s="106">
        <f>_xlfn.XLOOKUP(B177,pratos!B:B,pratos!A:A,"não")</f>
        <v>155</v>
      </c>
      <c r="B177" s="52" t="s">
        <v>23</v>
      </c>
      <c r="C177" s="105">
        <f>_xlfn.XLOOKUP(D177,ingredientes!B:B,ingredientes!A:A,"não")</f>
        <v>313</v>
      </c>
      <c r="D177" s="14" t="s">
        <v>25</v>
      </c>
      <c r="E177" s="10">
        <v>50</v>
      </c>
      <c r="H177">
        <f t="shared" si="31"/>
        <v>155</v>
      </c>
      <c r="I177">
        <f t="shared" si="29"/>
        <v>313</v>
      </c>
      <c r="J177">
        <f t="shared" si="30"/>
        <v>50</v>
      </c>
      <c r="K177">
        <f t="shared" si="32"/>
        <v>468</v>
      </c>
      <c r="M177">
        <v>155</v>
      </c>
      <c r="N177">
        <v>313</v>
      </c>
      <c r="O177">
        <v>50</v>
      </c>
      <c r="Q177" t="b">
        <f t="shared" si="26"/>
        <v>1</v>
      </c>
      <c r="R177" t="b">
        <f t="shared" si="27"/>
        <v>1</v>
      </c>
      <c r="S177" t="b">
        <f t="shared" si="28"/>
        <v>1</v>
      </c>
    </row>
    <row r="178" spans="1:19" x14ac:dyDescent="0.2">
      <c r="A178" s="106">
        <f>_xlfn.XLOOKUP(B178,pratos!B:B,pratos!A:A,"não")</f>
        <v>157</v>
      </c>
      <c r="B178" s="109" t="s">
        <v>315</v>
      </c>
      <c r="C178" s="105">
        <f>_xlfn.XLOOKUP(D178,ingredientes!B:B,ingredientes!A:A,"não")</f>
        <v>96</v>
      </c>
      <c r="D178" s="30" t="s">
        <v>641</v>
      </c>
      <c r="E178" s="10">
        <v>100</v>
      </c>
      <c r="H178">
        <f t="shared" si="31"/>
        <v>157</v>
      </c>
      <c r="I178">
        <f t="shared" si="29"/>
        <v>96</v>
      </c>
      <c r="J178">
        <f t="shared" si="30"/>
        <v>100</v>
      </c>
      <c r="K178">
        <f t="shared" si="32"/>
        <v>253</v>
      </c>
      <c r="M178">
        <v>157</v>
      </c>
      <c r="N178">
        <v>96</v>
      </c>
      <c r="O178">
        <v>100</v>
      </c>
      <c r="Q178" t="b">
        <f t="shared" si="26"/>
        <v>1</v>
      </c>
      <c r="R178" t="b">
        <f t="shared" si="27"/>
        <v>1</v>
      </c>
      <c r="S178" t="b">
        <f t="shared" si="28"/>
        <v>1</v>
      </c>
    </row>
    <row r="179" spans="1:19" x14ac:dyDescent="0.2">
      <c r="A179" s="106">
        <f>_xlfn.XLOOKUP(B179,pratos!B:B,pratos!A:A,"não")</f>
        <v>157</v>
      </c>
      <c r="B179" s="111" t="s">
        <v>315</v>
      </c>
      <c r="C179" s="105">
        <f>_xlfn.XLOOKUP(D179,ingredientes!B:B,ingredientes!A:A,"não")</f>
        <v>199</v>
      </c>
      <c r="D179" s="9" t="s">
        <v>95</v>
      </c>
      <c r="E179" s="5">
        <v>5</v>
      </c>
      <c r="H179">
        <f t="shared" si="31"/>
        <v>157</v>
      </c>
      <c r="I179">
        <f t="shared" si="29"/>
        <v>199</v>
      </c>
      <c r="J179">
        <f t="shared" si="30"/>
        <v>5</v>
      </c>
      <c r="K179">
        <f t="shared" si="32"/>
        <v>356</v>
      </c>
      <c r="M179">
        <v>157</v>
      </c>
      <c r="N179">
        <v>199</v>
      </c>
      <c r="O179">
        <v>5</v>
      </c>
      <c r="Q179" t="b">
        <f t="shared" si="26"/>
        <v>1</v>
      </c>
      <c r="R179" t="b">
        <f t="shared" si="27"/>
        <v>1</v>
      </c>
      <c r="S179" t="b">
        <f t="shared" si="28"/>
        <v>1</v>
      </c>
    </row>
    <row r="180" spans="1:19" x14ac:dyDescent="0.2">
      <c r="A180" s="106">
        <f>_xlfn.XLOOKUP(B180,pratos!B:B,pratos!A:A,"não")</f>
        <v>158</v>
      </c>
      <c r="B180" s="52" t="s">
        <v>351</v>
      </c>
      <c r="C180" s="105">
        <f>_xlfn.XLOOKUP(D180,ingredientes!B:B,ingredientes!A:A,"não")</f>
        <v>96</v>
      </c>
      <c r="D180" s="30" t="s">
        <v>641</v>
      </c>
      <c r="E180" s="17">
        <v>30</v>
      </c>
      <c r="H180">
        <f t="shared" si="31"/>
        <v>158</v>
      </c>
      <c r="I180">
        <f t="shared" si="29"/>
        <v>96</v>
      </c>
      <c r="J180">
        <f t="shared" si="30"/>
        <v>30</v>
      </c>
      <c r="K180">
        <f t="shared" si="32"/>
        <v>254</v>
      </c>
      <c r="M180">
        <v>158</v>
      </c>
      <c r="N180">
        <v>96</v>
      </c>
      <c r="O180">
        <v>30</v>
      </c>
      <c r="Q180" t="b">
        <f t="shared" si="26"/>
        <v>1</v>
      </c>
      <c r="R180" t="b">
        <f t="shared" si="27"/>
        <v>1</v>
      </c>
      <c r="S180" t="b">
        <f t="shared" si="28"/>
        <v>1</v>
      </c>
    </row>
    <row r="181" spans="1:19" x14ac:dyDescent="0.2">
      <c r="A181" s="106">
        <f>_xlfn.XLOOKUP(B181,pratos!B:B,pratos!A:A,"não")</f>
        <v>158</v>
      </c>
      <c r="B181" s="52" t="s">
        <v>351</v>
      </c>
      <c r="C181" s="105">
        <f>_xlfn.XLOOKUP(D181,ingredientes!B:B,ingredientes!A:A,"não")</f>
        <v>106</v>
      </c>
      <c r="D181" s="30" t="s">
        <v>645</v>
      </c>
      <c r="E181" s="10">
        <v>40</v>
      </c>
      <c r="H181">
        <f t="shared" si="31"/>
        <v>158</v>
      </c>
      <c r="I181">
        <f t="shared" si="29"/>
        <v>106</v>
      </c>
      <c r="J181">
        <f t="shared" si="30"/>
        <v>40</v>
      </c>
      <c r="K181">
        <f t="shared" si="32"/>
        <v>264</v>
      </c>
      <c r="M181">
        <v>158</v>
      </c>
      <c r="N181">
        <v>106</v>
      </c>
      <c r="O181">
        <v>40</v>
      </c>
      <c r="Q181" t="b">
        <f t="shared" si="26"/>
        <v>1</v>
      </c>
      <c r="R181" t="b">
        <f t="shared" si="27"/>
        <v>1</v>
      </c>
      <c r="S181" t="b">
        <f t="shared" si="28"/>
        <v>1</v>
      </c>
    </row>
    <row r="182" spans="1:19" x14ac:dyDescent="0.2">
      <c r="A182" s="106">
        <f>_xlfn.XLOOKUP(B182,pratos!B:B,pratos!A:A,"não")</f>
        <v>158</v>
      </c>
      <c r="B182" s="52" t="s">
        <v>351</v>
      </c>
      <c r="C182" s="105">
        <f>_xlfn.XLOOKUP(D182,ingredientes!B:B,ingredientes!A:A,"não")</f>
        <v>320</v>
      </c>
      <c r="D182" s="30" t="s">
        <v>705</v>
      </c>
      <c r="E182" s="10">
        <v>30</v>
      </c>
      <c r="H182">
        <f t="shared" si="31"/>
        <v>158</v>
      </c>
      <c r="I182">
        <f t="shared" si="29"/>
        <v>320</v>
      </c>
      <c r="J182">
        <f t="shared" si="30"/>
        <v>30</v>
      </c>
      <c r="K182">
        <f t="shared" si="32"/>
        <v>478</v>
      </c>
      <c r="M182">
        <v>158</v>
      </c>
      <c r="N182">
        <v>320</v>
      </c>
      <c r="O182">
        <v>30</v>
      </c>
      <c r="Q182" t="b">
        <f t="shared" si="26"/>
        <v>1</v>
      </c>
      <c r="R182" t="b">
        <f t="shared" si="27"/>
        <v>1</v>
      </c>
      <c r="S182" t="b">
        <f t="shared" si="28"/>
        <v>1</v>
      </c>
    </row>
    <row r="183" spans="1:19" x14ac:dyDescent="0.2">
      <c r="A183" s="106">
        <f>_xlfn.XLOOKUP(B183,pratos!B:B,pratos!A:A,"não")</f>
        <v>159</v>
      </c>
      <c r="B183" s="112" t="s">
        <v>86</v>
      </c>
      <c r="C183" s="105">
        <f>_xlfn.XLOOKUP(D183,ingredientes!B:B,ingredientes!A:A,"não")</f>
        <v>17</v>
      </c>
      <c r="D183" s="30" t="s">
        <v>7</v>
      </c>
      <c r="E183" s="63">
        <v>20</v>
      </c>
      <c r="H183">
        <f t="shared" si="31"/>
        <v>159</v>
      </c>
      <c r="I183">
        <f t="shared" si="29"/>
        <v>17</v>
      </c>
      <c r="J183">
        <f t="shared" si="30"/>
        <v>20</v>
      </c>
      <c r="K183">
        <f t="shared" si="32"/>
        <v>176</v>
      </c>
      <c r="M183">
        <v>159</v>
      </c>
      <c r="N183">
        <v>17</v>
      </c>
      <c r="O183">
        <v>20</v>
      </c>
      <c r="Q183" t="b">
        <f t="shared" si="26"/>
        <v>1</v>
      </c>
      <c r="R183" t="b">
        <f t="shared" si="27"/>
        <v>1</v>
      </c>
      <c r="S183" t="b">
        <f t="shared" si="28"/>
        <v>1</v>
      </c>
    </row>
    <row r="184" spans="1:19" x14ac:dyDescent="0.2">
      <c r="A184" s="106">
        <f>_xlfn.XLOOKUP(B184,pratos!B:B,pratos!A:A,"não")</f>
        <v>159</v>
      </c>
      <c r="B184" s="111" t="s">
        <v>86</v>
      </c>
      <c r="C184" s="105">
        <f>_xlfn.XLOOKUP(D184,ingredientes!B:B,ingredientes!A:A,"não")</f>
        <v>103</v>
      </c>
      <c r="D184" s="24" t="s">
        <v>87</v>
      </c>
      <c r="E184" s="25">
        <v>160</v>
      </c>
      <c r="H184">
        <f t="shared" si="31"/>
        <v>159</v>
      </c>
      <c r="I184">
        <f t="shared" si="29"/>
        <v>103</v>
      </c>
      <c r="J184">
        <f t="shared" si="30"/>
        <v>160</v>
      </c>
      <c r="K184">
        <f t="shared" si="32"/>
        <v>262</v>
      </c>
      <c r="M184">
        <v>159</v>
      </c>
      <c r="N184">
        <v>103</v>
      </c>
      <c r="O184">
        <v>160</v>
      </c>
      <c r="Q184" t="b">
        <f t="shared" si="26"/>
        <v>1</v>
      </c>
      <c r="R184" t="b">
        <f t="shared" si="27"/>
        <v>1</v>
      </c>
      <c r="S184" t="b">
        <f t="shared" si="28"/>
        <v>1</v>
      </c>
    </row>
    <row r="185" spans="1:19" x14ac:dyDescent="0.2">
      <c r="A185" s="106">
        <f>_xlfn.XLOOKUP(B185,pratos!B:B,pratos!A:A,"não")</f>
        <v>160</v>
      </c>
      <c r="B185" s="111" t="s">
        <v>172</v>
      </c>
      <c r="C185" s="105">
        <f>_xlfn.XLOOKUP(D185,ingredientes!B:B,ingredientes!A:A,"não")</f>
        <v>101</v>
      </c>
      <c r="D185" s="144" t="s">
        <v>173</v>
      </c>
      <c r="E185" s="19">
        <v>160</v>
      </c>
      <c r="H185">
        <f t="shared" si="31"/>
        <v>160</v>
      </c>
      <c r="I185">
        <f t="shared" si="29"/>
        <v>101</v>
      </c>
      <c r="J185">
        <f t="shared" si="30"/>
        <v>160</v>
      </c>
      <c r="K185">
        <f t="shared" si="32"/>
        <v>261</v>
      </c>
      <c r="M185">
        <v>160</v>
      </c>
      <c r="N185">
        <v>101</v>
      </c>
      <c r="O185">
        <v>160</v>
      </c>
      <c r="Q185" t="b">
        <f t="shared" si="26"/>
        <v>1</v>
      </c>
      <c r="R185" t="b">
        <f t="shared" si="27"/>
        <v>1</v>
      </c>
      <c r="S185" t="b">
        <f t="shared" si="28"/>
        <v>1</v>
      </c>
    </row>
    <row r="186" spans="1:19" x14ac:dyDescent="0.2">
      <c r="A186" s="106">
        <f>_xlfn.XLOOKUP(B186,pratos!B:B,pratos!A:A,"não")</f>
        <v>161</v>
      </c>
      <c r="B186" s="111" t="s">
        <v>73</v>
      </c>
      <c r="C186" s="105">
        <f>_xlfn.XLOOKUP(D186,ingredientes!B:B,ingredientes!A:A,"não")</f>
        <v>104</v>
      </c>
      <c r="D186" s="144" t="s">
        <v>74</v>
      </c>
      <c r="E186" s="19">
        <v>160</v>
      </c>
      <c r="H186">
        <f t="shared" si="31"/>
        <v>161</v>
      </c>
      <c r="I186">
        <f t="shared" si="29"/>
        <v>104</v>
      </c>
      <c r="J186">
        <f t="shared" si="30"/>
        <v>160</v>
      </c>
      <c r="K186">
        <f t="shared" si="32"/>
        <v>265</v>
      </c>
      <c r="M186">
        <v>161</v>
      </c>
      <c r="N186">
        <v>104</v>
      </c>
      <c r="O186">
        <v>160</v>
      </c>
      <c r="Q186" t="b">
        <f t="shared" si="26"/>
        <v>1</v>
      </c>
      <c r="R186" t="b">
        <f t="shared" si="27"/>
        <v>1</v>
      </c>
      <c r="S186" t="b">
        <f t="shared" si="28"/>
        <v>1</v>
      </c>
    </row>
    <row r="187" spans="1:19" x14ac:dyDescent="0.2">
      <c r="A187" s="106">
        <f>_xlfn.XLOOKUP(B187,pratos!B:B,pratos!A:A,"não")</f>
        <v>162</v>
      </c>
      <c r="B187" s="128" t="s">
        <v>421</v>
      </c>
      <c r="C187" s="105">
        <f>_xlfn.XLOOKUP(D187,ingredientes!B:B,ingredientes!A:A,"não")</f>
        <v>96</v>
      </c>
      <c r="D187" t="s">
        <v>641</v>
      </c>
      <c r="E187" s="68">
        <v>50</v>
      </c>
      <c r="H187">
        <f t="shared" si="31"/>
        <v>162</v>
      </c>
      <c r="I187">
        <f t="shared" si="29"/>
        <v>96</v>
      </c>
      <c r="J187">
        <f t="shared" si="30"/>
        <v>50</v>
      </c>
      <c r="K187">
        <f t="shared" si="32"/>
        <v>258</v>
      </c>
      <c r="M187">
        <v>162</v>
      </c>
      <c r="N187">
        <v>96</v>
      </c>
      <c r="O187">
        <v>50</v>
      </c>
      <c r="Q187" t="b">
        <f t="shared" si="26"/>
        <v>1</v>
      </c>
      <c r="R187" t="b">
        <f t="shared" si="27"/>
        <v>1</v>
      </c>
      <c r="S187" t="b">
        <f t="shared" si="28"/>
        <v>1</v>
      </c>
    </row>
    <row r="188" spans="1:19" x14ac:dyDescent="0.2">
      <c r="A188" s="106">
        <f>_xlfn.XLOOKUP(B188,pratos!B:B,pratos!A:A,"não")</f>
        <v>162</v>
      </c>
      <c r="B188" s="128" t="s">
        <v>421</v>
      </c>
      <c r="C188" s="105">
        <f>_xlfn.XLOOKUP(D188,ingredientes!B:B,ingredientes!A:A,"não")</f>
        <v>106</v>
      </c>
      <c r="D188" t="s">
        <v>645</v>
      </c>
      <c r="E188" s="10">
        <v>50</v>
      </c>
      <c r="H188">
        <f t="shared" si="31"/>
        <v>162</v>
      </c>
      <c r="I188">
        <f t="shared" si="29"/>
        <v>106</v>
      </c>
      <c r="J188">
        <f t="shared" si="30"/>
        <v>50</v>
      </c>
      <c r="K188">
        <f t="shared" si="32"/>
        <v>268</v>
      </c>
      <c r="M188">
        <v>162</v>
      </c>
      <c r="N188">
        <v>106</v>
      </c>
      <c r="O188">
        <v>50</v>
      </c>
      <c r="Q188" t="b">
        <f t="shared" si="26"/>
        <v>1</v>
      </c>
      <c r="R188" t="b">
        <f t="shared" si="27"/>
        <v>1</v>
      </c>
      <c r="S188" t="b">
        <f t="shared" si="28"/>
        <v>1</v>
      </c>
    </row>
    <row r="189" spans="1:19" x14ac:dyDescent="0.2">
      <c r="A189" s="106">
        <f>_xlfn.XLOOKUP(B189,pratos!B:B,pratos!A:A,"não")</f>
        <v>163</v>
      </c>
      <c r="B189" s="52" t="s">
        <v>520</v>
      </c>
      <c r="C189" s="105">
        <f>_xlfn.XLOOKUP(D189,ingredientes!B:B,ingredientes!A:A,"não")</f>
        <v>94</v>
      </c>
      <c r="D189" s="161" t="s">
        <v>506</v>
      </c>
      <c r="E189" s="93">
        <v>5</v>
      </c>
      <c r="H189">
        <f t="shared" si="31"/>
        <v>163</v>
      </c>
      <c r="I189">
        <f t="shared" si="29"/>
        <v>94</v>
      </c>
      <c r="J189">
        <f t="shared" si="30"/>
        <v>5</v>
      </c>
      <c r="K189">
        <f t="shared" si="32"/>
        <v>257</v>
      </c>
      <c r="M189">
        <v>163</v>
      </c>
      <c r="N189">
        <v>94</v>
      </c>
      <c r="O189">
        <v>5</v>
      </c>
      <c r="Q189" t="b">
        <f t="shared" si="26"/>
        <v>1</v>
      </c>
      <c r="R189" t="b">
        <f t="shared" si="27"/>
        <v>1</v>
      </c>
      <c r="S189" t="b">
        <f t="shared" si="28"/>
        <v>1</v>
      </c>
    </row>
    <row r="190" spans="1:19" x14ac:dyDescent="0.2">
      <c r="A190" s="106">
        <f>_xlfn.XLOOKUP(B190,pratos!B:B,pratos!A:A,"não")</f>
        <v>163</v>
      </c>
      <c r="B190" s="116" t="s">
        <v>520</v>
      </c>
      <c r="C190" s="105">
        <f>_xlfn.XLOOKUP(D190,ingredientes!B:B,ingredientes!A:A,"não")</f>
        <v>106</v>
      </c>
      <c r="D190" t="s">
        <v>645</v>
      </c>
      <c r="E190" s="93">
        <v>75</v>
      </c>
      <c r="H190">
        <f t="shared" si="31"/>
        <v>163</v>
      </c>
      <c r="I190">
        <f t="shared" si="29"/>
        <v>106</v>
      </c>
      <c r="J190">
        <f t="shared" si="30"/>
        <v>75</v>
      </c>
      <c r="K190">
        <f t="shared" si="32"/>
        <v>269</v>
      </c>
      <c r="M190">
        <v>163</v>
      </c>
      <c r="N190">
        <v>106</v>
      </c>
      <c r="O190">
        <v>75</v>
      </c>
      <c r="Q190" t="b">
        <f t="shared" si="26"/>
        <v>1</v>
      </c>
      <c r="R190" t="b">
        <f t="shared" si="27"/>
        <v>1</v>
      </c>
      <c r="S190" t="b">
        <f t="shared" si="28"/>
        <v>1</v>
      </c>
    </row>
    <row r="191" spans="1:19" x14ac:dyDescent="0.2">
      <c r="A191" s="106">
        <f>_xlfn.XLOOKUP(B191,pratos!B:B,pratos!A:A,"não")</f>
        <v>163</v>
      </c>
      <c r="B191" s="109" t="s">
        <v>520</v>
      </c>
      <c r="C191" s="105">
        <f>_xlfn.XLOOKUP(D191,ingredientes!B:B,ingredientes!A:A,"não")</f>
        <v>112</v>
      </c>
      <c r="D191" s="153" t="s">
        <v>521</v>
      </c>
      <c r="E191" s="93">
        <v>20</v>
      </c>
      <c r="H191">
        <f t="shared" si="31"/>
        <v>163</v>
      </c>
      <c r="I191">
        <f t="shared" si="29"/>
        <v>112</v>
      </c>
      <c r="J191">
        <f t="shared" si="30"/>
        <v>20</v>
      </c>
      <c r="K191">
        <f t="shared" si="32"/>
        <v>275</v>
      </c>
      <c r="M191">
        <v>163</v>
      </c>
      <c r="N191">
        <v>112</v>
      </c>
      <c r="O191">
        <v>20</v>
      </c>
      <c r="Q191" t="b">
        <f t="shared" si="26"/>
        <v>1</v>
      </c>
      <c r="R191" t="b">
        <f t="shared" si="27"/>
        <v>1</v>
      </c>
      <c r="S191" t="b">
        <f t="shared" si="28"/>
        <v>1</v>
      </c>
    </row>
    <row r="192" spans="1:19" x14ac:dyDescent="0.2">
      <c r="A192" s="106">
        <f>_xlfn.XLOOKUP(B192,pratos!B:B,pratos!A:A,"não")</f>
        <v>164</v>
      </c>
      <c r="B192" s="109" t="s">
        <v>526</v>
      </c>
      <c r="C192" s="105">
        <f>_xlfn.XLOOKUP(D192,ingredientes!B:B,ingredientes!A:A,"não")</f>
        <v>106</v>
      </c>
      <c r="D192" t="s">
        <v>645</v>
      </c>
      <c r="E192" s="87">
        <v>100</v>
      </c>
      <c r="H192">
        <f t="shared" si="31"/>
        <v>164</v>
      </c>
      <c r="I192">
        <f t="shared" si="29"/>
        <v>106</v>
      </c>
      <c r="J192">
        <f t="shared" si="30"/>
        <v>100</v>
      </c>
      <c r="K192">
        <f t="shared" si="32"/>
        <v>270</v>
      </c>
      <c r="M192">
        <v>164</v>
      </c>
      <c r="N192">
        <v>106</v>
      </c>
      <c r="O192">
        <v>100</v>
      </c>
      <c r="Q192" t="b">
        <f t="shared" si="26"/>
        <v>1</v>
      </c>
      <c r="R192" t="b">
        <f t="shared" si="27"/>
        <v>1</v>
      </c>
      <c r="S192" t="b">
        <f t="shared" si="28"/>
        <v>1</v>
      </c>
    </row>
    <row r="193" spans="1:19" x14ac:dyDescent="0.2">
      <c r="A193" s="106">
        <f>_xlfn.XLOOKUP(B193,pratos!B:B,pratos!A:A,"não")</f>
        <v>164</v>
      </c>
      <c r="B193" s="116" t="s">
        <v>528</v>
      </c>
      <c r="C193" s="105">
        <f>_xlfn.XLOOKUP(D193,ingredientes!B:B,ingredientes!A:A,"não")</f>
        <v>113</v>
      </c>
      <c r="D193" s="174" t="s">
        <v>368</v>
      </c>
      <c r="E193" s="17">
        <v>5</v>
      </c>
      <c r="H193">
        <f t="shared" si="31"/>
        <v>164</v>
      </c>
      <c r="I193">
        <f t="shared" si="29"/>
        <v>113</v>
      </c>
      <c r="J193">
        <f t="shared" si="30"/>
        <v>5</v>
      </c>
      <c r="K193">
        <f t="shared" si="32"/>
        <v>277</v>
      </c>
      <c r="M193">
        <v>164</v>
      </c>
      <c r="N193">
        <v>113</v>
      </c>
      <c r="O193">
        <v>5</v>
      </c>
      <c r="Q193" t="b">
        <f t="shared" si="26"/>
        <v>1</v>
      </c>
      <c r="R193" t="b">
        <f t="shared" si="27"/>
        <v>1</v>
      </c>
      <c r="S193" t="b">
        <f t="shared" si="28"/>
        <v>1</v>
      </c>
    </row>
    <row r="194" spans="1:19" x14ac:dyDescent="0.2">
      <c r="A194" s="106">
        <f>_xlfn.XLOOKUP(B194,pratos!B:B,pratos!A:A,"não")</f>
        <v>165</v>
      </c>
      <c r="B194" s="130" t="s">
        <v>448</v>
      </c>
      <c r="C194" s="105">
        <f>_xlfn.XLOOKUP(D194,ingredientes!B:B,ingredientes!A:A,"não")</f>
        <v>106</v>
      </c>
      <c r="D194" t="s">
        <v>645</v>
      </c>
      <c r="E194" s="10">
        <v>50</v>
      </c>
      <c r="H194">
        <f t="shared" si="31"/>
        <v>165</v>
      </c>
      <c r="I194">
        <f t="shared" si="29"/>
        <v>106</v>
      </c>
      <c r="J194">
        <f t="shared" si="30"/>
        <v>50</v>
      </c>
      <c r="K194">
        <f t="shared" si="32"/>
        <v>271</v>
      </c>
      <c r="M194">
        <v>165</v>
      </c>
      <c r="N194">
        <v>106</v>
      </c>
      <c r="O194">
        <v>50</v>
      </c>
      <c r="Q194" t="b">
        <f t="shared" si="26"/>
        <v>1</v>
      </c>
      <c r="R194" t="b">
        <f t="shared" si="27"/>
        <v>1</v>
      </c>
      <c r="S194" t="b">
        <f t="shared" si="28"/>
        <v>1</v>
      </c>
    </row>
    <row r="195" spans="1:19" x14ac:dyDescent="0.2">
      <c r="A195" s="106">
        <f>_xlfn.XLOOKUP(B195,pratos!B:B,pratos!A:A,"não")</f>
        <v>165</v>
      </c>
      <c r="B195" s="130" t="s">
        <v>448</v>
      </c>
      <c r="C195" s="105">
        <f>_xlfn.XLOOKUP(D195,ingredientes!B:B,ingredientes!A:A,"não")</f>
        <v>169</v>
      </c>
      <c r="D195" s="30" t="s">
        <v>666</v>
      </c>
      <c r="E195" s="87">
        <v>50</v>
      </c>
      <c r="H195">
        <f t="shared" si="31"/>
        <v>165</v>
      </c>
      <c r="I195">
        <f t="shared" si="29"/>
        <v>169</v>
      </c>
      <c r="J195">
        <f t="shared" si="30"/>
        <v>50</v>
      </c>
      <c r="K195">
        <f t="shared" si="32"/>
        <v>334</v>
      </c>
      <c r="M195">
        <v>165</v>
      </c>
      <c r="N195">
        <v>169</v>
      </c>
      <c r="O195">
        <v>50</v>
      </c>
      <c r="Q195" t="b">
        <f t="shared" si="26"/>
        <v>1</v>
      </c>
      <c r="R195" t="b">
        <f t="shared" si="27"/>
        <v>1</v>
      </c>
      <c r="S195" t="b">
        <f t="shared" si="28"/>
        <v>1</v>
      </c>
    </row>
    <row r="196" spans="1:19" x14ac:dyDescent="0.2">
      <c r="A196" s="106">
        <f>_xlfn.XLOOKUP(B196,pratos!B:B,pratos!A:A,"não")</f>
        <v>166</v>
      </c>
      <c r="B196" s="52" t="s">
        <v>309</v>
      </c>
      <c r="C196" s="105">
        <f>_xlfn.XLOOKUP(D196,ingredientes!B:B,ingredientes!A:A,"não")</f>
        <v>94</v>
      </c>
      <c r="D196" s="143" t="s">
        <v>506</v>
      </c>
      <c r="E196" s="87">
        <v>10</v>
      </c>
      <c r="H196">
        <f t="shared" si="31"/>
        <v>166</v>
      </c>
      <c r="I196">
        <f t="shared" si="29"/>
        <v>94</v>
      </c>
      <c r="J196">
        <f t="shared" si="30"/>
        <v>10</v>
      </c>
      <c r="K196">
        <f t="shared" si="32"/>
        <v>260</v>
      </c>
      <c r="M196">
        <v>166</v>
      </c>
      <c r="N196">
        <v>94</v>
      </c>
      <c r="O196">
        <v>10</v>
      </c>
      <c r="Q196" t="b">
        <f t="shared" si="26"/>
        <v>1</v>
      </c>
      <c r="R196" t="b">
        <f t="shared" si="27"/>
        <v>1</v>
      </c>
      <c r="S196" t="b">
        <f t="shared" si="28"/>
        <v>1</v>
      </c>
    </row>
    <row r="197" spans="1:19" x14ac:dyDescent="0.2">
      <c r="A197" s="106">
        <f>_xlfn.XLOOKUP(B197,pratos!B:B,pratos!A:A,"não")</f>
        <v>166</v>
      </c>
      <c r="B197" s="109" t="s">
        <v>309</v>
      </c>
      <c r="C197" s="105">
        <f>_xlfn.XLOOKUP(D197,ingredientes!B:B,ingredientes!A:A,"não")</f>
        <v>106</v>
      </c>
      <c r="D197" t="s">
        <v>645</v>
      </c>
      <c r="E197" s="87">
        <v>100</v>
      </c>
      <c r="H197">
        <f t="shared" si="31"/>
        <v>166</v>
      </c>
      <c r="I197">
        <f t="shared" si="29"/>
        <v>106</v>
      </c>
      <c r="J197">
        <f t="shared" si="30"/>
        <v>100</v>
      </c>
      <c r="K197">
        <f t="shared" si="32"/>
        <v>272</v>
      </c>
      <c r="M197">
        <v>166</v>
      </c>
      <c r="N197">
        <v>106</v>
      </c>
      <c r="O197">
        <v>100</v>
      </c>
      <c r="Q197" t="b">
        <f t="shared" si="26"/>
        <v>1</v>
      </c>
      <c r="R197" t="b">
        <f t="shared" si="27"/>
        <v>1</v>
      </c>
      <c r="S197" t="b">
        <f t="shared" si="28"/>
        <v>1</v>
      </c>
    </row>
    <row r="198" spans="1:19" x14ac:dyDescent="0.2">
      <c r="A198" s="106">
        <f>_xlfn.XLOOKUP(B198,pratos!B:B,pratos!A:A,"não")</f>
        <v>166</v>
      </c>
      <c r="B198" s="109" t="s">
        <v>309</v>
      </c>
      <c r="C198" s="105">
        <f>_xlfn.XLOOKUP(D198,ingredientes!B:B,ingredientes!A:A,"não")</f>
        <v>223</v>
      </c>
      <c r="D198" s="152" t="s">
        <v>348</v>
      </c>
      <c r="E198" s="10">
        <v>10</v>
      </c>
      <c r="H198">
        <f t="shared" si="31"/>
        <v>166</v>
      </c>
      <c r="I198">
        <f t="shared" si="29"/>
        <v>223</v>
      </c>
      <c r="J198">
        <f t="shared" si="30"/>
        <v>10</v>
      </c>
      <c r="K198">
        <f t="shared" si="32"/>
        <v>389</v>
      </c>
      <c r="M198">
        <v>166</v>
      </c>
      <c r="N198">
        <v>223</v>
      </c>
      <c r="O198">
        <v>10</v>
      </c>
      <c r="Q198" t="b">
        <f t="shared" si="26"/>
        <v>1</v>
      </c>
      <c r="R198" t="b">
        <f t="shared" si="27"/>
        <v>1</v>
      </c>
      <c r="S198" t="b">
        <f t="shared" si="28"/>
        <v>1</v>
      </c>
    </row>
    <row r="199" spans="1:19" x14ac:dyDescent="0.2">
      <c r="A199" s="106">
        <f>_xlfn.XLOOKUP(B199,pratos!B:B,pratos!A:A,"não")</f>
        <v>167</v>
      </c>
      <c r="B199" s="116" t="s">
        <v>491</v>
      </c>
      <c r="C199" s="105">
        <f>_xlfn.XLOOKUP(D199,ingredientes!B:B,ingredientes!A:A,"não")</f>
        <v>106</v>
      </c>
      <c r="D199" s="30" t="s">
        <v>645</v>
      </c>
      <c r="E199" s="10">
        <v>100</v>
      </c>
      <c r="H199">
        <f t="shared" si="31"/>
        <v>167</v>
      </c>
      <c r="I199">
        <f t="shared" si="29"/>
        <v>106</v>
      </c>
      <c r="J199">
        <f t="shared" si="30"/>
        <v>100</v>
      </c>
      <c r="K199">
        <f t="shared" si="32"/>
        <v>273</v>
      </c>
      <c r="M199">
        <v>167</v>
      </c>
      <c r="N199">
        <v>106</v>
      </c>
      <c r="O199">
        <v>100</v>
      </c>
      <c r="Q199" t="b">
        <f t="shared" si="26"/>
        <v>1</v>
      </c>
      <c r="R199" t="b">
        <f t="shared" si="27"/>
        <v>1</v>
      </c>
      <c r="S199" t="b">
        <f t="shared" si="28"/>
        <v>1</v>
      </c>
    </row>
    <row r="200" spans="1:19" x14ac:dyDescent="0.2">
      <c r="A200" s="106">
        <f>_xlfn.XLOOKUP(B200,pratos!B:B,pratos!A:A,"não")</f>
        <v>168</v>
      </c>
      <c r="B200" s="52" t="s">
        <v>68</v>
      </c>
      <c r="C200" s="105">
        <f>_xlfn.XLOOKUP(D200,ingredientes!B:B,ingredientes!A:A,"não")</f>
        <v>106</v>
      </c>
      <c r="D200" t="s">
        <v>645</v>
      </c>
      <c r="E200" s="19">
        <v>100</v>
      </c>
      <c r="H200">
        <f t="shared" si="31"/>
        <v>168</v>
      </c>
      <c r="I200">
        <f t="shared" si="29"/>
        <v>106</v>
      </c>
      <c r="J200">
        <f t="shared" si="30"/>
        <v>100</v>
      </c>
      <c r="K200">
        <f t="shared" si="32"/>
        <v>274</v>
      </c>
      <c r="M200">
        <v>168</v>
      </c>
      <c r="N200">
        <v>106</v>
      </c>
      <c r="O200">
        <v>100</v>
      </c>
      <c r="Q200" t="b">
        <f t="shared" si="26"/>
        <v>1</v>
      </c>
      <c r="R200" t="b">
        <f t="shared" si="27"/>
        <v>1</v>
      </c>
      <c r="S200" t="b">
        <f t="shared" si="28"/>
        <v>1</v>
      </c>
    </row>
    <row r="201" spans="1:19" x14ac:dyDescent="0.2">
      <c r="A201" s="106">
        <f>_xlfn.XLOOKUP(B201,pratos!B:B,pratos!A:A,"não")</f>
        <v>169</v>
      </c>
      <c r="B201" s="52" t="s">
        <v>50</v>
      </c>
      <c r="C201" s="105">
        <f>_xlfn.XLOOKUP(D201,ingredientes!B:B,ingredientes!A:A,"não")</f>
        <v>108</v>
      </c>
      <c r="D201" s="138" t="s">
        <v>50</v>
      </c>
      <c r="E201" s="10">
        <v>100</v>
      </c>
      <c r="H201">
        <f t="shared" si="31"/>
        <v>169</v>
      </c>
      <c r="I201">
        <f t="shared" si="29"/>
        <v>108</v>
      </c>
      <c r="J201">
        <f t="shared" si="30"/>
        <v>100</v>
      </c>
      <c r="K201">
        <f t="shared" si="32"/>
        <v>277</v>
      </c>
      <c r="M201">
        <v>169</v>
      </c>
      <c r="N201">
        <v>108</v>
      </c>
      <c r="O201">
        <v>100</v>
      </c>
      <c r="Q201" t="b">
        <f t="shared" si="26"/>
        <v>1</v>
      </c>
      <c r="R201" t="b">
        <f t="shared" si="27"/>
        <v>1</v>
      </c>
      <c r="S201" t="b">
        <f t="shared" si="28"/>
        <v>1</v>
      </c>
    </row>
    <row r="202" spans="1:19" x14ac:dyDescent="0.2">
      <c r="A202" s="106">
        <f>_xlfn.XLOOKUP(B202,pratos!B:B,pratos!A:A,"não")</f>
        <v>170</v>
      </c>
      <c r="B202" s="111" t="s">
        <v>305</v>
      </c>
      <c r="C202" s="105">
        <f>_xlfn.XLOOKUP(D202,ingredientes!B:B,ingredientes!A:A,"não")</f>
        <v>106</v>
      </c>
      <c r="D202" s="30" t="s">
        <v>645</v>
      </c>
      <c r="E202" s="17">
        <v>75</v>
      </c>
      <c r="H202">
        <f t="shared" si="31"/>
        <v>170</v>
      </c>
      <c r="I202">
        <f t="shared" si="29"/>
        <v>106</v>
      </c>
      <c r="J202">
        <f t="shared" si="30"/>
        <v>75</v>
      </c>
      <c r="K202">
        <f t="shared" si="32"/>
        <v>276</v>
      </c>
      <c r="M202">
        <v>170</v>
      </c>
      <c r="N202">
        <v>106</v>
      </c>
      <c r="O202">
        <v>75</v>
      </c>
      <c r="Q202" t="b">
        <f t="shared" si="26"/>
        <v>1</v>
      </c>
      <c r="R202" t="b">
        <f t="shared" si="27"/>
        <v>1</v>
      </c>
      <c r="S202" t="b">
        <f t="shared" si="28"/>
        <v>1</v>
      </c>
    </row>
    <row r="203" spans="1:19" x14ac:dyDescent="0.2">
      <c r="A203" s="106">
        <f>_xlfn.XLOOKUP(B203,pratos!B:B,pratos!A:A,"não")</f>
        <v>170</v>
      </c>
      <c r="B203" s="111" t="s">
        <v>305</v>
      </c>
      <c r="C203" s="105">
        <f>_xlfn.XLOOKUP(D203,ingredientes!B:B,ingredientes!A:A,"não")</f>
        <v>205</v>
      </c>
      <c r="D203" s="151" t="s">
        <v>141</v>
      </c>
      <c r="E203" s="17">
        <v>15</v>
      </c>
      <c r="H203">
        <f t="shared" si="31"/>
        <v>170</v>
      </c>
      <c r="I203">
        <f t="shared" si="29"/>
        <v>205</v>
      </c>
      <c r="J203">
        <f t="shared" si="30"/>
        <v>15</v>
      </c>
      <c r="K203">
        <f t="shared" si="32"/>
        <v>375</v>
      </c>
      <c r="M203">
        <v>170</v>
      </c>
      <c r="N203">
        <v>205</v>
      </c>
      <c r="O203">
        <v>15</v>
      </c>
      <c r="Q203" t="b">
        <f t="shared" si="26"/>
        <v>1</v>
      </c>
      <c r="R203" t="b">
        <f t="shared" si="27"/>
        <v>1</v>
      </c>
      <c r="S203" t="b">
        <f t="shared" si="28"/>
        <v>1</v>
      </c>
    </row>
    <row r="204" spans="1:19" x14ac:dyDescent="0.2">
      <c r="A204" s="106">
        <f>_xlfn.XLOOKUP(B204,pratos!B:B,pratos!A:A,"não")</f>
        <v>171</v>
      </c>
      <c r="B204" s="111" t="s">
        <v>320</v>
      </c>
      <c r="C204" s="105">
        <f>_xlfn.XLOOKUP(D204,ingredientes!B:B,ingredientes!A:A,"não")</f>
        <v>106</v>
      </c>
      <c r="D204" t="s">
        <v>645</v>
      </c>
      <c r="E204" s="10">
        <v>100</v>
      </c>
      <c r="H204">
        <f t="shared" si="31"/>
        <v>171</v>
      </c>
      <c r="I204">
        <f t="shared" si="29"/>
        <v>106</v>
      </c>
      <c r="J204">
        <f t="shared" si="30"/>
        <v>100</v>
      </c>
      <c r="K204">
        <f t="shared" si="32"/>
        <v>277</v>
      </c>
      <c r="M204">
        <v>171</v>
      </c>
      <c r="N204">
        <v>106</v>
      </c>
      <c r="O204">
        <v>100</v>
      </c>
      <c r="Q204" t="b">
        <f t="shared" si="26"/>
        <v>1</v>
      </c>
      <c r="R204" t="b">
        <f t="shared" si="27"/>
        <v>1</v>
      </c>
      <c r="S204" t="b">
        <f t="shared" si="28"/>
        <v>1</v>
      </c>
    </row>
    <row r="205" spans="1:19" x14ac:dyDescent="0.2">
      <c r="A205" s="106">
        <f>_xlfn.XLOOKUP(B205,pratos!B:B,pratos!A:A,"não")</f>
        <v>172</v>
      </c>
      <c r="B205" s="111" t="s">
        <v>327</v>
      </c>
      <c r="C205" s="105">
        <f>_xlfn.XLOOKUP(D205,ingredientes!B:B,ingredientes!A:A,"não")</f>
        <v>109</v>
      </c>
      <c r="D205" t="s">
        <v>643</v>
      </c>
      <c r="E205" s="19">
        <v>100</v>
      </c>
      <c r="H205">
        <f t="shared" si="31"/>
        <v>172</v>
      </c>
      <c r="I205">
        <f t="shared" si="29"/>
        <v>109</v>
      </c>
      <c r="J205">
        <f t="shared" si="30"/>
        <v>100</v>
      </c>
      <c r="K205">
        <f t="shared" si="32"/>
        <v>281</v>
      </c>
      <c r="M205">
        <v>172</v>
      </c>
      <c r="N205">
        <v>109</v>
      </c>
      <c r="O205">
        <v>100</v>
      </c>
      <c r="Q205" t="b">
        <f t="shared" si="26"/>
        <v>1</v>
      </c>
      <c r="R205" t="b">
        <f t="shared" si="27"/>
        <v>1</v>
      </c>
      <c r="S205" t="b">
        <f t="shared" si="28"/>
        <v>1</v>
      </c>
    </row>
    <row r="206" spans="1:19" x14ac:dyDescent="0.2">
      <c r="A206" s="106">
        <f>_xlfn.XLOOKUP(B206,pratos!B:B,pratos!A:A,"não")</f>
        <v>173</v>
      </c>
      <c r="B206" s="109" t="s">
        <v>505</v>
      </c>
      <c r="C206" s="105">
        <f>_xlfn.XLOOKUP(D206,ingredientes!B:B,ingredientes!A:A,"não")</f>
        <v>44</v>
      </c>
      <c r="D206" s="143" t="s">
        <v>261</v>
      </c>
      <c r="E206" s="10">
        <v>5</v>
      </c>
      <c r="H206">
        <f t="shared" si="31"/>
        <v>173</v>
      </c>
      <c r="I206">
        <f t="shared" ref="I206:I248" si="33">C206</f>
        <v>44</v>
      </c>
      <c r="J206">
        <f t="shared" ref="J206:J248" si="34">E206</f>
        <v>5</v>
      </c>
      <c r="K206">
        <f t="shared" si="32"/>
        <v>217</v>
      </c>
      <c r="M206">
        <v>173</v>
      </c>
      <c r="N206">
        <v>44</v>
      </c>
      <c r="O206">
        <v>5</v>
      </c>
      <c r="Q206" t="b">
        <f t="shared" si="26"/>
        <v>1</v>
      </c>
      <c r="R206" t="b">
        <f t="shared" si="27"/>
        <v>1</v>
      </c>
      <c r="S206" t="b">
        <f t="shared" si="28"/>
        <v>1</v>
      </c>
    </row>
    <row r="207" spans="1:19" x14ac:dyDescent="0.2">
      <c r="A207" s="106">
        <f>_xlfn.XLOOKUP(B207,pratos!B:B,pratos!A:A,"não")</f>
        <v>173</v>
      </c>
      <c r="B207" s="52" t="s">
        <v>505</v>
      </c>
      <c r="C207" s="105">
        <f>_xlfn.XLOOKUP(D207,ingredientes!B:B,ingredientes!A:A,"não")</f>
        <v>94</v>
      </c>
      <c r="D207" s="143" t="s">
        <v>506</v>
      </c>
      <c r="E207" s="10">
        <v>5</v>
      </c>
      <c r="H207">
        <f t="shared" si="31"/>
        <v>173</v>
      </c>
      <c r="I207">
        <f t="shared" si="33"/>
        <v>94</v>
      </c>
      <c r="J207">
        <f t="shared" si="34"/>
        <v>5</v>
      </c>
      <c r="K207">
        <f t="shared" si="32"/>
        <v>267</v>
      </c>
      <c r="M207">
        <v>173</v>
      </c>
      <c r="N207">
        <v>94</v>
      </c>
      <c r="O207">
        <v>5</v>
      </c>
      <c r="Q207" t="b">
        <f t="shared" ref="Q207:Q270" si="35">EXACT(H207,M207)</f>
        <v>1</v>
      </c>
      <c r="R207" t="b">
        <f t="shared" ref="R207:R270" si="36">EXACT(I207,N207)</f>
        <v>1</v>
      </c>
      <c r="S207" t="b">
        <f t="shared" ref="S207:S270" si="37">EXACT(J207,O207)</f>
        <v>1</v>
      </c>
    </row>
    <row r="208" spans="1:19" x14ac:dyDescent="0.2">
      <c r="A208" s="106">
        <f>_xlfn.XLOOKUP(B208,pratos!B:B,pratos!A:A,"não")</f>
        <v>173</v>
      </c>
      <c r="B208" s="109" t="s">
        <v>505</v>
      </c>
      <c r="C208" s="105">
        <f>_xlfn.XLOOKUP(D208,ingredientes!B:B,ingredientes!A:A,"não")</f>
        <v>109</v>
      </c>
      <c r="D208" t="s">
        <v>643</v>
      </c>
      <c r="E208" s="82">
        <v>80</v>
      </c>
      <c r="H208">
        <f t="shared" ref="H208:H249" si="38">A208</f>
        <v>173</v>
      </c>
      <c r="I208">
        <f t="shared" si="33"/>
        <v>109</v>
      </c>
      <c r="J208">
        <f t="shared" si="34"/>
        <v>80</v>
      </c>
      <c r="K208">
        <f t="shared" si="32"/>
        <v>282</v>
      </c>
      <c r="M208">
        <v>173</v>
      </c>
      <c r="N208">
        <v>109</v>
      </c>
      <c r="O208">
        <v>80</v>
      </c>
      <c r="Q208" t="b">
        <f t="shared" si="35"/>
        <v>1</v>
      </c>
      <c r="R208" t="b">
        <f t="shared" si="36"/>
        <v>1</v>
      </c>
      <c r="S208" t="b">
        <f t="shared" si="37"/>
        <v>1</v>
      </c>
    </row>
    <row r="209" spans="1:19" x14ac:dyDescent="0.2">
      <c r="A209" s="106">
        <f>_xlfn.XLOOKUP(B209,pratos!B:B,pratos!A:A,"não")</f>
        <v>173</v>
      </c>
      <c r="B209" s="109" t="s">
        <v>505</v>
      </c>
      <c r="C209" s="105">
        <f>_xlfn.XLOOKUP(D209,ingredientes!B:B,ingredientes!A:A,"não")</f>
        <v>223</v>
      </c>
      <c r="D209" s="152" t="s">
        <v>348</v>
      </c>
      <c r="E209" s="10">
        <v>10</v>
      </c>
      <c r="H209">
        <f t="shared" si="38"/>
        <v>173</v>
      </c>
      <c r="I209">
        <f t="shared" si="33"/>
        <v>223</v>
      </c>
      <c r="J209">
        <f t="shared" si="34"/>
        <v>10</v>
      </c>
      <c r="K209">
        <f t="shared" ref="K209:K249" si="39">H209+I209</f>
        <v>396</v>
      </c>
      <c r="M209">
        <v>173</v>
      </c>
      <c r="N209">
        <v>223</v>
      </c>
      <c r="O209">
        <v>10</v>
      </c>
      <c r="Q209" t="b">
        <f t="shared" si="35"/>
        <v>1</v>
      </c>
      <c r="R209" t="b">
        <f t="shared" si="36"/>
        <v>1</v>
      </c>
      <c r="S209" t="b">
        <f t="shared" si="37"/>
        <v>1</v>
      </c>
    </row>
    <row r="210" spans="1:19" x14ac:dyDescent="0.2">
      <c r="A210" s="106">
        <f>_xlfn.XLOOKUP(B210,pratos!B:B,pratos!A:A,"não")</f>
        <v>174</v>
      </c>
      <c r="B210" s="130" t="s">
        <v>480</v>
      </c>
      <c r="C210" s="105">
        <f>_xlfn.XLOOKUP(D210,ingredientes!B:B,ingredientes!A:A,"não")</f>
        <v>109</v>
      </c>
      <c r="D210" t="s">
        <v>643</v>
      </c>
      <c r="E210" s="68">
        <v>100</v>
      </c>
      <c r="H210">
        <f t="shared" si="38"/>
        <v>174</v>
      </c>
      <c r="I210">
        <f t="shared" si="33"/>
        <v>109</v>
      </c>
      <c r="J210">
        <f t="shared" si="34"/>
        <v>100</v>
      </c>
      <c r="K210">
        <f t="shared" si="39"/>
        <v>283</v>
      </c>
      <c r="M210">
        <v>174</v>
      </c>
      <c r="N210">
        <v>109</v>
      </c>
      <c r="O210">
        <v>100</v>
      </c>
      <c r="Q210" t="b">
        <f t="shared" si="35"/>
        <v>1</v>
      </c>
      <c r="R210" t="b">
        <f t="shared" si="36"/>
        <v>1</v>
      </c>
      <c r="S210" t="b">
        <f t="shared" si="37"/>
        <v>1</v>
      </c>
    </row>
    <row r="211" spans="1:19" x14ac:dyDescent="0.2">
      <c r="A211" s="106">
        <f>_xlfn.XLOOKUP(B211,pratos!B:B,pratos!A:A,"não")</f>
        <v>174</v>
      </c>
      <c r="B211" s="52" t="s">
        <v>480</v>
      </c>
      <c r="C211" s="105">
        <f>_xlfn.XLOOKUP(D211,ingredientes!B:B,ingredientes!A:A,"não")</f>
        <v>113</v>
      </c>
      <c r="D211" s="80" t="s">
        <v>368</v>
      </c>
      <c r="E211" s="10">
        <v>5</v>
      </c>
      <c r="H211">
        <f t="shared" si="38"/>
        <v>174</v>
      </c>
      <c r="I211">
        <f t="shared" si="33"/>
        <v>113</v>
      </c>
      <c r="J211">
        <f t="shared" si="34"/>
        <v>5</v>
      </c>
      <c r="K211">
        <f t="shared" si="39"/>
        <v>287</v>
      </c>
      <c r="M211">
        <v>174</v>
      </c>
      <c r="N211">
        <v>113</v>
      </c>
      <c r="O211">
        <v>5</v>
      </c>
      <c r="Q211" t="b">
        <f t="shared" si="35"/>
        <v>1</v>
      </c>
      <c r="R211" t="b">
        <f t="shared" si="36"/>
        <v>1</v>
      </c>
      <c r="S211" t="b">
        <f t="shared" si="37"/>
        <v>1</v>
      </c>
    </row>
    <row r="212" spans="1:19" x14ac:dyDescent="0.2">
      <c r="A212" s="106">
        <f>_xlfn.XLOOKUP(B212,pratos!B:B,pratos!A:A,"não")</f>
        <v>175</v>
      </c>
      <c r="B212" s="52" t="s">
        <v>404</v>
      </c>
      <c r="C212" s="105">
        <f>_xlfn.XLOOKUP(D212,ingredientes!B:B,ingredientes!A:A,"não")</f>
        <v>116</v>
      </c>
      <c r="D212" s="9" t="s">
        <v>12</v>
      </c>
      <c r="E212" s="10">
        <v>30</v>
      </c>
      <c r="H212">
        <f t="shared" si="38"/>
        <v>175</v>
      </c>
      <c r="I212">
        <f t="shared" si="33"/>
        <v>116</v>
      </c>
      <c r="J212">
        <f t="shared" si="34"/>
        <v>30</v>
      </c>
      <c r="K212">
        <f t="shared" si="39"/>
        <v>291</v>
      </c>
      <c r="M212">
        <v>175</v>
      </c>
      <c r="N212">
        <v>116</v>
      </c>
      <c r="O212">
        <v>30</v>
      </c>
      <c r="Q212" t="b">
        <f t="shared" si="35"/>
        <v>1</v>
      </c>
      <c r="R212" t="b">
        <f t="shared" si="36"/>
        <v>1</v>
      </c>
      <c r="S212" t="b">
        <f t="shared" si="37"/>
        <v>1</v>
      </c>
    </row>
    <row r="213" spans="1:19" x14ac:dyDescent="0.2">
      <c r="A213" s="106">
        <f>_xlfn.XLOOKUP(B213,pratos!B:B,pratos!A:A,"não")</f>
        <v>175</v>
      </c>
      <c r="B213" s="52" t="s">
        <v>404</v>
      </c>
      <c r="C213" s="105">
        <f>_xlfn.XLOOKUP(D213,ingredientes!B:B,ingredientes!A:A,"não")</f>
        <v>322</v>
      </c>
      <c r="D213" s="9" t="s">
        <v>299</v>
      </c>
      <c r="E213" s="10">
        <v>70</v>
      </c>
      <c r="H213">
        <f t="shared" si="38"/>
        <v>175</v>
      </c>
      <c r="I213">
        <f t="shared" si="33"/>
        <v>322</v>
      </c>
      <c r="J213">
        <f t="shared" si="34"/>
        <v>70</v>
      </c>
      <c r="K213">
        <f t="shared" si="39"/>
        <v>497</v>
      </c>
      <c r="M213">
        <v>175</v>
      </c>
      <c r="N213">
        <v>322</v>
      </c>
      <c r="O213">
        <v>70</v>
      </c>
      <c r="Q213" t="b">
        <f t="shared" si="35"/>
        <v>1</v>
      </c>
      <c r="R213" t="b">
        <f t="shared" si="36"/>
        <v>1</v>
      </c>
      <c r="S213" t="b">
        <f t="shared" si="37"/>
        <v>1</v>
      </c>
    </row>
    <row r="214" spans="1:19" x14ac:dyDescent="0.2">
      <c r="A214" s="106">
        <f>_xlfn.XLOOKUP(B214,pratos!B:B,pratos!A:A,"não")</f>
        <v>176</v>
      </c>
      <c r="B214" s="111" t="s">
        <v>97</v>
      </c>
      <c r="C214" s="105">
        <f>_xlfn.XLOOKUP(D214,ingredientes!B:B,ingredientes!A:A,"não")</f>
        <v>117</v>
      </c>
      <c r="D214" s="30" t="s">
        <v>648</v>
      </c>
      <c r="E214" s="27">
        <v>100</v>
      </c>
      <c r="H214">
        <f t="shared" si="38"/>
        <v>176</v>
      </c>
      <c r="I214">
        <f t="shared" si="33"/>
        <v>117</v>
      </c>
      <c r="J214">
        <f t="shared" si="34"/>
        <v>100</v>
      </c>
      <c r="K214">
        <f t="shared" si="39"/>
        <v>293</v>
      </c>
      <c r="M214">
        <v>176</v>
      </c>
      <c r="N214">
        <v>117</v>
      </c>
      <c r="O214">
        <v>100</v>
      </c>
      <c r="Q214" t="b">
        <f t="shared" si="35"/>
        <v>1</v>
      </c>
      <c r="R214" t="b">
        <f t="shared" si="36"/>
        <v>1</v>
      </c>
      <c r="S214" t="b">
        <f t="shared" si="37"/>
        <v>1</v>
      </c>
    </row>
    <row r="215" spans="1:19" x14ac:dyDescent="0.2">
      <c r="A215" s="106">
        <f>_xlfn.XLOOKUP(B215,pratos!B:B,pratos!A:A,"não")</f>
        <v>177</v>
      </c>
      <c r="B215" s="52" t="s">
        <v>49</v>
      </c>
      <c r="C215" s="105">
        <f>_xlfn.XLOOKUP(D215,ingredientes!B:B,ingredientes!A:A,"não")</f>
        <v>119</v>
      </c>
      <c r="D215" s="9" t="s">
        <v>49</v>
      </c>
      <c r="E215" s="10">
        <v>100</v>
      </c>
      <c r="H215">
        <f t="shared" si="38"/>
        <v>177</v>
      </c>
      <c r="I215">
        <f t="shared" si="33"/>
        <v>119</v>
      </c>
      <c r="J215">
        <f t="shared" si="34"/>
        <v>100</v>
      </c>
      <c r="K215">
        <f t="shared" si="39"/>
        <v>296</v>
      </c>
      <c r="M215">
        <v>177</v>
      </c>
      <c r="N215">
        <v>119</v>
      </c>
      <c r="O215">
        <v>100</v>
      </c>
      <c r="Q215" t="b">
        <f t="shared" si="35"/>
        <v>1</v>
      </c>
      <c r="R215" t="b">
        <f t="shared" si="36"/>
        <v>1</v>
      </c>
      <c r="S215" t="b">
        <f t="shared" si="37"/>
        <v>1</v>
      </c>
    </row>
    <row r="216" spans="1:19" x14ac:dyDescent="0.2">
      <c r="A216" s="106">
        <f>_xlfn.XLOOKUP(B216,pratos!B:B,pratos!A:A,"não")</f>
        <v>178</v>
      </c>
      <c r="B216" s="134" t="s">
        <v>497</v>
      </c>
      <c r="C216" s="105">
        <f>_xlfn.XLOOKUP(D216,ingredientes!B:B,ingredientes!A:A,"não")</f>
        <v>125</v>
      </c>
      <c r="D216" s="30" t="s">
        <v>332</v>
      </c>
      <c r="E216" s="31">
        <v>55</v>
      </c>
      <c r="H216">
        <f t="shared" si="38"/>
        <v>178</v>
      </c>
      <c r="I216">
        <f t="shared" si="33"/>
        <v>125</v>
      </c>
      <c r="J216">
        <f t="shared" si="34"/>
        <v>55</v>
      </c>
      <c r="K216">
        <f t="shared" si="39"/>
        <v>303</v>
      </c>
      <c r="M216">
        <v>178</v>
      </c>
      <c r="N216">
        <v>125</v>
      </c>
      <c r="O216">
        <v>55</v>
      </c>
      <c r="Q216" t="b">
        <f t="shared" si="35"/>
        <v>1</v>
      </c>
      <c r="R216" t="b">
        <f t="shared" si="36"/>
        <v>1</v>
      </c>
      <c r="S216" t="b">
        <f t="shared" si="37"/>
        <v>1</v>
      </c>
    </row>
    <row r="217" spans="1:19" x14ac:dyDescent="0.2">
      <c r="A217" s="106">
        <f>_xlfn.XLOOKUP(B217,pratos!B:B,pratos!A:A,"não")</f>
        <v>178</v>
      </c>
      <c r="B217" s="134" t="s">
        <v>497</v>
      </c>
      <c r="C217" s="105">
        <f>_xlfn.XLOOKUP(D217,ingredientes!B:B,ingredientes!A:A,"não")</f>
        <v>177</v>
      </c>
      <c r="D217" s="33" t="s">
        <v>6</v>
      </c>
      <c r="E217" s="34">
        <v>85</v>
      </c>
      <c r="H217">
        <f t="shared" si="38"/>
        <v>178</v>
      </c>
      <c r="I217">
        <f t="shared" si="33"/>
        <v>177</v>
      </c>
      <c r="J217">
        <f t="shared" si="34"/>
        <v>85</v>
      </c>
      <c r="K217">
        <f t="shared" si="39"/>
        <v>355</v>
      </c>
      <c r="M217">
        <v>178</v>
      </c>
      <c r="N217">
        <v>177</v>
      </c>
      <c r="O217">
        <v>85</v>
      </c>
      <c r="Q217" t="b">
        <f t="shared" si="35"/>
        <v>1</v>
      </c>
      <c r="R217" t="b">
        <f t="shared" si="36"/>
        <v>1</v>
      </c>
      <c r="S217" t="b">
        <f t="shared" si="37"/>
        <v>1</v>
      </c>
    </row>
    <row r="218" spans="1:19" x14ac:dyDescent="0.2">
      <c r="A218" s="106">
        <f>_xlfn.XLOOKUP(B218,pratos!B:B,pratos!A:A,"não")</f>
        <v>179</v>
      </c>
      <c r="B218" s="111" t="s">
        <v>331</v>
      </c>
      <c r="C218" s="105">
        <f>_xlfn.XLOOKUP(D218,ingredientes!B:B,ingredientes!A:A,"não")</f>
        <v>84</v>
      </c>
      <c r="D218" s="30" t="s">
        <v>635</v>
      </c>
      <c r="E218" s="19">
        <v>60</v>
      </c>
      <c r="H218">
        <f t="shared" si="38"/>
        <v>179</v>
      </c>
      <c r="I218">
        <f t="shared" si="33"/>
        <v>84</v>
      </c>
      <c r="J218">
        <f t="shared" si="34"/>
        <v>60</v>
      </c>
      <c r="K218">
        <f t="shared" si="39"/>
        <v>263</v>
      </c>
      <c r="M218">
        <v>179</v>
      </c>
      <c r="N218">
        <v>84</v>
      </c>
      <c r="O218">
        <v>60</v>
      </c>
      <c r="Q218" t="b">
        <f t="shared" si="35"/>
        <v>1</v>
      </c>
      <c r="R218" t="b">
        <f t="shared" si="36"/>
        <v>1</v>
      </c>
      <c r="S218" t="b">
        <f t="shared" si="37"/>
        <v>1</v>
      </c>
    </row>
    <row r="219" spans="1:19" x14ac:dyDescent="0.2">
      <c r="A219" s="106">
        <f>_xlfn.XLOOKUP(B219,pratos!B:B,pratos!A:A,"não")</f>
        <v>179</v>
      </c>
      <c r="B219" s="111" t="s">
        <v>331</v>
      </c>
      <c r="C219" s="105">
        <f>_xlfn.XLOOKUP(D219,ingredientes!B:B,ingredientes!A:A,"não")</f>
        <v>125</v>
      </c>
      <c r="D219" s="30" t="s">
        <v>332</v>
      </c>
      <c r="E219" s="31">
        <v>90</v>
      </c>
      <c r="H219">
        <f t="shared" si="38"/>
        <v>179</v>
      </c>
      <c r="I219">
        <f t="shared" si="33"/>
        <v>125</v>
      </c>
      <c r="J219">
        <f t="shared" si="34"/>
        <v>90</v>
      </c>
      <c r="K219">
        <f t="shared" si="39"/>
        <v>304</v>
      </c>
      <c r="M219">
        <v>179</v>
      </c>
      <c r="N219">
        <v>125</v>
      </c>
      <c r="O219">
        <v>90</v>
      </c>
      <c r="Q219" t="b">
        <f t="shared" si="35"/>
        <v>1</v>
      </c>
      <c r="R219" t="b">
        <f t="shared" si="36"/>
        <v>1</v>
      </c>
      <c r="S219" t="b">
        <f t="shared" si="37"/>
        <v>1</v>
      </c>
    </row>
    <row r="220" spans="1:19" x14ac:dyDescent="0.2">
      <c r="A220" s="106">
        <f>_xlfn.XLOOKUP(B220,pratos!B:B,pratos!A:A,"não")</f>
        <v>179</v>
      </c>
      <c r="B220" s="111" t="s">
        <v>331</v>
      </c>
      <c r="C220" s="105">
        <f>_xlfn.XLOOKUP(D220,ingredientes!B:B,ingredientes!A:A,"não")</f>
        <v>177</v>
      </c>
      <c r="D220" s="33" t="s">
        <v>6</v>
      </c>
      <c r="E220" s="34">
        <v>135</v>
      </c>
      <c r="H220">
        <f t="shared" si="38"/>
        <v>179</v>
      </c>
      <c r="I220">
        <f t="shared" si="33"/>
        <v>177</v>
      </c>
      <c r="J220">
        <f t="shared" si="34"/>
        <v>135</v>
      </c>
      <c r="K220">
        <f t="shared" si="39"/>
        <v>356</v>
      </c>
      <c r="M220">
        <v>179</v>
      </c>
      <c r="N220">
        <v>177</v>
      </c>
      <c r="O220">
        <v>135</v>
      </c>
      <c r="Q220" t="b">
        <f t="shared" si="35"/>
        <v>1</v>
      </c>
      <c r="R220" t="b">
        <f t="shared" si="36"/>
        <v>1</v>
      </c>
      <c r="S220" t="b">
        <f t="shared" si="37"/>
        <v>1</v>
      </c>
    </row>
    <row r="221" spans="1:19" x14ac:dyDescent="0.2">
      <c r="A221" s="106">
        <f>_xlfn.XLOOKUP(B221,pratos!B:B,pratos!A:A,"não")</f>
        <v>179</v>
      </c>
      <c r="B221" s="111" t="s">
        <v>331</v>
      </c>
      <c r="C221" s="105">
        <f>_xlfn.XLOOKUP(D221,ingredientes!B:B,ingredientes!A:A,"não")</f>
        <v>197</v>
      </c>
      <c r="D221" s="30" t="s">
        <v>109</v>
      </c>
      <c r="E221" s="32">
        <v>6.6</v>
      </c>
      <c r="H221">
        <f t="shared" si="38"/>
        <v>179</v>
      </c>
      <c r="I221">
        <f t="shared" si="33"/>
        <v>197</v>
      </c>
      <c r="J221">
        <f t="shared" si="34"/>
        <v>6.6</v>
      </c>
      <c r="K221">
        <f t="shared" si="39"/>
        <v>376</v>
      </c>
      <c r="M221">
        <v>179</v>
      </c>
      <c r="N221">
        <v>197</v>
      </c>
      <c r="O221">
        <v>6.6</v>
      </c>
      <c r="Q221" t="b">
        <f t="shared" si="35"/>
        <v>1</v>
      </c>
      <c r="R221" t="b">
        <f t="shared" si="36"/>
        <v>1</v>
      </c>
      <c r="S221" t="b">
        <f t="shared" si="37"/>
        <v>1</v>
      </c>
    </row>
    <row r="222" spans="1:19" x14ac:dyDescent="0.2">
      <c r="A222" s="106">
        <f>_xlfn.XLOOKUP(B222,pratos!B:B,pratos!A:A,"não")</f>
        <v>179</v>
      </c>
      <c r="B222" s="111" t="s">
        <v>331</v>
      </c>
      <c r="C222" s="105">
        <f>_xlfn.XLOOKUP(D222,ingredientes!B:B,ingredientes!A:A,"não")</f>
        <v>315</v>
      </c>
      <c r="D222" s="30" t="s">
        <v>110</v>
      </c>
      <c r="E222" s="31">
        <v>11</v>
      </c>
      <c r="H222">
        <f t="shared" si="38"/>
        <v>179</v>
      </c>
      <c r="I222">
        <f t="shared" si="33"/>
        <v>315</v>
      </c>
      <c r="J222">
        <f t="shared" si="34"/>
        <v>11</v>
      </c>
      <c r="K222">
        <f t="shared" si="39"/>
        <v>494</v>
      </c>
      <c r="M222">
        <v>179</v>
      </c>
      <c r="N222">
        <v>315</v>
      </c>
      <c r="O222">
        <v>11</v>
      </c>
      <c r="Q222" t="b">
        <f t="shared" si="35"/>
        <v>1</v>
      </c>
      <c r="R222" t="b">
        <f t="shared" si="36"/>
        <v>1</v>
      </c>
      <c r="S222" t="b">
        <f t="shared" si="37"/>
        <v>1</v>
      </c>
    </row>
    <row r="223" spans="1:19" x14ac:dyDescent="0.2">
      <c r="A223" s="106">
        <f>_xlfn.XLOOKUP(B223,pratos!B:B,pratos!A:A,"não")</f>
        <v>180</v>
      </c>
      <c r="B223" s="109" t="s">
        <v>256</v>
      </c>
      <c r="C223" s="105">
        <f>_xlfn.XLOOKUP(D223,ingredientes!B:B,ingredientes!A:A,"não")</f>
        <v>301</v>
      </c>
      <c r="D223" s="30" t="s">
        <v>698</v>
      </c>
      <c r="E223" s="19">
        <v>100</v>
      </c>
      <c r="H223">
        <f t="shared" si="38"/>
        <v>180</v>
      </c>
      <c r="I223">
        <f t="shared" si="33"/>
        <v>301</v>
      </c>
      <c r="J223">
        <f t="shared" si="34"/>
        <v>100</v>
      </c>
      <c r="K223">
        <f t="shared" si="39"/>
        <v>481</v>
      </c>
      <c r="M223">
        <v>180</v>
      </c>
      <c r="N223">
        <v>301</v>
      </c>
      <c r="O223">
        <v>100</v>
      </c>
      <c r="Q223" t="b">
        <f t="shared" si="35"/>
        <v>1</v>
      </c>
      <c r="R223" t="b">
        <f t="shared" si="36"/>
        <v>1</v>
      </c>
      <c r="S223" t="b">
        <f t="shared" si="37"/>
        <v>1</v>
      </c>
    </row>
    <row r="224" spans="1:19" x14ac:dyDescent="0.2">
      <c r="A224" s="106">
        <f>_xlfn.XLOOKUP(B224,pratos!B:B,pratos!A:A,"não")</f>
        <v>181</v>
      </c>
      <c r="B224" s="111" t="s">
        <v>321</v>
      </c>
      <c r="C224" s="105">
        <f>_xlfn.XLOOKUP(D224,ingredientes!B:B,ingredientes!A:A,"não")</f>
        <v>90</v>
      </c>
      <c r="D224" s="30" t="s">
        <v>639</v>
      </c>
      <c r="E224" s="10">
        <v>120</v>
      </c>
      <c r="H224">
        <f t="shared" si="38"/>
        <v>181</v>
      </c>
      <c r="I224">
        <f t="shared" si="33"/>
        <v>90</v>
      </c>
      <c r="J224">
        <f t="shared" si="34"/>
        <v>120</v>
      </c>
      <c r="K224">
        <f t="shared" si="39"/>
        <v>271</v>
      </c>
      <c r="M224">
        <v>181</v>
      </c>
      <c r="N224">
        <v>90</v>
      </c>
      <c r="O224">
        <v>120</v>
      </c>
      <c r="Q224" t="b">
        <f t="shared" si="35"/>
        <v>1</v>
      </c>
      <c r="R224" t="b">
        <f t="shared" si="36"/>
        <v>1</v>
      </c>
      <c r="S224" t="b">
        <f t="shared" si="37"/>
        <v>1</v>
      </c>
    </row>
    <row r="225" spans="1:19" x14ac:dyDescent="0.2">
      <c r="A225" s="106">
        <f>_xlfn.XLOOKUP(B225,pratos!B:B,pratos!A:A,"não")</f>
        <v>182</v>
      </c>
      <c r="B225" s="111" t="s">
        <v>307</v>
      </c>
      <c r="C225" s="105">
        <f>_xlfn.XLOOKUP(D225,ingredientes!B:B,ingredientes!A:A,"não")</f>
        <v>90</v>
      </c>
      <c r="D225" t="s">
        <v>639</v>
      </c>
      <c r="E225" s="17">
        <v>120</v>
      </c>
      <c r="H225">
        <f t="shared" si="38"/>
        <v>182</v>
      </c>
      <c r="I225">
        <f t="shared" si="33"/>
        <v>90</v>
      </c>
      <c r="J225">
        <f t="shared" si="34"/>
        <v>120</v>
      </c>
      <c r="K225">
        <f t="shared" si="39"/>
        <v>272</v>
      </c>
      <c r="M225">
        <v>182</v>
      </c>
      <c r="N225">
        <v>90</v>
      </c>
      <c r="O225">
        <v>120</v>
      </c>
      <c r="Q225" t="b">
        <f t="shared" si="35"/>
        <v>1</v>
      </c>
      <c r="R225" t="b">
        <f t="shared" si="36"/>
        <v>1</v>
      </c>
      <c r="S225" t="b">
        <f t="shared" si="37"/>
        <v>1</v>
      </c>
    </row>
    <row r="226" spans="1:19" x14ac:dyDescent="0.2">
      <c r="A226" s="106">
        <f>_xlfn.XLOOKUP(B226,pratos!B:B,pratos!A:A,"não")</f>
        <v>182</v>
      </c>
      <c r="B226" s="111" t="s">
        <v>307</v>
      </c>
      <c r="C226" s="105">
        <f>_xlfn.XLOOKUP(D226,ingredientes!B:B,ingredientes!A:A,"não")</f>
        <v>210</v>
      </c>
      <c r="D226" t="s">
        <v>674</v>
      </c>
      <c r="E226" s="17">
        <v>20</v>
      </c>
      <c r="H226">
        <f t="shared" si="38"/>
        <v>182</v>
      </c>
      <c r="I226">
        <f t="shared" si="33"/>
        <v>210</v>
      </c>
      <c r="J226">
        <f t="shared" si="34"/>
        <v>20</v>
      </c>
      <c r="K226">
        <f t="shared" si="39"/>
        <v>392</v>
      </c>
      <c r="M226">
        <v>182</v>
      </c>
      <c r="N226">
        <v>210</v>
      </c>
      <c r="O226">
        <v>20</v>
      </c>
      <c r="Q226" t="b">
        <f t="shared" si="35"/>
        <v>1</v>
      </c>
      <c r="R226" t="b">
        <f t="shared" si="36"/>
        <v>1</v>
      </c>
      <c r="S226" t="b">
        <f t="shared" si="37"/>
        <v>1</v>
      </c>
    </row>
    <row r="227" spans="1:19" x14ac:dyDescent="0.2">
      <c r="A227" s="106">
        <f>_xlfn.XLOOKUP(B227,pratos!B:B,pratos!A:A,"não")</f>
        <v>183</v>
      </c>
      <c r="B227" s="111" t="s">
        <v>300</v>
      </c>
      <c r="C227" s="105">
        <f>_xlfn.XLOOKUP(D227,ingredientes!B:B,ingredientes!A:A,"não")</f>
        <v>90</v>
      </c>
      <c r="D227" t="s">
        <v>639</v>
      </c>
      <c r="E227" s="10">
        <v>100</v>
      </c>
      <c r="H227">
        <f t="shared" si="38"/>
        <v>183</v>
      </c>
      <c r="I227">
        <f t="shared" si="33"/>
        <v>90</v>
      </c>
      <c r="J227">
        <f t="shared" si="34"/>
        <v>100</v>
      </c>
      <c r="K227">
        <f t="shared" si="39"/>
        <v>273</v>
      </c>
      <c r="M227">
        <v>183</v>
      </c>
      <c r="N227">
        <v>90</v>
      </c>
      <c r="O227">
        <v>100</v>
      </c>
      <c r="Q227" t="b">
        <f t="shared" si="35"/>
        <v>1</v>
      </c>
      <c r="R227" t="b">
        <f t="shared" si="36"/>
        <v>1</v>
      </c>
      <c r="S227" t="b">
        <f t="shared" si="37"/>
        <v>1</v>
      </c>
    </row>
    <row r="228" spans="1:19" x14ac:dyDescent="0.2">
      <c r="A228" s="106">
        <f>_xlfn.XLOOKUP(B228,pratos!B:B,pratos!A:A,"não")</f>
        <v>183</v>
      </c>
      <c r="B228" s="111" t="s">
        <v>300</v>
      </c>
      <c r="C228" s="105">
        <f>_xlfn.XLOOKUP(D228,ingredientes!B:B,ingredientes!A:A,"não")</f>
        <v>210</v>
      </c>
      <c r="D228" t="s">
        <v>674</v>
      </c>
      <c r="E228" s="17">
        <v>20</v>
      </c>
      <c r="H228">
        <f t="shared" si="38"/>
        <v>183</v>
      </c>
      <c r="I228">
        <f t="shared" si="33"/>
        <v>210</v>
      </c>
      <c r="J228">
        <f t="shared" si="34"/>
        <v>20</v>
      </c>
      <c r="K228">
        <f t="shared" si="39"/>
        <v>393</v>
      </c>
      <c r="M228">
        <v>183</v>
      </c>
      <c r="N228">
        <v>210</v>
      </c>
      <c r="O228">
        <v>20</v>
      </c>
      <c r="Q228" t="b">
        <f t="shared" si="35"/>
        <v>1</v>
      </c>
      <c r="R228" t="b">
        <f t="shared" si="36"/>
        <v>1</v>
      </c>
      <c r="S228" t="b">
        <f t="shared" si="37"/>
        <v>1</v>
      </c>
    </row>
    <row r="229" spans="1:19" x14ac:dyDescent="0.2">
      <c r="A229" s="106">
        <f>_xlfn.XLOOKUP(B229,pratos!B:B,pratos!A:A,"não")</f>
        <v>184</v>
      </c>
      <c r="B229" s="111" t="s">
        <v>126</v>
      </c>
      <c r="C229" s="105">
        <f>_xlfn.XLOOKUP(D229,ingredientes!B:B,ingredientes!A:A,"não")</f>
        <v>122</v>
      </c>
      <c r="D229" s="149" t="s">
        <v>126</v>
      </c>
      <c r="E229" s="19">
        <v>80</v>
      </c>
      <c r="H229">
        <f t="shared" si="38"/>
        <v>184</v>
      </c>
      <c r="I229">
        <f t="shared" si="33"/>
        <v>122</v>
      </c>
      <c r="J229">
        <f t="shared" si="34"/>
        <v>80</v>
      </c>
      <c r="K229">
        <f t="shared" si="39"/>
        <v>306</v>
      </c>
      <c r="M229">
        <v>184</v>
      </c>
      <c r="N229">
        <v>122</v>
      </c>
      <c r="O229">
        <v>80</v>
      </c>
      <c r="Q229" t="b">
        <f t="shared" si="35"/>
        <v>1</v>
      </c>
      <c r="R229" t="b">
        <f t="shared" si="36"/>
        <v>1</v>
      </c>
      <c r="S229" t="b">
        <f t="shared" si="37"/>
        <v>1</v>
      </c>
    </row>
    <row r="230" spans="1:19" x14ac:dyDescent="0.2">
      <c r="A230" s="106">
        <f>_xlfn.XLOOKUP(B230,pratos!B:B,pratos!A:A,"não")</f>
        <v>185</v>
      </c>
      <c r="B230" s="52" t="s">
        <v>551</v>
      </c>
      <c r="C230" s="105">
        <f>_xlfn.XLOOKUP(D230,ingredientes!B:B,ingredientes!A:A,"não")</f>
        <v>124</v>
      </c>
      <c r="D230" t="s">
        <v>650</v>
      </c>
      <c r="E230" s="32">
        <v>100</v>
      </c>
      <c r="H230">
        <f t="shared" si="38"/>
        <v>185</v>
      </c>
      <c r="I230">
        <f t="shared" si="33"/>
        <v>124</v>
      </c>
      <c r="J230">
        <f t="shared" si="34"/>
        <v>100</v>
      </c>
      <c r="K230">
        <f t="shared" si="39"/>
        <v>309</v>
      </c>
      <c r="M230">
        <v>185</v>
      </c>
      <c r="N230">
        <v>124</v>
      </c>
      <c r="O230">
        <v>100</v>
      </c>
      <c r="Q230" t="b">
        <f t="shared" si="35"/>
        <v>1</v>
      </c>
      <c r="R230" t="b">
        <f t="shared" si="36"/>
        <v>1</v>
      </c>
      <c r="S230" t="b">
        <f t="shared" si="37"/>
        <v>1</v>
      </c>
    </row>
    <row r="231" spans="1:19" x14ac:dyDescent="0.2">
      <c r="A231" s="106">
        <f>_xlfn.XLOOKUP(B231,pratos!B:B,pratos!A:A,"não")</f>
        <v>186</v>
      </c>
      <c r="B231" s="52" t="s">
        <v>259</v>
      </c>
      <c r="C231" s="105">
        <f>_xlfn.XLOOKUP(D231,ingredientes!B:B,ingredientes!A:A,"não")</f>
        <v>23</v>
      </c>
      <c r="D231" t="s">
        <v>608</v>
      </c>
      <c r="E231" s="10">
        <v>70</v>
      </c>
      <c r="H231">
        <f t="shared" si="38"/>
        <v>186</v>
      </c>
      <c r="I231">
        <f t="shared" si="33"/>
        <v>23</v>
      </c>
      <c r="J231">
        <f t="shared" si="34"/>
        <v>70</v>
      </c>
      <c r="K231">
        <f t="shared" si="39"/>
        <v>209</v>
      </c>
      <c r="M231">
        <v>186</v>
      </c>
      <c r="N231">
        <v>23</v>
      </c>
      <c r="O231">
        <v>70</v>
      </c>
      <c r="Q231" t="b">
        <f t="shared" si="35"/>
        <v>1</v>
      </c>
      <c r="R231" t="b">
        <f t="shared" si="36"/>
        <v>1</v>
      </c>
      <c r="S231" t="b">
        <f t="shared" si="37"/>
        <v>1</v>
      </c>
    </row>
    <row r="232" spans="1:19" x14ac:dyDescent="0.2">
      <c r="A232" s="106">
        <f>_xlfn.XLOOKUP(B232,pratos!B:B,pratos!A:A,"não")</f>
        <v>186</v>
      </c>
      <c r="B232" s="52" t="s">
        <v>259</v>
      </c>
      <c r="C232" s="105">
        <f>_xlfn.XLOOKUP(D232,ingredientes!B:B,ingredientes!A:A,"não")</f>
        <v>84</v>
      </c>
      <c r="D232" t="s">
        <v>635</v>
      </c>
      <c r="E232" s="19">
        <v>70</v>
      </c>
      <c r="H232">
        <f t="shared" si="38"/>
        <v>186</v>
      </c>
      <c r="I232">
        <f t="shared" si="33"/>
        <v>84</v>
      </c>
      <c r="J232">
        <f t="shared" si="34"/>
        <v>70</v>
      </c>
      <c r="K232">
        <f t="shared" si="39"/>
        <v>270</v>
      </c>
      <c r="M232">
        <v>186</v>
      </c>
      <c r="N232">
        <v>84</v>
      </c>
      <c r="O232">
        <v>70</v>
      </c>
      <c r="Q232" t="b">
        <f t="shared" si="35"/>
        <v>1</v>
      </c>
      <c r="R232" t="b">
        <f t="shared" si="36"/>
        <v>1</v>
      </c>
      <c r="S232" t="b">
        <f t="shared" si="37"/>
        <v>1</v>
      </c>
    </row>
    <row r="233" spans="1:19" x14ac:dyDescent="0.2">
      <c r="A233" s="106">
        <f>_xlfn.XLOOKUP(B233,pratos!B:B,pratos!A:A,"não")</f>
        <v>187</v>
      </c>
      <c r="B233" s="124" t="s">
        <v>380</v>
      </c>
      <c r="C233" s="105">
        <f>_xlfn.XLOOKUP(D233,ingredientes!B:B,ingredientes!A:A,"não")</f>
        <v>130</v>
      </c>
      <c r="D233" t="s">
        <v>652</v>
      </c>
      <c r="E233" s="10">
        <v>100</v>
      </c>
      <c r="H233">
        <f t="shared" si="38"/>
        <v>187</v>
      </c>
      <c r="I233">
        <f t="shared" si="33"/>
        <v>130</v>
      </c>
      <c r="J233">
        <f t="shared" si="34"/>
        <v>100</v>
      </c>
      <c r="K233">
        <f t="shared" si="39"/>
        <v>317</v>
      </c>
      <c r="M233">
        <v>187</v>
      </c>
      <c r="N233">
        <v>130</v>
      </c>
      <c r="O233">
        <v>100</v>
      </c>
      <c r="Q233" t="b">
        <f t="shared" si="35"/>
        <v>1</v>
      </c>
      <c r="R233" t="b">
        <f t="shared" si="36"/>
        <v>1</v>
      </c>
      <c r="S233" t="b">
        <f t="shared" si="37"/>
        <v>1</v>
      </c>
    </row>
    <row r="234" spans="1:19" x14ac:dyDescent="0.2">
      <c r="A234" s="106">
        <f>_xlfn.XLOOKUP(B234,pratos!B:B,pratos!A:A,"não")</f>
        <v>188</v>
      </c>
      <c r="B234" s="116" t="s">
        <v>489</v>
      </c>
      <c r="C234" s="105">
        <f>_xlfn.XLOOKUP(D234,ingredientes!B:B,ingredientes!A:A,"não")</f>
        <v>131</v>
      </c>
      <c r="D234" s="151" t="s">
        <v>490</v>
      </c>
      <c r="E234" s="31">
        <v>100</v>
      </c>
      <c r="H234">
        <f t="shared" si="38"/>
        <v>188</v>
      </c>
      <c r="I234">
        <f t="shared" si="33"/>
        <v>131</v>
      </c>
      <c r="J234">
        <f t="shared" si="34"/>
        <v>100</v>
      </c>
      <c r="K234">
        <f t="shared" si="39"/>
        <v>319</v>
      </c>
      <c r="M234">
        <v>188</v>
      </c>
      <c r="N234">
        <v>131</v>
      </c>
      <c r="O234">
        <v>100</v>
      </c>
      <c r="Q234" t="b">
        <f t="shared" si="35"/>
        <v>1</v>
      </c>
      <c r="R234" t="b">
        <f t="shared" si="36"/>
        <v>1</v>
      </c>
      <c r="S234" t="b">
        <f t="shared" si="37"/>
        <v>1</v>
      </c>
    </row>
    <row r="235" spans="1:19" x14ac:dyDescent="0.2">
      <c r="A235" s="106">
        <f>_xlfn.XLOOKUP(B235,pratos!B:B,pratos!A:A,"não")</f>
        <v>189</v>
      </c>
      <c r="B235" s="127" t="s">
        <v>391</v>
      </c>
      <c r="C235" s="105">
        <f>_xlfn.XLOOKUP(D235,ingredientes!B:B,ingredientes!A:A,"não")</f>
        <v>208</v>
      </c>
      <c r="D235" s="138" t="s">
        <v>16</v>
      </c>
      <c r="E235" s="10">
        <v>20</v>
      </c>
      <c r="H235">
        <f t="shared" si="38"/>
        <v>189</v>
      </c>
      <c r="I235">
        <f t="shared" si="33"/>
        <v>208</v>
      </c>
      <c r="J235">
        <f t="shared" si="34"/>
        <v>20</v>
      </c>
      <c r="K235">
        <f t="shared" si="39"/>
        <v>397</v>
      </c>
      <c r="M235">
        <v>189</v>
      </c>
      <c r="N235">
        <v>208</v>
      </c>
      <c r="O235">
        <v>20</v>
      </c>
      <c r="Q235" t="b">
        <f t="shared" si="35"/>
        <v>1</v>
      </c>
      <c r="R235" t="b">
        <f t="shared" si="36"/>
        <v>1</v>
      </c>
      <c r="S235" t="b">
        <f t="shared" si="37"/>
        <v>1</v>
      </c>
    </row>
    <row r="236" spans="1:19" x14ac:dyDescent="0.2">
      <c r="A236" s="106">
        <f>_xlfn.XLOOKUP(B236,pratos!B:B,pratos!A:A,"não")</f>
        <v>190</v>
      </c>
      <c r="B236" s="116" t="s">
        <v>470</v>
      </c>
      <c r="C236" s="105">
        <f>_xlfn.XLOOKUP(D236,ingredientes!B:B,ingredientes!A:A,"não")</f>
        <v>41</v>
      </c>
      <c r="D236" s="143" t="s">
        <v>35</v>
      </c>
      <c r="E236" s="10">
        <v>5</v>
      </c>
      <c r="H236">
        <f t="shared" si="38"/>
        <v>190</v>
      </c>
      <c r="I236">
        <f t="shared" si="33"/>
        <v>41</v>
      </c>
      <c r="J236">
        <f t="shared" si="34"/>
        <v>5</v>
      </c>
      <c r="K236">
        <f t="shared" si="39"/>
        <v>231</v>
      </c>
      <c r="M236">
        <v>190</v>
      </c>
      <c r="N236">
        <v>41</v>
      </c>
      <c r="O236">
        <v>5</v>
      </c>
      <c r="Q236" t="b">
        <f t="shared" si="35"/>
        <v>1</v>
      </c>
      <c r="R236" t="b">
        <f t="shared" si="36"/>
        <v>1</v>
      </c>
      <c r="S236" t="b">
        <f t="shared" si="37"/>
        <v>1</v>
      </c>
    </row>
    <row r="237" spans="1:19" x14ac:dyDescent="0.2">
      <c r="A237" s="106">
        <f>_xlfn.XLOOKUP(B237,pratos!B:B,pratos!A:A,"não")</f>
        <v>190</v>
      </c>
      <c r="B237" s="109" t="s">
        <v>470</v>
      </c>
      <c r="C237" s="105">
        <f>_xlfn.XLOOKUP(D237,ingredientes!B:B,ingredientes!A:A,"não")</f>
        <v>128</v>
      </c>
      <c r="D237" t="s">
        <v>654</v>
      </c>
      <c r="E237" s="88">
        <v>100</v>
      </c>
      <c r="H237">
        <f t="shared" si="38"/>
        <v>190</v>
      </c>
      <c r="I237">
        <f t="shared" si="33"/>
        <v>128</v>
      </c>
      <c r="J237">
        <f t="shared" si="34"/>
        <v>100</v>
      </c>
      <c r="K237">
        <f t="shared" si="39"/>
        <v>318</v>
      </c>
      <c r="M237">
        <v>190</v>
      </c>
      <c r="N237">
        <v>128</v>
      </c>
      <c r="O237">
        <v>100</v>
      </c>
      <c r="Q237" t="b">
        <f t="shared" si="35"/>
        <v>1</v>
      </c>
      <c r="R237" t="b">
        <f t="shared" si="36"/>
        <v>1</v>
      </c>
      <c r="S237" t="b">
        <f t="shared" si="37"/>
        <v>1</v>
      </c>
    </row>
    <row r="238" spans="1:19" x14ac:dyDescent="0.2">
      <c r="A238" s="106">
        <f>_xlfn.XLOOKUP(B238,pratos!B:B,pratos!A:A,"não")</f>
        <v>190</v>
      </c>
      <c r="B238" s="116" t="s">
        <v>470</v>
      </c>
      <c r="C238" s="105">
        <f>_xlfn.XLOOKUP(D238,ingredientes!B:B,ingredientes!A:A,"não")</f>
        <v>194</v>
      </c>
      <c r="D238" s="143" t="s">
        <v>471</v>
      </c>
      <c r="E238" s="10">
        <v>5</v>
      </c>
      <c r="H238">
        <f t="shared" si="38"/>
        <v>190</v>
      </c>
      <c r="I238">
        <f t="shared" si="33"/>
        <v>194</v>
      </c>
      <c r="J238">
        <f t="shared" si="34"/>
        <v>5</v>
      </c>
      <c r="K238">
        <f t="shared" si="39"/>
        <v>384</v>
      </c>
      <c r="M238">
        <v>190</v>
      </c>
      <c r="N238">
        <v>194</v>
      </c>
      <c r="O238">
        <v>5</v>
      </c>
      <c r="Q238" t="b">
        <f t="shared" si="35"/>
        <v>1</v>
      </c>
      <c r="R238" t="b">
        <f t="shared" si="36"/>
        <v>1</v>
      </c>
      <c r="S238" t="b">
        <f t="shared" si="37"/>
        <v>1</v>
      </c>
    </row>
    <row r="239" spans="1:19" x14ac:dyDescent="0.2">
      <c r="A239" s="106">
        <f>_xlfn.XLOOKUP(B239,pratos!B:B,pratos!A:A,"não")</f>
        <v>190</v>
      </c>
      <c r="B239" s="116" t="s">
        <v>470</v>
      </c>
      <c r="C239" s="105">
        <f>_xlfn.XLOOKUP(D239,ingredientes!B:B,ingredientes!A:A,"não")</f>
        <v>279</v>
      </c>
      <c r="D239" s="143" t="s">
        <v>472</v>
      </c>
      <c r="E239" s="10">
        <v>5</v>
      </c>
      <c r="H239">
        <f t="shared" si="38"/>
        <v>190</v>
      </c>
      <c r="I239">
        <f t="shared" si="33"/>
        <v>279</v>
      </c>
      <c r="J239">
        <f t="shared" si="34"/>
        <v>5</v>
      </c>
      <c r="K239">
        <f t="shared" si="39"/>
        <v>469</v>
      </c>
      <c r="M239">
        <v>190</v>
      </c>
      <c r="N239">
        <v>279</v>
      </c>
      <c r="O239">
        <v>5</v>
      </c>
      <c r="Q239" t="b">
        <f t="shared" si="35"/>
        <v>1</v>
      </c>
      <c r="R239" t="b">
        <f t="shared" si="36"/>
        <v>1</v>
      </c>
      <c r="S239" t="b">
        <f t="shared" si="37"/>
        <v>1</v>
      </c>
    </row>
    <row r="240" spans="1:19" x14ac:dyDescent="0.2">
      <c r="A240" s="106">
        <f>_xlfn.XLOOKUP(B240,pratos!B:B,pratos!A:A,"não")</f>
        <v>191</v>
      </c>
      <c r="B240" s="109" t="s">
        <v>446</v>
      </c>
      <c r="C240" s="105">
        <f>_xlfn.XLOOKUP(D240,ingredientes!B:B,ingredientes!A:A,"não")</f>
        <v>134</v>
      </c>
      <c r="D240" t="s">
        <v>656</v>
      </c>
      <c r="E240" s="82">
        <v>100</v>
      </c>
      <c r="H240">
        <f t="shared" si="38"/>
        <v>191</v>
      </c>
      <c r="I240">
        <f t="shared" si="33"/>
        <v>134</v>
      </c>
      <c r="J240">
        <f t="shared" si="34"/>
        <v>100</v>
      </c>
      <c r="K240">
        <f t="shared" si="39"/>
        <v>325</v>
      </c>
      <c r="M240">
        <v>191</v>
      </c>
      <c r="N240">
        <v>134</v>
      </c>
      <c r="O240">
        <v>100</v>
      </c>
      <c r="Q240" t="b">
        <f t="shared" si="35"/>
        <v>1</v>
      </c>
      <c r="R240" t="b">
        <f t="shared" si="36"/>
        <v>1</v>
      </c>
      <c r="S240" t="b">
        <f t="shared" si="37"/>
        <v>1</v>
      </c>
    </row>
    <row r="241" spans="1:19" x14ac:dyDescent="0.2">
      <c r="A241" s="106">
        <f>_xlfn.XLOOKUP(B241,pratos!B:B,pratos!A:A,"não")</f>
        <v>192</v>
      </c>
      <c r="B241" s="109" t="s">
        <v>542</v>
      </c>
      <c r="C241" s="105">
        <f>_xlfn.XLOOKUP(D241,ingredientes!B:B,ingredientes!A:A,"não")</f>
        <v>2</v>
      </c>
      <c r="D241" s="144" t="s">
        <v>306</v>
      </c>
      <c r="E241" s="10">
        <v>5</v>
      </c>
      <c r="H241">
        <f t="shared" si="38"/>
        <v>192</v>
      </c>
      <c r="I241">
        <f t="shared" si="33"/>
        <v>2</v>
      </c>
      <c r="J241">
        <f t="shared" si="34"/>
        <v>5</v>
      </c>
      <c r="K241">
        <f t="shared" si="39"/>
        <v>194</v>
      </c>
      <c r="M241">
        <v>192</v>
      </c>
      <c r="N241">
        <v>2</v>
      </c>
      <c r="O241">
        <v>5</v>
      </c>
      <c r="Q241" t="b">
        <f t="shared" si="35"/>
        <v>1</v>
      </c>
      <c r="R241" t="b">
        <f t="shared" si="36"/>
        <v>1</v>
      </c>
      <c r="S241" t="b">
        <f t="shared" si="37"/>
        <v>1</v>
      </c>
    </row>
    <row r="242" spans="1:19" x14ac:dyDescent="0.2">
      <c r="A242" s="106">
        <f>_xlfn.XLOOKUP(B242,pratos!B:B,pratos!A:A,"não")</f>
        <v>192</v>
      </c>
      <c r="B242" s="109" t="s">
        <v>542</v>
      </c>
      <c r="C242" s="105">
        <f>_xlfn.XLOOKUP(D242,ingredientes!B:B,ingredientes!A:A,"não")</f>
        <v>50</v>
      </c>
      <c r="D242" s="143" t="s">
        <v>544</v>
      </c>
      <c r="E242" s="87">
        <v>5</v>
      </c>
      <c r="H242">
        <f t="shared" si="38"/>
        <v>192</v>
      </c>
      <c r="I242">
        <f t="shared" si="33"/>
        <v>50</v>
      </c>
      <c r="J242">
        <f t="shared" si="34"/>
        <v>5</v>
      </c>
      <c r="K242">
        <f t="shared" si="39"/>
        <v>242</v>
      </c>
      <c r="M242">
        <v>192</v>
      </c>
      <c r="N242">
        <v>50</v>
      </c>
      <c r="O242">
        <v>5</v>
      </c>
      <c r="Q242" t="b">
        <f t="shared" si="35"/>
        <v>1</v>
      </c>
      <c r="R242" t="b">
        <f t="shared" si="36"/>
        <v>1</v>
      </c>
      <c r="S242" t="b">
        <f t="shared" si="37"/>
        <v>1</v>
      </c>
    </row>
    <row r="243" spans="1:19" x14ac:dyDescent="0.2">
      <c r="A243" s="106">
        <f>_xlfn.XLOOKUP(B243,pratos!B:B,pratos!A:A,"não")</f>
        <v>192</v>
      </c>
      <c r="B243" s="109" t="s">
        <v>542</v>
      </c>
      <c r="C243" s="105">
        <f>_xlfn.XLOOKUP(D243,ingredientes!B:B,ingredientes!A:A,"não")</f>
        <v>135</v>
      </c>
      <c r="D243" s="143" t="s">
        <v>543</v>
      </c>
      <c r="E243" s="10">
        <v>50</v>
      </c>
      <c r="H243">
        <f t="shared" si="38"/>
        <v>192</v>
      </c>
      <c r="I243">
        <f t="shared" si="33"/>
        <v>135</v>
      </c>
      <c r="J243">
        <f t="shared" si="34"/>
        <v>50</v>
      </c>
      <c r="K243">
        <f t="shared" si="39"/>
        <v>327</v>
      </c>
      <c r="M243">
        <v>192</v>
      </c>
      <c r="N243">
        <v>135</v>
      </c>
      <c r="O243">
        <v>50</v>
      </c>
      <c r="Q243" t="b">
        <f t="shared" si="35"/>
        <v>1</v>
      </c>
      <c r="R243" t="b">
        <f t="shared" si="36"/>
        <v>1</v>
      </c>
      <c r="S243" t="b">
        <f t="shared" si="37"/>
        <v>1</v>
      </c>
    </row>
    <row r="244" spans="1:19" x14ac:dyDescent="0.2">
      <c r="A244" s="106">
        <f>_xlfn.XLOOKUP(B244,pratos!B:B,pratos!A:A,"não")</f>
        <v>192</v>
      </c>
      <c r="B244" s="52" t="s">
        <v>542</v>
      </c>
      <c r="C244" s="105">
        <f>_xlfn.XLOOKUP(D244,ingredientes!B:B,ingredientes!A:A,"não")</f>
        <v>224</v>
      </c>
      <c r="D244" s="143" t="s">
        <v>546</v>
      </c>
      <c r="E244" s="87">
        <v>5</v>
      </c>
      <c r="H244">
        <f t="shared" si="38"/>
        <v>192</v>
      </c>
      <c r="I244">
        <f t="shared" si="33"/>
        <v>224</v>
      </c>
      <c r="J244">
        <f t="shared" si="34"/>
        <v>5</v>
      </c>
      <c r="K244">
        <f t="shared" si="39"/>
        <v>416</v>
      </c>
      <c r="M244">
        <v>192</v>
      </c>
      <c r="N244">
        <v>224</v>
      </c>
      <c r="O244">
        <v>5</v>
      </c>
      <c r="Q244" t="b">
        <f t="shared" si="35"/>
        <v>1</v>
      </c>
      <c r="R244" t="b">
        <f t="shared" si="36"/>
        <v>1</v>
      </c>
      <c r="S244" t="b">
        <f t="shared" si="37"/>
        <v>1</v>
      </c>
    </row>
    <row r="245" spans="1:19" x14ac:dyDescent="0.2">
      <c r="A245" s="106">
        <f>_xlfn.XLOOKUP(B245,pratos!B:B,pratos!A:A,"não")</f>
        <v>192</v>
      </c>
      <c r="B245" s="109" t="s">
        <v>542</v>
      </c>
      <c r="C245" s="105">
        <f>_xlfn.XLOOKUP(D245,ingredientes!B:B,ingredientes!A:A,"não")</f>
        <v>316</v>
      </c>
      <c r="D245" s="143" t="s">
        <v>545</v>
      </c>
      <c r="E245" s="10">
        <v>5</v>
      </c>
      <c r="H245">
        <f t="shared" si="38"/>
        <v>192</v>
      </c>
      <c r="I245">
        <f t="shared" si="33"/>
        <v>316</v>
      </c>
      <c r="J245">
        <f t="shared" si="34"/>
        <v>5</v>
      </c>
      <c r="K245">
        <f t="shared" si="39"/>
        <v>508</v>
      </c>
      <c r="M245">
        <v>192</v>
      </c>
      <c r="N245">
        <v>316</v>
      </c>
      <c r="O245">
        <v>5</v>
      </c>
      <c r="Q245" t="b">
        <f t="shared" si="35"/>
        <v>1</v>
      </c>
      <c r="R245" t="b">
        <f t="shared" si="36"/>
        <v>1</v>
      </c>
      <c r="S245" t="b">
        <f t="shared" si="37"/>
        <v>1</v>
      </c>
    </row>
    <row r="246" spans="1:19" x14ac:dyDescent="0.2">
      <c r="A246" s="106">
        <f>_xlfn.XLOOKUP(B246,pratos!B:B,pratos!A:A,"não")</f>
        <v>193</v>
      </c>
      <c r="B246" s="52" t="s">
        <v>31</v>
      </c>
      <c r="C246" s="105">
        <f>_xlfn.XLOOKUP(D246,ingredientes!B:B,ingredientes!A:A,"não")</f>
        <v>140</v>
      </c>
      <c r="D246" t="s">
        <v>658</v>
      </c>
      <c r="E246" s="10">
        <v>100</v>
      </c>
      <c r="H246">
        <f t="shared" si="38"/>
        <v>193</v>
      </c>
      <c r="I246">
        <f t="shared" si="33"/>
        <v>140</v>
      </c>
      <c r="J246">
        <f t="shared" si="34"/>
        <v>100</v>
      </c>
      <c r="K246">
        <f t="shared" si="39"/>
        <v>333</v>
      </c>
      <c r="M246">
        <v>193</v>
      </c>
      <c r="N246">
        <v>140</v>
      </c>
      <c r="O246">
        <v>100</v>
      </c>
      <c r="Q246" t="b">
        <f t="shared" si="35"/>
        <v>1</v>
      </c>
      <c r="R246" t="b">
        <f t="shared" si="36"/>
        <v>1</v>
      </c>
      <c r="S246" t="b">
        <f t="shared" si="37"/>
        <v>1</v>
      </c>
    </row>
    <row r="247" spans="1:19" x14ac:dyDescent="0.2">
      <c r="A247" s="106">
        <f>_xlfn.XLOOKUP(B247,pratos!B:B,pratos!A:A,"não")</f>
        <v>195</v>
      </c>
      <c r="B247" s="111" t="s">
        <v>69</v>
      </c>
      <c r="C247" s="105">
        <f>_xlfn.XLOOKUP(D247,ingredientes!B:B,ingredientes!A:A,"não")</f>
        <v>141</v>
      </c>
      <c r="D247" t="s">
        <v>659</v>
      </c>
      <c r="E247" s="10">
        <v>100</v>
      </c>
      <c r="H247">
        <f t="shared" si="38"/>
        <v>195</v>
      </c>
      <c r="I247">
        <f t="shared" si="33"/>
        <v>141</v>
      </c>
      <c r="J247">
        <f t="shared" si="34"/>
        <v>100</v>
      </c>
      <c r="K247">
        <f t="shared" si="39"/>
        <v>336</v>
      </c>
      <c r="M247">
        <v>195</v>
      </c>
      <c r="N247">
        <v>141</v>
      </c>
      <c r="O247">
        <v>100</v>
      </c>
      <c r="Q247" t="b">
        <f t="shared" si="35"/>
        <v>1</v>
      </c>
      <c r="R247" t="b">
        <f t="shared" si="36"/>
        <v>1</v>
      </c>
      <c r="S247" t="b">
        <f t="shared" si="37"/>
        <v>1</v>
      </c>
    </row>
    <row r="248" spans="1:19" x14ac:dyDescent="0.2">
      <c r="A248" s="106">
        <f>_xlfn.XLOOKUP(B248,pratos!B:B,pratos!A:A,"não")</f>
        <v>196</v>
      </c>
      <c r="B248" s="116" t="s">
        <v>573</v>
      </c>
      <c r="C248" s="105">
        <f>_xlfn.XLOOKUP(D248,ingredientes!B:B,ingredientes!A:A,"não")</f>
        <v>140</v>
      </c>
      <c r="D248" t="s">
        <v>658</v>
      </c>
      <c r="E248" s="17">
        <v>40</v>
      </c>
      <c r="H248">
        <f t="shared" si="38"/>
        <v>196</v>
      </c>
      <c r="I248">
        <f t="shared" si="33"/>
        <v>140</v>
      </c>
      <c r="J248">
        <f t="shared" si="34"/>
        <v>40</v>
      </c>
      <c r="K248">
        <f t="shared" si="39"/>
        <v>336</v>
      </c>
      <c r="M248">
        <v>196</v>
      </c>
      <c r="N248">
        <v>140</v>
      </c>
      <c r="O248">
        <v>40</v>
      </c>
      <c r="Q248" t="b">
        <f t="shared" si="35"/>
        <v>1</v>
      </c>
      <c r="R248" t="b">
        <f t="shared" si="36"/>
        <v>1</v>
      </c>
      <c r="S248" t="b">
        <f t="shared" si="37"/>
        <v>1</v>
      </c>
    </row>
    <row r="249" spans="1:19" x14ac:dyDescent="0.2">
      <c r="A249" s="106">
        <f>_xlfn.XLOOKUP(B249,pratos!B:B,pratos!A:A,"não")</f>
        <v>197</v>
      </c>
      <c r="B249" s="52" t="s">
        <v>510</v>
      </c>
      <c r="C249" s="105">
        <f>_xlfn.XLOOKUP(D249,ingredientes!B:B,ingredientes!A:A,"não")</f>
        <v>146</v>
      </c>
      <c r="D249" t="s">
        <v>662</v>
      </c>
      <c r="E249" s="10">
        <v>100</v>
      </c>
      <c r="H249">
        <f t="shared" si="38"/>
        <v>197</v>
      </c>
      <c r="I249">
        <f t="shared" ref="I249:I285" si="40">C249</f>
        <v>146</v>
      </c>
      <c r="J249">
        <f t="shared" ref="J249:J285" si="41">E249</f>
        <v>100</v>
      </c>
      <c r="K249">
        <f t="shared" si="39"/>
        <v>343</v>
      </c>
      <c r="M249">
        <v>197</v>
      </c>
      <c r="N249">
        <v>146</v>
      </c>
      <c r="O249">
        <v>100</v>
      </c>
      <c r="Q249" t="b">
        <f t="shared" si="35"/>
        <v>1</v>
      </c>
      <c r="R249" t="b">
        <f t="shared" si="36"/>
        <v>1</v>
      </c>
      <c r="S249" t="b">
        <f t="shared" si="37"/>
        <v>1</v>
      </c>
    </row>
    <row r="250" spans="1:19" x14ac:dyDescent="0.2">
      <c r="A250" s="106">
        <f>_xlfn.XLOOKUP(B250,pratos!B:B,pratos!A:A,"não")</f>
        <v>199</v>
      </c>
      <c r="B250" s="52" t="s">
        <v>66</v>
      </c>
      <c r="C250" s="105">
        <f>_xlfn.XLOOKUP(D250,ingredientes!B:B,ingredientes!A:A,"não")</f>
        <v>146</v>
      </c>
      <c r="D250" t="s">
        <v>662</v>
      </c>
      <c r="E250" s="10">
        <v>100</v>
      </c>
      <c r="H250">
        <f t="shared" ref="H250:H286" si="42">A250</f>
        <v>199</v>
      </c>
      <c r="I250">
        <f t="shared" si="40"/>
        <v>146</v>
      </c>
      <c r="J250">
        <f t="shared" si="41"/>
        <v>100</v>
      </c>
      <c r="K250">
        <f t="shared" ref="K250:K287" si="43">H250+I250</f>
        <v>345</v>
      </c>
      <c r="M250">
        <v>199</v>
      </c>
      <c r="N250">
        <v>146</v>
      </c>
      <c r="O250">
        <v>100</v>
      </c>
      <c r="Q250" t="b">
        <f t="shared" si="35"/>
        <v>1</v>
      </c>
      <c r="R250" t="b">
        <f t="shared" si="36"/>
        <v>1</v>
      </c>
      <c r="S250" t="b">
        <f t="shared" si="37"/>
        <v>1</v>
      </c>
    </row>
    <row r="251" spans="1:19" x14ac:dyDescent="0.2">
      <c r="A251" s="106">
        <f>_xlfn.XLOOKUP(B251,pratos!B:B,pratos!A:A,"não")</f>
        <v>202</v>
      </c>
      <c r="B251" s="111" t="s">
        <v>275</v>
      </c>
      <c r="C251" s="105">
        <f>_xlfn.XLOOKUP(D251,ingredientes!B:B,ingredientes!A:A,"não")</f>
        <v>238</v>
      </c>
      <c r="D251" s="30" t="s">
        <v>677</v>
      </c>
      <c r="E251" s="53">
        <v>120</v>
      </c>
      <c r="H251">
        <f t="shared" si="42"/>
        <v>202</v>
      </c>
      <c r="I251">
        <f t="shared" si="40"/>
        <v>238</v>
      </c>
      <c r="J251">
        <f t="shared" si="41"/>
        <v>120</v>
      </c>
      <c r="K251">
        <f t="shared" si="43"/>
        <v>440</v>
      </c>
      <c r="M251">
        <v>202</v>
      </c>
      <c r="N251">
        <v>238</v>
      </c>
      <c r="O251">
        <v>120</v>
      </c>
      <c r="Q251" t="b">
        <f t="shared" si="35"/>
        <v>1</v>
      </c>
      <c r="R251" t="b">
        <f t="shared" si="36"/>
        <v>1</v>
      </c>
      <c r="S251" t="b">
        <f t="shared" si="37"/>
        <v>1</v>
      </c>
    </row>
    <row r="252" spans="1:19" x14ac:dyDescent="0.2">
      <c r="A252" s="106">
        <f>_xlfn.XLOOKUP(B252,pratos!B:B,pratos!A:A,"não")</f>
        <v>203</v>
      </c>
      <c r="B252" s="109" t="s">
        <v>264</v>
      </c>
      <c r="C252" s="105">
        <f>_xlfn.XLOOKUP(D252,ingredientes!B:B,ingredientes!A:A,"não")</f>
        <v>24</v>
      </c>
      <c r="D252" s="11" t="s">
        <v>102</v>
      </c>
      <c r="E252" s="10">
        <v>1</v>
      </c>
      <c r="H252">
        <f t="shared" si="42"/>
        <v>203</v>
      </c>
      <c r="I252">
        <f t="shared" si="40"/>
        <v>24</v>
      </c>
      <c r="J252">
        <f t="shared" si="41"/>
        <v>1</v>
      </c>
      <c r="K252">
        <f t="shared" si="43"/>
        <v>227</v>
      </c>
      <c r="M252">
        <v>203</v>
      </c>
      <c r="N252">
        <v>24</v>
      </c>
      <c r="O252">
        <v>1</v>
      </c>
      <c r="Q252" t="b">
        <f t="shared" si="35"/>
        <v>1</v>
      </c>
      <c r="R252" t="b">
        <f t="shared" si="36"/>
        <v>1</v>
      </c>
      <c r="S252" t="b">
        <f t="shared" si="37"/>
        <v>1</v>
      </c>
    </row>
    <row r="253" spans="1:19" x14ac:dyDescent="0.2">
      <c r="A253" s="106">
        <f>_xlfn.XLOOKUP(B253,pratos!B:B,pratos!A:A,"não")</f>
        <v>203</v>
      </c>
      <c r="B253" s="109" t="s">
        <v>264</v>
      </c>
      <c r="C253" s="105">
        <f>_xlfn.XLOOKUP(D253,ingredientes!B:B,ingredientes!A:A,"não")</f>
        <v>147</v>
      </c>
      <c r="D253" s="30" t="s">
        <v>664</v>
      </c>
      <c r="E253" s="10">
        <v>100</v>
      </c>
      <c r="H253">
        <f t="shared" si="42"/>
        <v>203</v>
      </c>
      <c r="I253">
        <f t="shared" si="40"/>
        <v>147</v>
      </c>
      <c r="J253">
        <f t="shared" si="41"/>
        <v>100</v>
      </c>
      <c r="K253">
        <f t="shared" si="43"/>
        <v>350</v>
      </c>
      <c r="M253">
        <v>203</v>
      </c>
      <c r="N253">
        <v>147</v>
      </c>
      <c r="O253">
        <v>100</v>
      </c>
      <c r="Q253" t="b">
        <f t="shared" si="35"/>
        <v>1</v>
      </c>
      <c r="R253" t="b">
        <f t="shared" si="36"/>
        <v>1</v>
      </c>
      <c r="S253" t="b">
        <f t="shared" si="37"/>
        <v>1</v>
      </c>
    </row>
    <row r="254" spans="1:19" x14ac:dyDescent="0.2">
      <c r="A254" s="106">
        <f>_xlfn.XLOOKUP(B254,pratos!B:B,pratos!A:A,"não")</f>
        <v>203</v>
      </c>
      <c r="B254" s="109" t="s">
        <v>264</v>
      </c>
      <c r="C254" s="105">
        <f>_xlfn.XLOOKUP(D254,ingredientes!B:B,ingredientes!A:A,"não")</f>
        <v>195</v>
      </c>
      <c r="D254" s="9" t="s">
        <v>30</v>
      </c>
      <c r="E254" s="10">
        <v>1</v>
      </c>
      <c r="H254">
        <f t="shared" si="42"/>
        <v>203</v>
      </c>
      <c r="I254">
        <f t="shared" si="40"/>
        <v>195</v>
      </c>
      <c r="J254">
        <f t="shared" si="41"/>
        <v>1</v>
      </c>
      <c r="K254">
        <f t="shared" si="43"/>
        <v>398</v>
      </c>
      <c r="M254">
        <v>203</v>
      </c>
      <c r="N254">
        <v>195</v>
      </c>
      <c r="O254">
        <v>1</v>
      </c>
      <c r="Q254" t="b">
        <f t="shared" si="35"/>
        <v>1</v>
      </c>
      <c r="R254" t="b">
        <f t="shared" si="36"/>
        <v>1</v>
      </c>
      <c r="S254" t="b">
        <f t="shared" si="37"/>
        <v>1</v>
      </c>
    </row>
    <row r="255" spans="1:19" x14ac:dyDescent="0.2">
      <c r="A255" s="106">
        <f>_xlfn.XLOOKUP(B255,pratos!B:B,pratos!A:A,"não")</f>
        <v>203</v>
      </c>
      <c r="B255" s="109" t="s">
        <v>264</v>
      </c>
      <c r="C255" s="105">
        <f>_xlfn.XLOOKUP(D255,ingredientes!B:B,ingredientes!A:A,"não")</f>
        <v>196</v>
      </c>
      <c r="D255" s="152" t="s">
        <v>265</v>
      </c>
      <c r="E255" s="10">
        <v>1</v>
      </c>
      <c r="H255">
        <f t="shared" si="42"/>
        <v>203</v>
      </c>
      <c r="I255">
        <f t="shared" si="40"/>
        <v>196</v>
      </c>
      <c r="J255">
        <f t="shared" si="41"/>
        <v>1</v>
      </c>
      <c r="K255">
        <f t="shared" si="43"/>
        <v>399</v>
      </c>
      <c r="M255">
        <v>203</v>
      </c>
      <c r="N255">
        <v>196</v>
      </c>
      <c r="O255">
        <v>1</v>
      </c>
      <c r="Q255" t="b">
        <f t="shared" si="35"/>
        <v>1</v>
      </c>
      <c r="R255" t="b">
        <f t="shared" si="36"/>
        <v>1</v>
      </c>
      <c r="S255" t="b">
        <f t="shared" si="37"/>
        <v>1</v>
      </c>
    </row>
    <row r="256" spans="1:19" x14ac:dyDescent="0.2">
      <c r="A256" s="106">
        <f>_xlfn.XLOOKUP(B256,pratos!B:B,pratos!A:A,"não")</f>
        <v>204</v>
      </c>
      <c r="B256" s="109" t="s">
        <v>255</v>
      </c>
      <c r="C256" s="105">
        <f>_xlfn.XLOOKUP(D256,ingredientes!B:B,ingredientes!A:A,"não")</f>
        <v>149</v>
      </c>
      <c r="D256" s="167" t="s">
        <v>255</v>
      </c>
      <c r="E256" s="10">
        <v>120</v>
      </c>
      <c r="H256">
        <f t="shared" si="42"/>
        <v>204</v>
      </c>
      <c r="I256">
        <f t="shared" si="40"/>
        <v>149</v>
      </c>
      <c r="J256">
        <f t="shared" si="41"/>
        <v>120</v>
      </c>
      <c r="K256">
        <f t="shared" si="43"/>
        <v>353</v>
      </c>
      <c r="M256">
        <v>204</v>
      </c>
      <c r="N256">
        <v>149</v>
      </c>
      <c r="O256">
        <v>120</v>
      </c>
      <c r="Q256" t="b">
        <f t="shared" si="35"/>
        <v>1</v>
      </c>
      <c r="R256" t="b">
        <f t="shared" si="36"/>
        <v>1</v>
      </c>
      <c r="S256" t="b">
        <f t="shared" si="37"/>
        <v>1</v>
      </c>
    </row>
    <row r="257" spans="1:19" x14ac:dyDescent="0.2">
      <c r="A257" s="106">
        <f>_xlfn.XLOOKUP(B257,pratos!B:B,pratos!A:A,"não")</f>
        <v>205</v>
      </c>
      <c r="B257" s="109" t="s">
        <v>139</v>
      </c>
      <c r="C257" s="105">
        <f>_xlfn.XLOOKUP(D257,ingredientes!B:B,ingredientes!A:A,"não")</f>
        <v>174</v>
      </c>
      <c r="D257" s="139" t="s">
        <v>137</v>
      </c>
      <c r="E257" s="5">
        <v>10</v>
      </c>
      <c r="H257">
        <f t="shared" si="42"/>
        <v>205</v>
      </c>
      <c r="I257">
        <f t="shared" si="40"/>
        <v>174</v>
      </c>
      <c r="J257">
        <f t="shared" si="41"/>
        <v>10</v>
      </c>
      <c r="K257">
        <f t="shared" si="43"/>
        <v>379</v>
      </c>
      <c r="M257">
        <v>205</v>
      </c>
      <c r="N257">
        <v>174</v>
      </c>
      <c r="O257">
        <v>10</v>
      </c>
      <c r="Q257" t="b">
        <f t="shared" si="35"/>
        <v>1</v>
      </c>
      <c r="R257" t="b">
        <f t="shared" si="36"/>
        <v>1</v>
      </c>
      <c r="S257" t="b">
        <f t="shared" si="37"/>
        <v>1</v>
      </c>
    </row>
    <row r="258" spans="1:19" x14ac:dyDescent="0.2">
      <c r="A258" s="106">
        <f>_xlfn.XLOOKUP(B258,pratos!B:B,pratos!A:A,"não")</f>
        <v>205</v>
      </c>
      <c r="B258" s="109" t="s">
        <v>139</v>
      </c>
      <c r="C258" s="105">
        <f>_xlfn.XLOOKUP(D258,ingredientes!B:B,ingredientes!A:A,"não")</f>
        <v>244</v>
      </c>
      <c r="D258" t="s">
        <v>680</v>
      </c>
      <c r="E258" s="10">
        <v>120</v>
      </c>
      <c r="H258">
        <f t="shared" si="42"/>
        <v>205</v>
      </c>
      <c r="I258">
        <f t="shared" si="40"/>
        <v>244</v>
      </c>
      <c r="J258">
        <f t="shared" si="41"/>
        <v>120</v>
      </c>
      <c r="K258">
        <f t="shared" si="43"/>
        <v>449</v>
      </c>
      <c r="M258">
        <v>205</v>
      </c>
      <c r="N258">
        <v>244</v>
      </c>
      <c r="O258">
        <v>120</v>
      </c>
      <c r="Q258" t="b">
        <f t="shared" si="35"/>
        <v>1</v>
      </c>
      <c r="R258" t="b">
        <f t="shared" si="36"/>
        <v>1</v>
      </c>
      <c r="S258" t="b">
        <f t="shared" si="37"/>
        <v>1</v>
      </c>
    </row>
    <row r="259" spans="1:19" x14ac:dyDescent="0.2">
      <c r="A259" s="106">
        <f>_xlfn.XLOOKUP(B259,pratos!B:B,pratos!A:A,"não")</f>
        <v>206</v>
      </c>
      <c r="B259" s="109" t="s">
        <v>185</v>
      </c>
      <c r="C259" s="105">
        <f>_xlfn.XLOOKUP(D259,ingredientes!B:B,ingredientes!A:A,"não")</f>
        <v>297</v>
      </c>
      <c r="D259" t="s">
        <v>387</v>
      </c>
      <c r="E259" s="10">
        <v>100</v>
      </c>
      <c r="H259">
        <f t="shared" si="42"/>
        <v>206</v>
      </c>
      <c r="I259">
        <f t="shared" si="40"/>
        <v>297</v>
      </c>
      <c r="J259">
        <f t="shared" si="41"/>
        <v>100</v>
      </c>
      <c r="K259">
        <f t="shared" si="43"/>
        <v>503</v>
      </c>
      <c r="M259">
        <v>206</v>
      </c>
      <c r="N259">
        <v>297</v>
      </c>
      <c r="O259">
        <v>100</v>
      </c>
      <c r="Q259" t="b">
        <f t="shared" si="35"/>
        <v>1</v>
      </c>
      <c r="R259" t="b">
        <f t="shared" si="36"/>
        <v>1</v>
      </c>
      <c r="S259" t="b">
        <f t="shared" si="37"/>
        <v>1</v>
      </c>
    </row>
    <row r="260" spans="1:19" x14ac:dyDescent="0.2">
      <c r="A260" s="106">
        <f>_xlfn.XLOOKUP(B260,pratos!B:B,pratos!A:A,"não")</f>
        <v>207</v>
      </c>
      <c r="B260" s="111" t="s">
        <v>286</v>
      </c>
      <c r="C260" s="105">
        <f>_xlfn.XLOOKUP(D260,ingredientes!B:B,ingredientes!A:A,"não")</f>
        <v>242</v>
      </c>
      <c r="D260" s="152" t="s">
        <v>276</v>
      </c>
      <c r="E260" s="56">
        <v>120</v>
      </c>
      <c r="H260">
        <f t="shared" si="42"/>
        <v>207</v>
      </c>
      <c r="I260">
        <f t="shared" si="40"/>
        <v>242</v>
      </c>
      <c r="J260">
        <f t="shared" si="41"/>
        <v>120</v>
      </c>
      <c r="K260">
        <f t="shared" si="43"/>
        <v>449</v>
      </c>
      <c r="M260">
        <v>207</v>
      </c>
      <c r="N260">
        <v>242</v>
      </c>
      <c r="O260">
        <v>120</v>
      </c>
      <c r="Q260" t="b">
        <f t="shared" si="35"/>
        <v>1</v>
      </c>
      <c r="R260" t="b">
        <f t="shared" si="36"/>
        <v>1</v>
      </c>
      <c r="S260" t="b">
        <f t="shared" si="37"/>
        <v>1</v>
      </c>
    </row>
    <row r="261" spans="1:19" x14ac:dyDescent="0.2">
      <c r="A261" s="106">
        <f>_xlfn.XLOOKUP(B261,pratos!B:B,pratos!A:A,"não")</f>
        <v>209</v>
      </c>
      <c r="B261" s="130" t="s">
        <v>453</v>
      </c>
      <c r="C261" s="105">
        <f>_xlfn.XLOOKUP(D261,ingredientes!B:B,ingredientes!A:A,"não")</f>
        <v>242</v>
      </c>
      <c r="D261" t="s">
        <v>276</v>
      </c>
      <c r="E261" s="10">
        <v>120</v>
      </c>
      <c r="H261">
        <f t="shared" si="42"/>
        <v>209</v>
      </c>
      <c r="I261">
        <f t="shared" si="40"/>
        <v>242</v>
      </c>
      <c r="J261">
        <f t="shared" si="41"/>
        <v>120</v>
      </c>
      <c r="K261">
        <f t="shared" si="43"/>
        <v>451</v>
      </c>
      <c r="M261">
        <v>209</v>
      </c>
      <c r="N261">
        <v>242</v>
      </c>
      <c r="O261">
        <v>120</v>
      </c>
      <c r="Q261" t="b">
        <f t="shared" si="35"/>
        <v>1</v>
      </c>
      <c r="R261" t="b">
        <f t="shared" si="36"/>
        <v>1</v>
      </c>
      <c r="S261" t="b">
        <f t="shared" si="37"/>
        <v>1</v>
      </c>
    </row>
    <row r="262" spans="1:19" x14ac:dyDescent="0.2">
      <c r="A262" s="106">
        <f>_xlfn.XLOOKUP(B262,pratos!B:B,pratos!A:A,"não")</f>
        <v>210</v>
      </c>
      <c r="B262" s="130" t="s">
        <v>457</v>
      </c>
      <c r="C262" s="105">
        <f>_xlfn.XLOOKUP(D262,ingredientes!B:B,ingredientes!A:A,"não")</f>
        <v>240</v>
      </c>
      <c r="D262" s="154" t="s">
        <v>458</v>
      </c>
      <c r="E262" s="10">
        <v>100</v>
      </c>
      <c r="H262">
        <f t="shared" si="42"/>
        <v>210</v>
      </c>
      <c r="I262">
        <f t="shared" si="40"/>
        <v>240</v>
      </c>
      <c r="J262">
        <f t="shared" si="41"/>
        <v>100</v>
      </c>
      <c r="K262">
        <f t="shared" si="43"/>
        <v>450</v>
      </c>
      <c r="M262">
        <v>210</v>
      </c>
      <c r="N262">
        <v>240</v>
      </c>
      <c r="O262">
        <v>100</v>
      </c>
      <c r="Q262" t="b">
        <f t="shared" si="35"/>
        <v>1</v>
      </c>
      <c r="R262" t="b">
        <f t="shared" si="36"/>
        <v>1</v>
      </c>
      <c r="S262" t="b">
        <f t="shared" si="37"/>
        <v>1</v>
      </c>
    </row>
    <row r="263" spans="1:19" x14ac:dyDescent="0.2">
      <c r="A263" s="106">
        <f>_xlfn.XLOOKUP(B263,pratos!B:B,pratos!A:A,"não")</f>
        <v>211</v>
      </c>
      <c r="B263" s="130" t="s">
        <v>447</v>
      </c>
      <c r="C263" s="105">
        <f>_xlfn.XLOOKUP(D263,ingredientes!B:B,ingredientes!A:A,"não")</f>
        <v>241</v>
      </c>
      <c r="D263" s="152" t="s">
        <v>461</v>
      </c>
      <c r="E263" s="10">
        <v>100</v>
      </c>
      <c r="H263">
        <f t="shared" si="42"/>
        <v>211</v>
      </c>
      <c r="I263">
        <f t="shared" si="40"/>
        <v>241</v>
      </c>
      <c r="J263">
        <f t="shared" si="41"/>
        <v>100</v>
      </c>
      <c r="K263">
        <f t="shared" si="43"/>
        <v>452</v>
      </c>
      <c r="M263">
        <v>211</v>
      </c>
      <c r="N263">
        <v>241</v>
      </c>
      <c r="O263">
        <v>100</v>
      </c>
      <c r="Q263" t="b">
        <f t="shared" si="35"/>
        <v>1</v>
      </c>
      <c r="R263" t="b">
        <f t="shared" si="36"/>
        <v>1</v>
      </c>
      <c r="S263" t="b">
        <f t="shared" si="37"/>
        <v>1</v>
      </c>
    </row>
    <row r="264" spans="1:19" x14ac:dyDescent="0.2">
      <c r="A264" s="106">
        <f>_xlfn.XLOOKUP(B264,pratos!B:B,pratos!A:A,"não")</f>
        <v>212</v>
      </c>
      <c r="B264" s="109" t="s">
        <v>587</v>
      </c>
      <c r="C264" s="105">
        <f>_xlfn.XLOOKUP(D264,ingredientes!B:B,ingredientes!A:A,"não")</f>
        <v>155</v>
      </c>
      <c r="D264" s="167" t="s">
        <v>588</v>
      </c>
      <c r="E264" s="17">
        <v>4</v>
      </c>
      <c r="H264">
        <f t="shared" si="42"/>
        <v>212</v>
      </c>
      <c r="I264">
        <f t="shared" si="40"/>
        <v>155</v>
      </c>
      <c r="J264">
        <f t="shared" si="41"/>
        <v>4</v>
      </c>
      <c r="K264">
        <f t="shared" si="43"/>
        <v>367</v>
      </c>
      <c r="M264">
        <v>212</v>
      </c>
      <c r="N264">
        <v>155</v>
      </c>
      <c r="O264">
        <v>4</v>
      </c>
      <c r="Q264" t="b">
        <f t="shared" si="35"/>
        <v>1</v>
      </c>
      <c r="R264" t="b">
        <f t="shared" si="36"/>
        <v>1</v>
      </c>
      <c r="S264" t="b">
        <f t="shared" si="37"/>
        <v>1</v>
      </c>
    </row>
    <row r="265" spans="1:19" x14ac:dyDescent="0.2">
      <c r="A265" s="106">
        <f>_xlfn.XLOOKUP(B265,pratos!B:B,pratos!A:A,"não")</f>
        <v>213</v>
      </c>
      <c r="B265" s="116" t="s">
        <v>581</v>
      </c>
      <c r="C265" s="105">
        <f>_xlfn.XLOOKUP(D265,ingredientes!B:B,ingredientes!A:A,"não")</f>
        <v>155</v>
      </c>
      <c r="D265" s="166" t="s">
        <v>581</v>
      </c>
      <c r="E265" s="17">
        <v>4</v>
      </c>
      <c r="H265">
        <f t="shared" si="42"/>
        <v>213</v>
      </c>
      <c r="I265">
        <f t="shared" si="40"/>
        <v>155</v>
      </c>
      <c r="J265">
        <f t="shared" si="41"/>
        <v>4</v>
      </c>
      <c r="K265">
        <f t="shared" si="43"/>
        <v>368</v>
      </c>
      <c r="M265">
        <v>213</v>
      </c>
      <c r="N265">
        <v>155</v>
      </c>
      <c r="O265">
        <v>4</v>
      </c>
      <c r="Q265" t="b">
        <f t="shared" si="35"/>
        <v>1</v>
      </c>
      <c r="R265" t="b">
        <f t="shared" si="36"/>
        <v>1</v>
      </c>
      <c r="S265" t="b">
        <f t="shared" si="37"/>
        <v>1</v>
      </c>
    </row>
    <row r="266" spans="1:19" x14ac:dyDescent="0.2">
      <c r="A266" s="106">
        <f>_xlfn.XLOOKUP(B266,pratos!B:B,pratos!A:A,"não")</f>
        <v>214</v>
      </c>
      <c r="B266" s="108" t="s">
        <v>213</v>
      </c>
      <c r="C266" s="105">
        <f>_xlfn.XLOOKUP(D266,ingredientes!B:B,ingredientes!A:A,"não")</f>
        <v>157</v>
      </c>
      <c r="D266" s="141" t="s">
        <v>213</v>
      </c>
      <c r="E266" s="17">
        <v>4</v>
      </c>
      <c r="H266">
        <f t="shared" si="42"/>
        <v>214</v>
      </c>
      <c r="I266">
        <f t="shared" si="40"/>
        <v>157</v>
      </c>
      <c r="J266">
        <f t="shared" si="41"/>
        <v>4</v>
      </c>
      <c r="K266">
        <f t="shared" si="43"/>
        <v>371</v>
      </c>
      <c r="M266">
        <v>214</v>
      </c>
      <c r="N266">
        <v>157</v>
      </c>
      <c r="O266">
        <v>4</v>
      </c>
      <c r="Q266" t="b">
        <f t="shared" si="35"/>
        <v>1</v>
      </c>
      <c r="R266" t="b">
        <f t="shared" si="36"/>
        <v>1</v>
      </c>
      <c r="S266" t="b">
        <f t="shared" si="37"/>
        <v>1</v>
      </c>
    </row>
    <row r="267" spans="1:19" x14ac:dyDescent="0.2">
      <c r="A267" s="106">
        <f>_xlfn.XLOOKUP(B267,pratos!B:B,pratos!A:A,"não")</f>
        <v>215</v>
      </c>
      <c r="B267" s="111" t="s">
        <v>358</v>
      </c>
      <c r="C267" s="105">
        <f>_xlfn.XLOOKUP(D267,ingredientes!B:B,ingredientes!A:A,"não")</f>
        <v>158</v>
      </c>
      <c r="D267" s="141" t="s">
        <v>358</v>
      </c>
      <c r="E267" s="17">
        <v>4</v>
      </c>
      <c r="H267">
        <f t="shared" si="42"/>
        <v>215</v>
      </c>
      <c r="I267">
        <f t="shared" si="40"/>
        <v>158</v>
      </c>
      <c r="J267">
        <f t="shared" si="41"/>
        <v>4</v>
      </c>
      <c r="K267">
        <f t="shared" si="43"/>
        <v>373</v>
      </c>
      <c r="M267">
        <v>215</v>
      </c>
      <c r="N267">
        <v>158</v>
      </c>
      <c r="O267">
        <v>4</v>
      </c>
      <c r="Q267" t="b">
        <f t="shared" si="35"/>
        <v>1</v>
      </c>
      <c r="R267" t="b">
        <f t="shared" si="36"/>
        <v>1</v>
      </c>
      <c r="S267" t="b">
        <f t="shared" si="37"/>
        <v>1</v>
      </c>
    </row>
    <row r="268" spans="1:19" x14ac:dyDescent="0.2">
      <c r="A268" s="106">
        <f>_xlfn.XLOOKUP(B268,pratos!B:B,pratos!A:A,"não")</f>
        <v>216</v>
      </c>
      <c r="B268" s="112" t="s">
        <v>67</v>
      </c>
      <c r="C268" s="105">
        <f>_xlfn.XLOOKUP(D268,ingredientes!B:B,ingredientes!A:A,"não")</f>
        <v>159</v>
      </c>
      <c r="D268" s="160" t="s">
        <v>67</v>
      </c>
      <c r="E268" s="17">
        <v>4</v>
      </c>
      <c r="H268">
        <f t="shared" si="42"/>
        <v>216</v>
      </c>
      <c r="I268">
        <f t="shared" si="40"/>
        <v>159</v>
      </c>
      <c r="J268">
        <f t="shared" si="41"/>
        <v>4</v>
      </c>
      <c r="K268">
        <f t="shared" si="43"/>
        <v>375</v>
      </c>
      <c r="M268">
        <v>216</v>
      </c>
      <c r="N268">
        <v>159</v>
      </c>
      <c r="O268">
        <v>4</v>
      </c>
      <c r="Q268" t="b">
        <f t="shared" si="35"/>
        <v>1</v>
      </c>
      <c r="R268" t="b">
        <f t="shared" si="36"/>
        <v>1</v>
      </c>
      <c r="S268" t="b">
        <f t="shared" si="37"/>
        <v>1</v>
      </c>
    </row>
    <row r="269" spans="1:19" x14ac:dyDescent="0.2">
      <c r="A269" s="106">
        <f>_xlfn.XLOOKUP(B269,pratos!B:B,pratos!A:A,"não")</f>
        <v>217</v>
      </c>
      <c r="B269" s="124" t="s">
        <v>377</v>
      </c>
      <c r="C269" s="105">
        <f>_xlfn.XLOOKUP(D269,ingredientes!B:B,ingredientes!A:A,"não")</f>
        <v>160</v>
      </c>
      <c r="D269" s="157" t="s">
        <v>377</v>
      </c>
      <c r="E269" s="17">
        <v>4</v>
      </c>
      <c r="H269">
        <f t="shared" si="42"/>
        <v>217</v>
      </c>
      <c r="I269">
        <f t="shared" si="40"/>
        <v>160</v>
      </c>
      <c r="J269">
        <f t="shared" si="41"/>
        <v>4</v>
      </c>
      <c r="K269">
        <f t="shared" si="43"/>
        <v>377</v>
      </c>
      <c r="M269">
        <v>217</v>
      </c>
      <c r="N269">
        <v>160</v>
      </c>
      <c r="O269">
        <v>4</v>
      </c>
      <c r="Q269" t="b">
        <f t="shared" si="35"/>
        <v>1</v>
      </c>
      <c r="R269" t="b">
        <f t="shared" si="36"/>
        <v>1</v>
      </c>
      <c r="S269" t="b">
        <f t="shared" si="37"/>
        <v>1</v>
      </c>
    </row>
    <row r="270" spans="1:19" x14ac:dyDescent="0.2">
      <c r="A270" s="106">
        <f>_xlfn.XLOOKUP(B270,pratos!B:B,pratos!A:A,"não")</f>
        <v>218</v>
      </c>
      <c r="B270" s="116" t="s">
        <v>567</v>
      </c>
      <c r="C270" s="105">
        <f>_xlfn.XLOOKUP(D270,ingredientes!B:B,ingredientes!A:A,"não")</f>
        <v>164</v>
      </c>
      <c r="D270" s="138" t="s">
        <v>568</v>
      </c>
      <c r="E270" s="10">
        <v>80</v>
      </c>
      <c r="H270">
        <f t="shared" si="42"/>
        <v>218</v>
      </c>
      <c r="I270">
        <f t="shared" si="40"/>
        <v>164</v>
      </c>
      <c r="J270">
        <f t="shared" si="41"/>
        <v>80</v>
      </c>
      <c r="K270">
        <f t="shared" si="43"/>
        <v>382</v>
      </c>
      <c r="M270">
        <v>218</v>
      </c>
      <c r="N270">
        <v>164</v>
      </c>
      <c r="O270">
        <v>80</v>
      </c>
      <c r="Q270" t="b">
        <f t="shared" si="35"/>
        <v>1</v>
      </c>
      <c r="R270" t="b">
        <f t="shared" si="36"/>
        <v>1</v>
      </c>
      <c r="S270" t="b">
        <f t="shared" si="37"/>
        <v>1</v>
      </c>
    </row>
    <row r="271" spans="1:19" x14ac:dyDescent="0.2">
      <c r="A271" s="106">
        <f>_xlfn.XLOOKUP(B271,pratos!B:B,pratos!A:A,"não")</f>
        <v>219</v>
      </c>
      <c r="B271" s="52" t="s">
        <v>230</v>
      </c>
      <c r="C271" s="105">
        <f>_xlfn.XLOOKUP(D271,ingredientes!B:B,ingredientes!A:A,"não")</f>
        <v>32</v>
      </c>
      <c r="D271" s="138" t="s">
        <v>483</v>
      </c>
      <c r="E271" s="10">
        <v>8</v>
      </c>
      <c r="H271">
        <f t="shared" si="42"/>
        <v>219</v>
      </c>
      <c r="I271">
        <f t="shared" si="40"/>
        <v>32</v>
      </c>
      <c r="J271">
        <f t="shared" si="41"/>
        <v>8</v>
      </c>
      <c r="K271">
        <f t="shared" si="43"/>
        <v>251</v>
      </c>
      <c r="M271">
        <v>219</v>
      </c>
      <c r="N271">
        <v>32</v>
      </c>
      <c r="O271">
        <v>8</v>
      </c>
      <c r="Q271" t="b">
        <f t="shared" ref="Q271:Q334" si="44">EXACT(H271,M271)</f>
        <v>1</v>
      </c>
      <c r="R271" t="b">
        <f t="shared" ref="R271:R334" si="45">EXACT(I271,N271)</f>
        <v>1</v>
      </c>
      <c r="S271" t="b">
        <f t="shared" ref="S271:S334" si="46">EXACT(J271,O271)</f>
        <v>1</v>
      </c>
    </row>
    <row r="272" spans="1:19" x14ac:dyDescent="0.2">
      <c r="A272" s="106">
        <f>_xlfn.XLOOKUP(B272,pratos!B:B,pratos!A:A,"não")</f>
        <v>219</v>
      </c>
      <c r="B272" s="52" t="s">
        <v>230</v>
      </c>
      <c r="C272" s="105">
        <f>_xlfn.XLOOKUP(D272,ingredientes!B:B,ingredientes!A:A,"não")</f>
        <v>161</v>
      </c>
      <c r="D272" s="138" t="s">
        <v>230</v>
      </c>
      <c r="E272" s="10">
        <v>80</v>
      </c>
      <c r="H272">
        <f t="shared" si="42"/>
        <v>219</v>
      </c>
      <c r="I272">
        <f t="shared" si="40"/>
        <v>161</v>
      </c>
      <c r="J272">
        <f t="shared" si="41"/>
        <v>80</v>
      </c>
      <c r="K272">
        <f t="shared" si="43"/>
        <v>380</v>
      </c>
      <c r="M272">
        <v>219</v>
      </c>
      <c r="N272">
        <v>161</v>
      </c>
      <c r="O272">
        <v>80</v>
      </c>
      <c r="Q272" t="b">
        <f t="shared" si="44"/>
        <v>1</v>
      </c>
      <c r="R272" t="b">
        <f t="shared" si="45"/>
        <v>1</v>
      </c>
      <c r="S272" t="b">
        <f t="shared" si="46"/>
        <v>1</v>
      </c>
    </row>
    <row r="273" spans="1:19" x14ac:dyDescent="0.2">
      <c r="A273" s="106">
        <f>_xlfn.XLOOKUP(B273,pratos!B:B,pratos!A:A,"não")</f>
        <v>220</v>
      </c>
      <c r="B273" s="52" t="s">
        <v>352</v>
      </c>
      <c r="C273" s="105">
        <f>_xlfn.XLOOKUP(D273,ingredientes!B:B,ingredientes!A:A,"não")</f>
        <v>162</v>
      </c>
      <c r="D273" s="138" t="s">
        <v>352</v>
      </c>
      <c r="E273" s="17">
        <v>80</v>
      </c>
      <c r="H273">
        <f t="shared" si="42"/>
        <v>220</v>
      </c>
      <c r="I273">
        <f t="shared" si="40"/>
        <v>162</v>
      </c>
      <c r="J273">
        <f t="shared" si="41"/>
        <v>80</v>
      </c>
      <c r="K273">
        <f t="shared" si="43"/>
        <v>382</v>
      </c>
      <c r="M273">
        <v>220</v>
      </c>
      <c r="N273">
        <v>162</v>
      </c>
      <c r="O273">
        <v>80</v>
      </c>
      <c r="Q273" t="b">
        <f t="shared" si="44"/>
        <v>1</v>
      </c>
      <c r="R273" t="b">
        <f t="shared" si="45"/>
        <v>1</v>
      </c>
      <c r="S273" t="b">
        <f t="shared" si="46"/>
        <v>1</v>
      </c>
    </row>
    <row r="274" spans="1:19" x14ac:dyDescent="0.2">
      <c r="A274" s="106">
        <f>_xlfn.XLOOKUP(B274,pratos!B:B,pratos!A:A,"não")</f>
        <v>221</v>
      </c>
      <c r="B274" s="52" t="s">
        <v>316</v>
      </c>
      <c r="C274" s="105">
        <f>_xlfn.XLOOKUP(D274,ingredientes!B:B,ingredientes!A:A,"não")</f>
        <v>163</v>
      </c>
      <c r="D274" s="138" t="s">
        <v>316</v>
      </c>
      <c r="E274" s="10">
        <v>80</v>
      </c>
      <c r="H274">
        <f t="shared" si="42"/>
        <v>221</v>
      </c>
      <c r="I274">
        <f t="shared" si="40"/>
        <v>163</v>
      </c>
      <c r="J274">
        <f t="shared" si="41"/>
        <v>80</v>
      </c>
      <c r="K274">
        <f t="shared" si="43"/>
        <v>384</v>
      </c>
      <c r="M274">
        <v>221</v>
      </c>
      <c r="N274">
        <v>163</v>
      </c>
      <c r="O274">
        <v>80</v>
      </c>
      <c r="Q274" t="b">
        <f t="shared" si="44"/>
        <v>1</v>
      </c>
      <c r="R274" t="b">
        <f t="shared" si="45"/>
        <v>1</v>
      </c>
      <c r="S274" t="b">
        <f t="shared" si="46"/>
        <v>1</v>
      </c>
    </row>
    <row r="275" spans="1:19" x14ac:dyDescent="0.2">
      <c r="A275" s="106">
        <f>_xlfn.XLOOKUP(B275,pratos!B:B,pratos!A:A,"não")</f>
        <v>222</v>
      </c>
      <c r="B275" s="116" t="s">
        <v>535</v>
      </c>
      <c r="C275" s="105">
        <f>_xlfn.XLOOKUP(D275,ingredientes!B:B,ingredientes!A:A,"não")</f>
        <v>165</v>
      </c>
      <c r="D275" s="155" t="s">
        <v>196</v>
      </c>
      <c r="E275" s="88">
        <v>80</v>
      </c>
      <c r="H275">
        <f t="shared" si="42"/>
        <v>222</v>
      </c>
      <c r="I275">
        <f t="shared" si="40"/>
        <v>165</v>
      </c>
      <c r="J275">
        <f t="shared" si="41"/>
        <v>80</v>
      </c>
      <c r="K275">
        <f t="shared" si="43"/>
        <v>387</v>
      </c>
      <c r="M275">
        <v>222</v>
      </c>
      <c r="N275">
        <v>165</v>
      </c>
      <c r="O275">
        <v>80</v>
      </c>
      <c r="Q275" t="b">
        <f t="shared" si="44"/>
        <v>1</v>
      </c>
      <c r="R275" t="b">
        <f t="shared" si="45"/>
        <v>1</v>
      </c>
      <c r="S275" t="b">
        <f t="shared" si="46"/>
        <v>1</v>
      </c>
    </row>
    <row r="276" spans="1:19" x14ac:dyDescent="0.2">
      <c r="A276" s="106">
        <f>_xlfn.XLOOKUP(B276,pratos!B:B,pratos!A:A,"não")</f>
        <v>223</v>
      </c>
      <c r="B276" s="111" t="s">
        <v>195</v>
      </c>
      <c r="C276" s="105">
        <f>_xlfn.XLOOKUP(D276,ingredientes!B:B,ingredientes!A:A,"não")</f>
        <v>165</v>
      </c>
      <c r="D276" s="145" t="s">
        <v>196</v>
      </c>
      <c r="E276" s="19">
        <v>80</v>
      </c>
      <c r="H276">
        <f t="shared" si="42"/>
        <v>223</v>
      </c>
      <c r="I276">
        <f t="shared" si="40"/>
        <v>165</v>
      </c>
      <c r="J276">
        <f t="shared" si="41"/>
        <v>80</v>
      </c>
      <c r="K276">
        <f t="shared" si="43"/>
        <v>388</v>
      </c>
      <c r="M276">
        <v>223</v>
      </c>
      <c r="N276">
        <v>165</v>
      </c>
      <c r="O276">
        <v>80</v>
      </c>
      <c r="Q276" t="b">
        <f t="shared" si="44"/>
        <v>1</v>
      </c>
      <c r="R276" t="b">
        <f t="shared" si="45"/>
        <v>1</v>
      </c>
      <c r="S276" t="b">
        <f t="shared" si="46"/>
        <v>1</v>
      </c>
    </row>
    <row r="277" spans="1:19" x14ac:dyDescent="0.2">
      <c r="A277" s="106">
        <f>_xlfn.XLOOKUP(B277,pratos!B:B,pratos!A:A,"não")</f>
        <v>225</v>
      </c>
      <c r="B277" s="111" t="s">
        <v>179</v>
      </c>
      <c r="C277" s="105">
        <f>_xlfn.XLOOKUP(D277,ingredientes!B:B,ingredientes!A:A,"não")</f>
        <v>166</v>
      </c>
      <c r="D277" s="148" t="s">
        <v>180</v>
      </c>
      <c r="E277" s="19">
        <v>180</v>
      </c>
      <c r="H277">
        <f t="shared" si="42"/>
        <v>225</v>
      </c>
      <c r="I277">
        <f t="shared" si="40"/>
        <v>166</v>
      </c>
      <c r="J277">
        <f t="shared" si="41"/>
        <v>180</v>
      </c>
      <c r="K277">
        <f t="shared" si="43"/>
        <v>391</v>
      </c>
      <c r="M277">
        <v>225</v>
      </c>
      <c r="N277">
        <v>166</v>
      </c>
      <c r="O277">
        <v>180</v>
      </c>
      <c r="Q277" t="b">
        <f t="shared" si="44"/>
        <v>1</v>
      </c>
      <c r="R277" t="b">
        <f t="shared" si="45"/>
        <v>1</v>
      </c>
      <c r="S277" t="b">
        <f t="shared" si="46"/>
        <v>1</v>
      </c>
    </row>
    <row r="278" spans="1:19" x14ac:dyDescent="0.2">
      <c r="A278" s="106">
        <f>_xlfn.XLOOKUP(B278,pratos!B:B,pratos!A:A,"não")</f>
        <v>226</v>
      </c>
      <c r="B278" s="109" t="s">
        <v>403</v>
      </c>
      <c r="C278" s="105">
        <f>_xlfn.XLOOKUP(D278,ingredientes!B:B,ingredientes!A:A,"não")</f>
        <v>74</v>
      </c>
      <c r="D278" s="171" t="s">
        <v>15</v>
      </c>
      <c r="E278" s="10">
        <v>150</v>
      </c>
      <c r="H278">
        <f t="shared" si="42"/>
        <v>226</v>
      </c>
      <c r="I278">
        <f t="shared" si="40"/>
        <v>74</v>
      </c>
      <c r="J278">
        <f t="shared" si="41"/>
        <v>150</v>
      </c>
      <c r="K278">
        <f t="shared" si="43"/>
        <v>300</v>
      </c>
      <c r="M278">
        <v>226</v>
      </c>
      <c r="N278">
        <v>74</v>
      </c>
      <c r="O278">
        <v>150</v>
      </c>
      <c r="Q278" t="b">
        <f t="shared" si="44"/>
        <v>1</v>
      </c>
      <c r="R278" t="b">
        <f t="shared" si="45"/>
        <v>1</v>
      </c>
      <c r="S278" t="b">
        <f t="shared" si="46"/>
        <v>1</v>
      </c>
    </row>
    <row r="279" spans="1:19" x14ac:dyDescent="0.2">
      <c r="A279" s="106">
        <f>_xlfn.XLOOKUP(B279,pratos!B:B,pratos!A:A,"não")</f>
        <v>228</v>
      </c>
      <c r="B279" s="111" t="s">
        <v>356</v>
      </c>
      <c r="C279" s="105">
        <f>_xlfn.XLOOKUP(D279,ingredientes!B:B,ingredientes!A:A,"não")</f>
        <v>169</v>
      </c>
      <c r="D279" t="s">
        <v>666</v>
      </c>
      <c r="E279" s="19">
        <v>100</v>
      </c>
      <c r="H279">
        <f t="shared" si="42"/>
        <v>228</v>
      </c>
      <c r="I279">
        <f t="shared" si="40"/>
        <v>169</v>
      </c>
      <c r="J279">
        <f t="shared" si="41"/>
        <v>100</v>
      </c>
      <c r="K279">
        <f t="shared" si="43"/>
        <v>397</v>
      </c>
      <c r="M279">
        <v>228</v>
      </c>
      <c r="N279">
        <v>169</v>
      </c>
      <c r="O279">
        <v>100</v>
      </c>
      <c r="Q279" t="b">
        <f t="shared" si="44"/>
        <v>1</v>
      </c>
      <c r="R279" t="b">
        <f t="shared" si="45"/>
        <v>1</v>
      </c>
      <c r="S279" t="b">
        <f t="shared" si="46"/>
        <v>1</v>
      </c>
    </row>
    <row r="280" spans="1:19" x14ac:dyDescent="0.2">
      <c r="A280" s="106">
        <f>_xlfn.XLOOKUP(B280,pratos!B:B,pratos!A:A,"não")</f>
        <v>229</v>
      </c>
      <c r="B280" s="111" t="s">
        <v>363</v>
      </c>
      <c r="C280" s="105">
        <f>_xlfn.XLOOKUP(D280,ingredientes!B:B,ingredientes!A:A,"não")</f>
        <v>52</v>
      </c>
      <c r="D280" t="s">
        <v>614</v>
      </c>
      <c r="E280" s="19">
        <v>50</v>
      </c>
      <c r="H280">
        <f t="shared" si="42"/>
        <v>229</v>
      </c>
      <c r="I280">
        <f t="shared" si="40"/>
        <v>52</v>
      </c>
      <c r="J280">
        <f t="shared" si="41"/>
        <v>50</v>
      </c>
      <c r="K280">
        <f t="shared" si="43"/>
        <v>281</v>
      </c>
      <c r="M280">
        <v>229</v>
      </c>
      <c r="N280">
        <v>52</v>
      </c>
      <c r="O280">
        <v>50</v>
      </c>
      <c r="Q280" t="b">
        <f t="shared" si="44"/>
        <v>1</v>
      </c>
      <c r="R280" t="b">
        <f t="shared" si="45"/>
        <v>1</v>
      </c>
      <c r="S280" t="b">
        <f t="shared" si="46"/>
        <v>1</v>
      </c>
    </row>
    <row r="281" spans="1:19" x14ac:dyDescent="0.2">
      <c r="A281" s="106">
        <f>_xlfn.XLOOKUP(B281,pratos!B:B,pratos!A:A,"não")</f>
        <v>229</v>
      </c>
      <c r="B281" s="111" t="s">
        <v>363</v>
      </c>
      <c r="C281" s="105">
        <f>_xlfn.XLOOKUP(D281,ingredientes!B:B,ingredientes!A:A,"não")</f>
        <v>169</v>
      </c>
      <c r="D281" t="s">
        <v>666</v>
      </c>
      <c r="E281" s="19">
        <v>50</v>
      </c>
      <c r="H281">
        <f t="shared" si="42"/>
        <v>229</v>
      </c>
      <c r="I281">
        <f t="shared" si="40"/>
        <v>169</v>
      </c>
      <c r="J281">
        <f t="shared" si="41"/>
        <v>50</v>
      </c>
      <c r="K281">
        <f t="shared" si="43"/>
        <v>398</v>
      </c>
      <c r="M281">
        <v>229</v>
      </c>
      <c r="N281">
        <v>169</v>
      </c>
      <c r="O281">
        <v>50</v>
      </c>
      <c r="Q281" t="b">
        <f t="shared" si="44"/>
        <v>1</v>
      </c>
      <c r="R281" t="b">
        <f t="shared" si="45"/>
        <v>1</v>
      </c>
      <c r="S281" t="b">
        <f t="shared" si="46"/>
        <v>1</v>
      </c>
    </row>
    <row r="282" spans="1:19" x14ac:dyDescent="0.2">
      <c r="A282" s="106">
        <f>_xlfn.XLOOKUP(B282,pratos!B:B,pratos!A:A,"não")</f>
        <v>230</v>
      </c>
      <c r="B282" s="127" t="s">
        <v>389</v>
      </c>
      <c r="C282" s="105">
        <f>_xlfn.XLOOKUP(D282,ingredientes!B:B,ingredientes!A:A,"não")</f>
        <v>169</v>
      </c>
      <c r="D282" t="s">
        <v>666</v>
      </c>
      <c r="E282" s="65">
        <v>100</v>
      </c>
      <c r="H282">
        <f t="shared" si="42"/>
        <v>230</v>
      </c>
      <c r="I282">
        <f t="shared" si="40"/>
        <v>169</v>
      </c>
      <c r="J282">
        <f t="shared" si="41"/>
        <v>100</v>
      </c>
      <c r="K282">
        <f t="shared" si="43"/>
        <v>399</v>
      </c>
      <c r="M282">
        <v>230</v>
      </c>
      <c r="N282">
        <v>169</v>
      </c>
      <c r="O282">
        <v>100</v>
      </c>
      <c r="Q282" t="b">
        <f t="shared" si="44"/>
        <v>1</v>
      </c>
      <c r="R282" t="b">
        <f t="shared" si="45"/>
        <v>1</v>
      </c>
      <c r="S282" t="b">
        <f t="shared" si="46"/>
        <v>1</v>
      </c>
    </row>
    <row r="283" spans="1:19" x14ac:dyDescent="0.2">
      <c r="A283" s="106">
        <f>_xlfn.XLOOKUP(B283,pratos!B:B,pratos!A:A,"não")</f>
        <v>231</v>
      </c>
      <c r="B283" s="52" t="s">
        <v>360</v>
      </c>
      <c r="C283" s="105">
        <f>_xlfn.XLOOKUP(D283,ingredientes!B:B,ingredientes!A:A,"não")</f>
        <v>238</v>
      </c>
      <c r="D283" t="s">
        <v>677</v>
      </c>
      <c r="E283" s="19">
        <v>120</v>
      </c>
      <c r="H283">
        <f t="shared" si="42"/>
        <v>231</v>
      </c>
      <c r="I283">
        <f t="shared" si="40"/>
        <v>238</v>
      </c>
      <c r="J283">
        <f t="shared" si="41"/>
        <v>120</v>
      </c>
      <c r="K283">
        <f t="shared" si="43"/>
        <v>469</v>
      </c>
      <c r="M283">
        <v>231</v>
      </c>
      <c r="N283">
        <v>238</v>
      </c>
      <c r="O283">
        <v>120</v>
      </c>
      <c r="Q283" t="b">
        <f t="shared" si="44"/>
        <v>1</v>
      </c>
      <c r="R283" t="b">
        <f t="shared" si="45"/>
        <v>1</v>
      </c>
      <c r="S283" t="b">
        <f t="shared" si="46"/>
        <v>1</v>
      </c>
    </row>
    <row r="284" spans="1:19" x14ac:dyDescent="0.2">
      <c r="A284" s="106">
        <f>_xlfn.XLOOKUP(B284,pratos!B:B,pratos!A:A,"não")</f>
        <v>231</v>
      </c>
      <c r="B284" s="52" t="s">
        <v>360</v>
      </c>
      <c r="C284" s="105">
        <f>_xlfn.XLOOKUP(D284,ingredientes!B:B,ingredientes!A:A,"não")</f>
        <v>311</v>
      </c>
      <c r="D284" s="154" t="s">
        <v>217</v>
      </c>
      <c r="E284" s="19">
        <v>10</v>
      </c>
      <c r="H284">
        <f t="shared" si="42"/>
        <v>231</v>
      </c>
      <c r="I284">
        <f t="shared" si="40"/>
        <v>311</v>
      </c>
      <c r="J284">
        <f t="shared" si="41"/>
        <v>10</v>
      </c>
      <c r="K284">
        <f t="shared" si="43"/>
        <v>542</v>
      </c>
      <c r="M284">
        <v>231</v>
      </c>
      <c r="N284">
        <v>311</v>
      </c>
      <c r="O284">
        <v>10</v>
      </c>
      <c r="Q284" t="b">
        <f t="shared" si="44"/>
        <v>1</v>
      </c>
      <c r="R284" t="b">
        <f t="shared" si="45"/>
        <v>1</v>
      </c>
      <c r="S284" t="b">
        <f t="shared" si="46"/>
        <v>1</v>
      </c>
    </row>
    <row r="285" spans="1:19" x14ac:dyDescent="0.2">
      <c r="A285" s="106">
        <f>_xlfn.XLOOKUP(B285,pratos!B:B,pratos!A:A,"não")</f>
        <v>232</v>
      </c>
      <c r="B285" s="52" t="s">
        <v>345</v>
      </c>
      <c r="C285" s="105">
        <f>_xlfn.XLOOKUP(D285,ingredientes!B:B,ingredientes!A:A,"não")</f>
        <v>91</v>
      </c>
      <c r="D285" s="154" t="s">
        <v>147</v>
      </c>
      <c r="E285" s="19">
        <v>10</v>
      </c>
      <c r="H285">
        <f t="shared" si="42"/>
        <v>232</v>
      </c>
      <c r="I285">
        <f t="shared" si="40"/>
        <v>91</v>
      </c>
      <c r="J285">
        <f t="shared" si="41"/>
        <v>10</v>
      </c>
      <c r="K285">
        <f t="shared" si="43"/>
        <v>323</v>
      </c>
      <c r="M285">
        <v>232</v>
      </c>
      <c r="N285">
        <v>91</v>
      </c>
      <c r="O285">
        <v>10</v>
      </c>
      <c r="Q285" t="b">
        <f t="shared" si="44"/>
        <v>1</v>
      </c>
      <c r="R285" t="b">
        <f t="shared" si="45"/>
        <v>1</v>
      </c>
      <c r="S285" t="b">
        <f t="shared" si="46"/>
        <v>1</v>
      </c>
    </row>
    <row r="286" spans="1:19" x14ac:dyDescent="0.2">
      <c r="A286" s="106">
        <f>_xlfn.XLOOKUP(B286,pratos!B:B,pratos!A:A,"não")</f>
        <v>232</v>
      </c>
      <c r="B286" s="52" t="s">
        <v>345</v>
      </c>
      <c r="C286" s="105">
        <f>_xlfn.XLOOKUP(D286,ingredientes!B:B,ingredientes!A:A,"não")</f>
        <v>238</v>
      </c>
      <c r="D286" s="30" t="s">
        <v>677</v>
      </c>
      <c r="E286" s="19">
        <v>100</v>
      </c>
      <c r="H286">
        <f t="shared" si="42"/>
        <v>232</v>
      </c>
      <c r="I286">
        <f t="shared" ref="I286:I326" si="47">C286</f>
        <v>238</v>
      </c>
      <c r="J286">
        <f t="shared" ref="J286:J326" si="48">E286</f>
        <v>100</v>
      </c>
      <c r="K286">
        <f t="shared" si="43"/>
        <v>470</v>
      </c>
      <c r="M286">
        <v>232</v>
      </c>
      <c r="N286">
        <v>238</v>
      </c>
      <c r="O286">
        <v>100</v>
      </c>
      <c r="Q286" t="b">
        <f t="shared" si="44"/>
        <v>1</v>
      </c>
      <c r="R286" t="b">
        <f t="shared" si="45"/>
        <v>1</v>
      </c>
      <c r="S286" t="b">
        <f t="shared" si="46"/>
        <v>1</v>
      </c>
    </row>
    <row r="287" spans="1:19" x14ac:dyDescent="0.2">
      <c r="A287" s="106">
        <f>_xlfn.XLOOKUP(B287,pratos!B:B,pratos!A:A,"não")</f>
        <v>232</v>
      </c>
      <c r="B287" s="52" t="s">
        <v>345</v>
      </c>
      <c r="C287" s="105">
        <f>_xlfn.XLOOKUP(D287,ingredientes!B:B,ingredientes!A:A,"não")</f>
        <v>252</v>
      </c>
      <c r="D287" s="154" t="s">
        <v>312</v>
      </c>
      <c r="E287" s="19">
        <v>10</v>
      </c>
      <c r="H287">
        <f t="shared" ref="H287:H326" si="49">A287</f>
        <v>232</v>
      </c>
      <c r="I287">
        <f t="shared" si="47"/>
        <v>252</v>
      </c>
      <c r="J287">
        <f t="shared" si="48"/>
        <v>10</v>
      </c>
      <c r="K287">
        <f t="shared" si="43"/>
        <v>484</v>
      </c>
      <c r="M287">
        <v>232</v>
      </c>
      <c r="N287">
        <v>252</v>
      </c>
      <c r="O287">
        <v>10</v>
      </c>
      <c r="Q287" t="b">
        <f t="shared" si="44"/>
        <v>1</v>
      </c>
      <c r="R287" t="b">
        <f t="shared" si="45"/>
        <v>1</v>
      </c>
      <c r="S287" t="b">
        <f t="shared" si="46"/>
        <v>1</v>
      </c>
    </row>
    <row r="288" spans="1:19" x14ac:dyDescent="0.2">
      <c r="A288" s="106">
        <f>_xlfn.XLOOKUP(B288,pratos!B:B,pratos!A:A,"não")</f>
        <v>232</v>
      </c>
      <c r="B288" s="52" t="s">
        <v>345</v>
      </c>
      <c r="C288" s="105">
        <f>_xlfn.XLOOKUP(D288,ingredientes!B:B,ingredientes!A:A,"não")</f>
        <v>311</v>
      </c>
      <c r="D288" s="154" t="s">
        <v>217</v>
      </c>
      <c r="E288" s="19">
        <v>10</v>
      </c>
      <c r="H288">
        <f t="shared" si="49"/>
        <v>232</v>
      </c>
      <c r="I288">
        <f t="shared" si="47"/>
        <v>311</v>
      </c>
      <c r="J288">
        <f t="shared" si="48"/>
        <v>10</v>
      </c>
      <c r="K288">
        <f t="shared" ref="K288:K327" si="50">H288+I288</f>
        <v>543</v>
      </c>
      <c r="M288">
        <v>232</v>
      </c>
      <c r="N288">
        <v>311</v>
      </c>
      <c r="O288">
        <v>10</v>
      </c>
      <c r="Q288" t="b">
        <f t="shared" si="44"/>
        <v>1</v>
      </c>
      <c r="R288" t="b">
        <f t="shared" si="45"/>
        <v>1</v>
      </c>
      <c r="S288" t="b">
        <f t="shared" si="46"/>
        <v>1</v>
      </c>
    </row>
    <row r="289" spans="1:19" x14ac:dyDescent="0.2">
      <c r="A289" s="106">
        <f>_xlfn.XLOOKUP(B289,pratos!B:B,pratos!A:A,"não")</f>
        <v>233</v>
      </c>
      <c r="B289" s="111" t="s">
        <v>364</v>
      </c>
      <c r="C289" s="105">
        <f>_xlfn.XLOOKUP(D289,ingredientes!B:B,ingredientes!A:A,"não")</f>
        <v>244</v>
      </c>
      <c r="D289" t="s">
        <v>680</v>
      </c>
      <c r="E289" s="10">
        <v>120</v>
      </c>
      <c r="H289">
        <f t="shared" si="49"/>
        <v>233</v>
      </c>
      <c r="I289">
        <f t="shared" si="47"/>
        <v>244</v>
      </c>
      <c r="J289">
        <f t="shared" si="48"/>
        <v>120</v>
      </c>
      <c r="K289">
        <f t="shared" si="50"/>
        <v>477</v>
      </c>
      <c r="M289">
        <v>233</v>
      </c>
      <c r="N289">
        <v>244</v>
      </c>
      <c r="O289">
        <v>120</v>
      </c>
      <c r="Q289" t="b">
        <f t="shared" si="44"/>
        <v>1</v>
      </c>
      <c r="R289" t="b">
        <f t="shared" si="45"/>
        <v>1</v>
      </c>
      <c r="S289" t="b">
        <f t="shared" si="46"/>
        <v>1</v>
      </c>
    </row>
    <row r="290" spans="1:19" x14ac:dyDescent="0.2">
      <c r="A290" s="106">
        <f>_xlfn.XLOOKUP(B290,pratos!B:B,pratos!A:A,"não")</f>
        <v>234</v>
      </c>
      <c r="B290" s="116" t="s">
        <v>555</v>
      </c>
      <c r="C290" s="105">
        <f>_xlfn.XLOOKUP(D290,ingredientes!B:B,ingredientes!A:A,"não")</f>
        <v>88</v>
      </c>
      <c r="D290" s="30" t="s">
        <v>637</v>
      </c>
      <c r="E290" s="100">
        <v>120</v>
      </c>
      <c r="H290">
        <f t="shared" si="49"/>
        <v>234</v>
      </c>
      <c r="I290">
        <f t="shared" si="47"/>
        <v>88</v>
      </c>
      <c r="J290">
        <f t="shared" si="48"/>
        <v>120</v>
      </c>
      <c r="K290">
        <f t="shared" si="50"/>
        <v>322</v>
      </c>
      <c r="M290">
        <v>234</v>
      </c>
      <c r="N290">
        <v>88</v>
      </c>
      <c r="O290">
        <v>120</v>
      </c>
      <c r="Q290" t="b">
        <f t="shared" si="44"/>
        <v>1</v>
      </c>
      <c r="R290" t="b">
        <f t="shared" si="45"/>
        <v>1</v>
      </c>
      <c r="S290" t="b">
        <f t="shared" si="46"/>
        <v>1</v>
      </c>
    </row>
    <row r="291" spans="1:19" x14ac:dyDescent="0.2">
      <c r="A291" s="106">
        <f>_xlfn.XLOOKUP(B291,pratos!B:B,pratos!A:A,"não")</f>
        <v>234</v>
      </c>
      <c r="B291" s="116" t="s">
        <v>555</v>
      </c>
      <c r="C291" s="105">
        <f>_xlfn.XLOOKUP(D291,ingredientes!B:B,ingredientes!A:A,"não")</f>
        <v>91</v>
      </c>
      <c r="D291" s="76" t="s">
        <v>147</v>
      </c>
      <c r="E291" s="87">
        <v>5</v>
      </c>
      <c r="H291">
        <f t="shared" si="49"/>
        <v>234</v>
      </c>
      <c r="I291">
        <f t="shared" si="47"/>
        <v>91</v>
      </c>
      <c r="J291">
        <f t="shared" si="48"/>
        <v>5</v>
      </c>
      <c r="K291">
        <f t="shared" si="50"/>
        <v>325</v>
      </c>
      <c r="M291">
        <v>234</v>
      </c>
      <c r="N291">
        <v>91</v>
      </c>
      <c r="O291">
        <v>5</v>
      </c>
      <c r="Q291" t="b">
        <f t="shared" si="44"/>
        <v>1</v>
      </c>
      <c r="R291" t="b">
        <f t="shared" si="45"/>
        <v>1</v>
      </c>
      <c r="S291" t="b">
        <f t="shared" si="46"/>
        <v>1</v>
      </c>
    </row>
    <row r="292" spans="1:19" x14ac:dyDescent="0.2">
      <c r="A292" s="106">
        <f>_xlfn.XLOOKUP(B292,pratos!B:B,pratos!A:A,"não")</f>
        <v>234</v>
      </c>
      <c r="B292" s="116" t="s">
        <v>555</v>
      </c>
      <c r="C292" s="105">
        <f>_xlfn.XLOOKUP(D292,ingredientes!B:B,ingredientes!A:A,"não")</f>
        <v>252</v>
      </c>
      <c r="D292" s="30" t="s">
        <v>312</v>
      </c>
      <c r="E292" s="87">
        <v>10</v>
      </c>
      <c r="H292">
        <f t="shared" si="49"/>
        <v>234</v>
      </c>
      <c r="I292">
        <f t="shared" si="47"/>
        <v>252</v>
      </c>
      <c r="J292">
        <f t="shared" si="48"/>
        <v>10</v>
      </c>
      <c r="K292">
        <f t="shared" si="50"/>
        <v>486</v>
      </c>
      <c r="M292">
        <v>234</v>
      </c>
      <c r="N292">
        <v>252</v>
      </c>
      <c r="O292">
        <v>10</v>
      </c>
      <c r="Q292" t="b">
        <f t="shared" si="44"/>
        <v>1</v>
      </c>
      <c r="R292" t="b">
        <f t="shared" si="45"/>
        <v>1</v>
      </c>
      <c r="S292" t="b">
        <f t="shared" si="46"/>
        <v>1</v>
      </c>
    </row>
    <row r="293" spans="1:19" x14ac:dyDescent="0.2">
      <c r="A293" s="106">
        <f>_xlfn.XLOOKUP(B293,pratos!B:B,pratos!A:A,"não")</f>
        <v>234</v>
      </c>
      <c r="B293" s="116" t="s">
        <v>555</v>
      </c>
      <c r="C293" s="105">
        <f>_xlfn.XLOOKUP(D293,ingredientes!B:B,ingredientes!A:A,"não")</f>
        <v>310</v>
      </c>
      <c r="D293" s="76" t="s">
        <v>150</v>
      </c>
      <c r="E293" s="10">
        <v>5</v>
      </c>
      <c r="H293">
        <f t="shared" si="49"/>
        <v>234</v>
      </c>
      <c r="I293">
        <f t="shared" si="47"/>
        <v>310</v>
      </c>
      <c r="J293">
        <f t="shared" si="48"/>
        <v>5</v>
      </c>
      <c r="K293">
        <f t="shared" si="50"/>
        <v>544</v>
      </c>
      <c r="M293">
        <v>234</v>
      </c>
      <c r="N293">
        <v>310</v>
      </c>
      <c r="O293">
        <v>5</v>
      </c>
      <c r="Q293" t="b">
        <f t="shared" si="44"/>
        <v>1</v>
      </c>
      <c r="R293" t="b">
        <f t="shared" si="45"/>
        <v>1</v>
      </c>
      <c r="S293" t="b">
        <f t="shared" si="46"/>
        <v>1</v>
      </c>
    </row>
    <row r="294" spans="1:19" x14ac:dyDescent="0.2">
      <c r="A294" s="106">
        <f>_xlfn.XLOOKUP(B294,pratos!B:B,pratos!A:A,"não")</f>
        <v>235</v>
      </c>
      <c r="B294" s="116" t="s">
        <v>565</v>
      </c>
      <c r="C294" s="105">
        <f>_xlfn.XLOOKUP(D294,ingredientes!B:B,ingredientes!A:A,"não")</f>
        <v>88</v>
      </c>
      <c r="D294" s="30" t="s">
        <v>637</v>
      </c>
      <c r="E294" s="102">
        <v>120</v>
      </c>
      <c r="H294">
        <f t="shared" si="49"/>
        <v>235</v>
      </c>
      <c r="I294">
        <f t="shared" si="47"/>
        <v>88</v>
      </c>
      <c r="J294">
        <f t="shared" si="48"/>
        <v>120</v>
      </c>
      <c r="K294">
        <f t="shared" si="50"/>
        <v>323</v>
      </c>
      <c r="M294">
        <v>235</v>
      </c>
      <c r="N294">
        <v>88</v>
      </c>
      <c r="O294">
        <v>120</v>
      </c>
      <c r="Q294" t="b">
        <f t="shared" si="44"/>
        <v>1</v>
      </c>
      <c r="R294" t="b">
        <f t="shared" si="45"/>
        <v>1</v>
      </c>
      <c r="S294" t="b">
        <f t="shared" si="46"/>
        <v>1</v>
      </c>
    </row>
    <row r="295" spans="1:19" x14ac:dyDescent="0.2">
      <c r="A295" s="106">
        <f>_xlfn.XLOOKUP(B295,pratos!B:B,pratos!A:A,"não")</f>
        <v>236</v>
      </c>
      <c r="B295" s="116" t="s">
        <v>569</v>
      </c>
      <c r="C295" s="105">
        <f>_xlfn.XLOOKUP(D295,ingredientes!B:B,ingredientes!A:A,"não")</f>
        <v>242</v>
      </c>
      <c r="D295" s="30" t="s">
        <v>276</v>
      </c>
      <c r="E295" s="17">
        <v>120</v>
      </c>
      <c r="H295">
        <f t="shared" si="49"/>
        <v>236</v>
      </c>
      <c r="I295">
        <f t="shared" si="47"/>
        <v>242</v>
      </c>
      <c r="J295">
        <f t="shared" si="48"/>
        <v>120</v>
      </c>
      <c r="K295">
        <f t="shared" si="50"/>
        <v>478</v>
      </c>
      <c r="M295">
        <v>236</v>
      </c>
      <c r="N295">
        <v>242</v>
      </c>
      <c r="O295">
        <v>120</v>
      </c>
      <c r="Q295" t="b">
        <f t="shared" si="44"/>
        <v>1</v>
      </c>
      <c r="R295" t="b">
        <f t="shared" si="45"/>
        <v>1</v>
      </c>
      <c r="S295" t="b">
        <f t="shared" si="46"/>
        <v>1</v>
      </c>
    </row>
    <row r="296" spans="1:19" x14ac:dyDescent="0.2">
      <c r="A296" s="106">
        <f>_xlfn.XLOOKUP(B296,pratos!B:B,pratos!A:A,"não")</f>
        <v>237</v>
      </c>
      <c r="B296" s="116" t="s">
        <v>571</v>
      </c>
      <c r="C296" s="105">
        <f>_xlfn.XLOOKUP(D296,ingredientes!B:B,ingredientes!A:A,"não")</f>
        <v>91</v>
      </c>
      <c r="D296" s="76" t="s">
        <v>147</v>
      </c>
      <c r="E296" s="87">
        <v>5</v>
      </c>
      <c r="H296">
        <f t="shared" si="49"/>
        <v>237</v>
      </c>
      <c r="I296">
        <f t="shared" si="47"/>
        <v>91</v>
      </c>
      <c r="J296">
        <f t="shared" si="48"/>
        <v>5</v>
      </c>
      <c r="K296">
        <f t="shared" si="50"/>
        <v>328</v>
      </c>
      <c r="M296">
        <v>237</v>
      </c>
      <c r="N296">
        <v>91</v>
      </c>
      <c r="O296">
        <v>5</v>
      </c>
      <c r="Q296" t="b">
        <f t="shared" si="44"/>
        <v>1</v>
      </c>
      <c r="R296" t="b">
        <f t="shared" si="45"/>
        <v>1</v>
      </c>
      <c r="S296" t="b">
        <f t="shared" si="46"/>
        <v>1</v>
      </c>
    </row>
    <row r="297" spans="1:19" x14ac:dyDescent="0.2">
      <c r="A297" s="106">
        <f>_xlfn.XLOOKUP(B297,pratos!B:B,pratos!A:A,"não")</f>
        <v>237</v>
      </c>
      <c r="B297" s="116" t="s">
        <v>571</v>
      </c>
      <c r="C297" s="105">
        <f>_xlfn.XLOOKUP(D297,ingredientes!B:B,ingredientes!A:A,"não")</f>
        <v>238</v>
      </c>
      <c r="D297" s="30" t="s">
        <v>677</v>
      </c>
      <c r="E297" s="93">
        <v>100</v>
      </c>
      <c r="H297">
        <f t="shared" si="49"/>
        <v>237</v>
      </c>
      <c r="I297">
        <f t="shared" si="47"/>
        <v>238</v>
      </c>
      <c r="J297">
        <f t="shared" si="48"/>
        <v>100</v>
      </c>
      <c r="K297">
        <f t="shared" si="50"/>
        <v>475</v>
      </c>
      <c r="M297">
        <v>237</v>
      </c>
      <c r="N297">
        <v>238</v>
      </c>
      <c r="O297">
        <v>100</v>
      </c>
      <c r="Q297" t="b">
        <f t="shared" si="44"/>
        <v>1</v>
      </c>
      <c r="R297" t="b">
        <f t="shared" si="45"/>
        <v>1</v>
      </c>
      <c r="S297" t="b">
        <f t="shared" si="46"/>
        <v>1</v>
      </c>
    </row>
    <row r="298" spans="1:19" x14ac:dyDescent="0.2">
      <c r="A298" s="106">
        <f>_xlfn.XLOOKUP(B298,pratos!B:B,pratos!A:A,"não")</f>
        <v>237</v>
      </c>
      <c r="B298" s="116" t="s">
        <v>571</v>
      </c>
      <c r="C298" s="105">
        <f>_xlfn.XLOOKUP(D298,ingredientes!B:B,ingredientes!A:A,"não")</f>
        <v>252</v>
      </c>
      <c r="D298" s="76" t="s">
        <v>312</v>
      </c>
      <c r="E298" s="87">
        <v>5</v>
      </c>
      <c r="H298">
        <f t="shared" si="49"/>
        <v>237</v>
      </c>
      <c r="I298">
        <f t="shared" si="47"/>
        <v>252</v>
      </c>
      <c r="J298">
        <f t="shared" si="48"/>
        <v>5</v>
      </c>
      <c r="K298">
        <f t="shared" si="50"/>
        <v>489</v>
      </c>
      <c r="M298">
        <v>237</v>
      </c>
      <c r="N298">
        <v>252</v>
      </c>
      <c r="O298">
        <v>5</v>
      </c>
      <c r="Q298" t="b">
        <f t="shared" si="44"/>
        <v>1</v>
      </c>
      <c r="R298" t="b">
        <f t="shared" si="45"/>
        <v>1</v>
      </c>
      <c r="S298" t="b">
        <f t="shared" si="46"/>
        <v>1</v>
      </c>
    </row>
    <row r="299" spans="1:19" x14ac:dyDescent="0.2">
      <c r="A299" s="106">
        <f>_xlfn.XLOOKUP(B299,pratos!B:B,pratos!A:A,"não")</f>
        <v>237</v>
      </c>
      <c r="B299" s="116" t="s">
        <v>571</v>
      </c>
      <c r="C299" s="105">
        <f>_xlfn.XLOOKUP(D299,ingredientes!B:B,ingredientes!A:A,"não")</f>
        <v>310</v>
      </c>
      <c r="D299" s="76" t="s">
        <v>150</v>
      </c>
      <c r="E299" s="10">
        <v>5</v>
      </c>
      <c r="H299">
        <f t="shared" si="49"/>
        <v>237</v>
      </c>
      <c r="I299">
        <f t="shared" si="47"/>
        <v>310</v>
      </c>
      <c r="J299">
        <f t="shared" si="48"/>
        <v>5</v>
      </c>
      <c r="K299">
        <f t="shared" si="50"/>
        <v>547</v>
      </c>
      <c r="M299">
        <v>237</v>
      </c>
      <c r="N299">
        <v>310</v>
      </c>
      <c r="O299">
        <v>5</v>
      </c>
      <c r="Q299" t="b">
        <f t="shared" si="44"/>
        <v>1</v>
      </c>
      <c r="R299" t="b">
        <f t="shared" si="45"/>
        <v>1</v>
      </c>
      <c r="S299" t="b">
        <f t="shared" si="46"/>
        <v>1</v>
      </c>
    </row>
    <row r="300" spans="1:19" x14ac:dyDescent="0.2">
      <c r="A300" s="106">
        <f>_xlfn.XLOOKUP(B300,pratos!B:B,pratos!A:A,"não")</f>
        <v>238</v>
      </c>
      <c r="B300" s="116" t="s">
        <v>560</v>
      </c>
      <c r="C300" s="105">
        <f>_xlfn.XLOOKUP(D300,ingredientes!B:B,ingredientes!A:A,"não")</f>
        <v>91</v>
      </c>
      <c r="D300" s="30" t="s">
        <v>147</v>
      </c>
      <c r="E300" s="93">
        <v>10</v>
      </c>
      <c r="H300">
        <f t="shared" si="49"/>
        <v>238</v>
      </c>
      <c r="I300">
        <f t="shared" si="47"/>
        <v>91</v>
      </c>
      <c r="J300">
        <f t="shared" si="48"/>
        <v>10</v>
      </c>
      <c r="K300">
        <f t="shared" si="50"/>
        <v>329</v>
      </c>
      <c r="M300">
        <v>238</v>
      </c>
      <c r="N300">
        <v>91</v>
      </c>
      <c r="O300">
        <v>10</v>
      </c>
      <c r="Q300" t="b">
        <f t="shared" si="44"/>
        <v>1</v>
      </c>
      <c r="R300" t="b">
        <f t="shared" si="45"/>
        <v>1</v>
      </c>
      <c r="S300" t="b">
        <f t="shared" si="46"/>
        <v>1</v>
      </c>
    </row>
    <row r="301" spans="1:19" x14ac:dyDescent="0.2">
      <c r="A301" s="106">
        <f>_xlfn.XLOOKUP(B301,pratos!B:B,pratos!A:A,"não")</f>
        <v>238</v>
      </c>
      <c r="B301" s="116" t="s">
        <v>560</v>
      </c>
      <c r="C301" s="105">
        <f>_xlfn.XLOOKUP(D301,ingredientes!B:B,ingredientes!A:A,"não")</f>
        <v>242</v>
      </c>
      <c r="D301" s="30" t="s">
        <v>276</v>
      </c>
      <c r="E301" s="17">
        <v>100</v>
      </c>
      <c r="H301">
        <f t="shared" si="49"/>
        <v>238</v>
      </c>
      <c r="I301">
        <f t="shared" si="47"/>
        <v>242</v>
      </c>
      <c r="J301">
        <f t="shared" si="48"/>
        <v>100</v>
      </c>
      <c r="K301">
        <f t="shared" si="50"/>
        <v>480</v>
      </c>
      <c r="M301">
        <v>238</v>
      </c>
      <c r="N301">
        <v>242</v>
      </c>
      <c r="O301">
        <v>100</v>
      </c>
      <c r="Q301" t="b">
        <f t="shared" si="44"/>
        <v>1</v>
      </c>
      <c r="R301" t="b">
        <f t="shared" si="45"/>
        <v>1</v>
      </c>
      <c r="S301" t="b">
        <f t="shared" si="46"/>
        <v>1</v>
      </c>
    </row>
    <row r="302" spans="1:19" x14ac:dyDescent="0.2">
      <c r="A302" s="106">
        <f>_xlfn.XLOOKUP(B302,pratos!B:B,pratos!A:A,"não")</f>
        <v>240</v>
      </c>
      <c r="B302" s="108" t="s">
        <v>236</v>
      </c>
      <c r="C302" s="105">
        <f>_xlfn.XLOOKUP(D302,ingredientes!B:B,ingredientes!A:A,"não")</f>
        <v>170</v>
      </c>
      <c r="D302" s="4" t="s">
        <v>236</v>
      </c>
      <c r="E302" s="19">
        <v>100</v>
      </c>
      <c r="H302">
        <f t="shared" si="49"/>
        <v>240</v>
      </c>
      <c r="I302">
        <f t="shared" si="47"/>
        <v>170</v>
      </c>
      <c r="J302">
        <f t="shared" si="48"/>
        <v>100</v>
      </c>
      <c r="K302">
        <f t="shared" si="50"/>
        <v>410</v>
      </c>
      <c r="M302">
        <v>240</v>
      </c>
      <c r="N302">
        <v>170</v>
      </c>
      <c r="O302">
        <v>100</v>
      </c>
      <c r="Q302" t="b">
        <f t="shared" si="44"/>
        <v>1</v>
      </c>
      <c r="R302" t="b">
        <f t="shared" si="45"/>
        <v>1</v>
      </c>
      <c r="S302" t="b">
        <f t="shared" si="46"/>
        <v>1</v>
      </c>
    </row>
    <row r="303" spans="1:19" x14ac:dyDescent="0.2">
      <c r="A303" s="106">
        <f>_xlfn.XLOOKUP(B303,pratos!B:B,pratos!A:A,"não")</f>
        <v>241</v>
      </c>
      <c r="B303" s="111" t="s">
        <v>308</v>
      </c>
      <c r="C303" s="105">
        <f>_xlfn.XLOOKUP(D303,ingredientes!B:B,ingredientes!A:A,"não")</f>
        <v>172</v>
      </c>
      <c r="D303" s="30" t="s">
        <v>669</v>
      </c>
      <c r="E303" s="17">
        <v>120</v>
      </c>
      <c r="H303">
        <f t="shared" si="49"/>
        <v>241</v>
      </c>
      <c r="I303">
        <f t="shared" si="47"/>
        <v>172</v>
      </c>
      <c r="J303">
        <f t="shared" si="48"/>
        <v>120</v>
      </c>
      <c r="K303">
        <f t="shared" si="50"/>
        <v>413</v>
      </c>
      <c r="M303">
        <v>241</v>
      </c>
      <c r="N303">
        <v>172</v>
      </c>
      <c r="O303">
        <v>120</v>
      </c>
      <c r="Q303" t="b">
        <f t="shared" si="44"/>
        <v>1</v>
      </c>
      <c r="R303" t="b">
        <f t="shared" si="45"/>
        <v>1</v>
      </c>
      <c r="S303" t="b">
        <f t="shared" si="46"/>
        <v>1</v>
      </c>
    </row>
    <row r="304" spans="1:19" x14ac:dyDescent="0.2">
      <c r="A304" s="106">
        <f>_xlfn.XLOOKUP(B304,pratos!B:B,pratos!A:A,"não")</f>
        <v>242</v>
      </c>
      <c r="B304" s="109" t="s">
        <v>361</v>
      </c>
      <c r="C304" s="105">
        <f>_xlfn.XLOOKUP(D304,ingredientes!B:B,ingredientes!A:A,"não")</f>
        <v>172</v>
      </c>
      <c r="D304" t="s">
        <v>669</v>
      </c>
      <c r="E304" s="10">
        <v>120</v>
      </c>
      <c r="H304">
        <f t="shared" si="49"/>
        <v>242</v>
      </c>
      <c r="I304">
        <f t="shared" si="47"/>
        <v>172</v>
      </c>
      <c r="J304">
        <f t="shared" si="48"/>
        <v>120</v>
      </c>
      <c r="K304">
        <f t="shared" si="50"/>
        <v>414</v>
      </c>
      <c r="M304">
        <v>242</v>
      </c>
      <c r="N304">
        <v>172</v>
      </c>
      <c r="O304">
        <v>120</v>
      </c>
      <c r="Q304" t="b">
        <f t="shared" si="44"/>
        <v>1</v>
      </c>
      <c r="R304" t="b">
        <f t="shared" si="45"/>
        <v>1</v>
      </c>
      <c r="S304" t="b">
        <f t="shared" si="46"/>
        <v>1</v>
      </c>
    </row>
    <row r="305" spans="1:19" x14ac:dyDescent="0.2">
      <c r="A305" s="106">
        <f>_xlfn.XLOOKUP(B305,pratos!B:B,pratos!A:A,"não")</f>
        <v>243</v>
      </c>
      <c r="B305" s="109" t="s">
        <v>339</v>
      </c>
      <c r="C305" s="105">
        <f>_xlfn.XLOOKUP(D305,ingredientes!B:B,ingredientes!A:A,"não")</f>
        <v>172</v>
      </c>
      <c r="D305" t="s">
        <v>669</v>
      </c>
      <c r="E305" s="10">
        <v>120</v>
      </c>
      <c r="H305">
        <f t="shared" si="49"/>
        <v>243</v>
      </c>
      <c r="I305">
        <f t="shared" si="47"/>
        <v>172</v>
      </c>
      <c r="J305">
        <f t="shared" si="48"/>
        <v>120</v>
      </c>
      <c r="K305">
        <f t="shared" si="50"/>
        <v>415</v>
      </c>
      <c r="M305">
        <v>243</v>
      </c>
      <c r="N305">
        <v>172</v>
      </c>
      <c r="O305">
        <v>120</v>
      </c>
      <c r="Q305" t="b">
        <f t="shared" si="44"/>
        <v>1</v>
      </c>
      <c r="R305" t="b">
        <f t="shared" si="45"/>
        <v>1</v>
      </c>
      <c r="S305" t="b">
        <f t="shared" si="46"/>
        <v>1</v>
      </c>
    </row>
    <row r="306" spans="1:19" x14ac:dyDescent="0.2">
      <c r="A306" s="106">
        <f>_xlfn.XLOOKUP(B306,pratos!B:B,pratos!A:A,"não")</f>
        <v>244</v>
      </c>
      <c r="B306" s="111" t="s">
        <v>303</v>
      </c>
      <c r="C306" s="105">
        <f>_xlfn.XLOOKUP(D306,ingredientes!B:B,ingredientes!A:A,"não")</f>
        <v>96</v>
      </c>
      <c r="D306" t="s">
        <v>641</v>
      </c>
      <c r="E306" s="17">
        <v>10</v>
      </c>
      <c r="H306">
        <f t="shared" si="49"/>
        <v>244</v>
      </c>
      <c r="I306">
        <f t="shared" si="47"/>
        <v>96</v>
      </c>
      <c r="J306">
        <f t="shared" si="48"/>
        <v>10</v>
      </c>
      <c r="K306">
        <f t="shared" si="50"/>
        <v>340</v>
      </c>
      <c r="M306">
        <v>244</v>
      </c>
      <c r="N306">
        <v>96</v>
      </c>
      <c r="O306">
        <v>10</v>
      </c>
      <c r="Q306" t="b">
        <f t="shared" si="44"/>
        <v>1</v>
      </c>
      <c r="R306" t="b">
        <f t="shared" si="45"/>
        <v>1</v>
      </c>
      <c r="S306" t="b">
        <f t="shared" si="46"/>
        <v>1</v>
      </c>
    </row>
    <row r="307" spans="1:19" x14ac:dyDescent="0.2">
      <c r="A307" s="106">
        <f>_xlfn.XLOOKUP(B307,pratos!B:B,pratos!A:A,"não")</f>
        <v>244</v>
      </c>
      <c r="B307" s="111" t="s">
        <v>303</v>
      </c>
      <c r="C307" s="105">
        <f>_xlfn.XLOOKUP(D307,ingredientes!B:B,ingredientes!A:A,"não")</f>
        <v>172</v>
      </c>
      <c r="D307" t="s">
        <v>669</v>
      </c>
      <c r="E307" s="17">
        <v>120</v>
      </c>
      <c r="H307">
        <f t="shared" si="49"/>
        <v>244</v>
      </c>
      <c r="I307">
        <f t="shared" si="47"/>
        <v>172</v>
      </c>
      <c r="J307">
        <f t="shared" si="48"/>
        <v>120</v>
      </c>
      <c r="K307">
        <f t="shared" si="50"/>
        <v>416</v>
      </c>
      <c r="M307">
        <v>244</v>
      </c>
      <c r="N307">
        <v>172</v>
      </c>
      <c r="O307">
        <v>120</v>
      </c>
      <c r="Q307" t="b">
        <f t="shared" si="44"/>
        <v>1</v>
      </c>
      <c r="R307" t="b">
        <f t="shared" si="45"/>
        <v>1</v>
      </c>
      <c r="S307" t="b">
        <f t="shared" si="46"/>
        <v>1</v>
      </c>
    </row>
    <row r="308" spans="1:19" x14ac:dyDescent="0.2">
      <c r="A308" s="106">
        <f>_xlfn.XLOOKUP(B308,pratos!B:B,pratos!A:A,"não")</f>
        <v>244</v>
      </c>
      <c r="B308" s="111" t="s">
        <v>303</v>
      </c>
      <c r="C308" s="105">
        <f>_xlfn.XLOOKUP(D308,ingredientes!B:B,ingredientes!A:A,"não")</f>
        <v>181</v>
      </c>
      <c r="D308" s="151" t="s">
        <v>304</v>
      </c>
      <c r="E308" s="17">
        <v>10</v>
      </c>
      <c r="H308">
        <f t="shared" si="49"/>
        <v>244</v>
      </c>
      <c r="I308">
        <f t="shared" si="47"/>
        <v>181</v>
      </c>
      <c r="J308">
        <f t="shared" si="48"/>
        <v>10</v>
      </c>
      <c r="K308">
        <f t="shared" si="50"/>
        <v>425</v>
      </c>
      <c r="M308">
        <v>244</v>
      </c>
      <c r="N308">
        <v>181</v>
      </c>
      <c r="O308">
        <v>10</v>
      </c>
      <c r="Q308" t="b">
        <f t="shared" si="44"/>
        <v>1</v>
      </c>
      <c r="R308" t="b">
        <f t="shared" si="45"/>
        <v>1</v>
      </c>
      <c r="S308" t="b">
        <f t="shared" si="46"/>
        <v>1</v>
      </c>
    </row>
    <row r="309" spans="1:19" x14ac:dyDescent="0.2">
      <c r="A309" s="106">
        <f>_xlfn.XLOOKUP(B309,pratos!B:B,pratos!A:A,"não")</f>
        <v>245</v>
      </c>
      <c r="B309" s="111" t="s">
        <v>336</v>
      </c>
      <c r="C309" s="105">
        <f>_xlfn.XLOOKUP(D309,ingredientes!B:B,ingredientes!A:A,"não")</f>
        <v>174</v>
      </c>
      <c r="D309" s="175" t="s">
        <v>137</v>
      </c>
      <c r="E309" s="5">
        <v>200</v>
      </c>
      <c r="H309">
        <f t="shared" si="49"/>
        <v>245</v>
      </c>
      <c r="I309">
        <f t="shared" si="47"/>
        <v>174</v>
      </c>
      <c r="J309">
        <f t="shared" si="48"/>
        <v>200</v>
      </c>
      <c r="K309">
        <f t="shared" si="50"/>
        <v>419</v>
      </c>
      <c r="M309">
        <v>245</v>
      </c>
      <c r="N309">
        <v>174</v>
      </c>
      <c r="O309">
        <v>200</v>
      </c>
      <c r="Q309" t="b">
        <f t="shared" si="44"/>
        <v>1</v>
      </c>
      <c r="R309" t="b">
        <f t="shared" si="45"/>
        <v>1</v>
      </c>
      <c r="S309" t="b">
        <f t="shared" si="46"/>
        <v>1</v>
      </c>
    </row>
    <row r="310" spans="1:19" x14ac:dyDescent="0.2">
      <c r="A310" s="106">
        <f>_xlfn.XLOOKUP(B310,pratos!B:B,pratos!A:A,"não")</f>
        <v>247</v>
      </c>
      <c r="B310" s="52" t="s">
        <v>370</v>
      </c>
      <c r="C310" s="105">
        <f>_xlfn.XLOOKUP(D310,ingredientes!B:B,ingredientes!A:A,"não")</f>
        <v>173</v>
      </c>
      <c r="D310" s="145" t="s">
        <v>170</v>
      </c>
      <c r="E310" s="10">
        <v>200</v>
      </c>
      <c r="H310">
        <f t="shared" si="49"/>
        <v>247</v>
      </c>
      <c r="I310">
        <f t="shared" si="47"/>
        <v>173</v>
      </c>
      <c r="J310">
        <f t="shared" si="48"/>
        <v>200</v>
      </c>
      <c r="K310">
        <f t="shared" si="50"/>
        <v>420</v>
      </c>
      <c r="M310">
        <v>247</v>
      </c>
      <c r="N310">
        <v>173</v>
      </c>
      <c r="O310">
        <v>200</v>
      </c>
      <c r="Q310" t="b">
        <f t="shared" si="44"/>
        <v>1</v>
      </c>
      <c r="R310" t="b">
        <f t="shared" si="45"/>
        <v>1</v>
      </c>
      <c r="S310" t="b">
        <f t="shared" si="46"/>
        <v>1</v>
      </c>
    </row>
    <row r="311" spans="1:19" x14ac:dyDescent="0.2">
      <c r="A311" s="106">
        <f>_xlfn.XLOOKUP(B311,pratos!B:B,pratos!A:A,"não")</f>
        <v>248</v>
      </c>
      <c r="B311" s="111" t="s">
        <v>137</v>
      </c>
      <c r="C311" s="105">
        <f>_xlfn.XLOOKUP(D311,ingredientes!B:B,ingredientes!A:A,"não")</f>
        <v>174</v>
      </c>
      <c r="D311" s="37" t="s">
        <v>137</v>
      </c>
      <c r="E311" s="5">
        <v>200</v>
      </c>
      <c r="H311">
        <f t="shared" si="49"/>
        <v>248</v>
      </c>
      <c r="I311">
        <f t="shared" si="47"/>
        <v>174</v>
      </c>
      <c r="J311">
        <f t="shared" si="48"/>
        <v>200</v>
      </c>
      <c r="K311">
        <f t="shared" si="50"/>
        <v>422</v>
      </c>
      <c r="M311">
        <v>248</v>
      </c>
      <c r="N311">
        <v>174</v>
      </c>
      <c r="O311">
        <v>200</v>
      </c>
      <c r="Q311" t="b">
        <f t="shared" si="44"/>
        <v>1</v>
      </c>
      <c r="R311" t="b">
        <f t="shared" si="45"/>
        <v>1</v>
      </c>
      <c r="S311" t="b">
        <f t="shared" si="46"/>
        <v>1</v>
      </c>
    </row>
    <row r="312" spans="1:19" x14ac:dyDescent="0.2">
      <c r="A312" s="106">
        <f>_xlfn.XLOOKUP(B312,pratos!B:B,pratos!A:A,"não")</f>
        <v>249</v>
      </c>
      <c r="B312" s="108" t="s">
        <v>222</v>
      </c>
      <c r="C312" s="105">
        <f>_xlfn.XLOOKUP(D312,ingredientes!B:B,ingredientes!A:A,"não")</f>
        <v>175</v>
      </c>
      <c r="D312" s="3" t="s">
        <v>211</v>
      </c>
      <c r="E312" s="17">
        <v>180</v>
      </c>
      <c r="H312">
        <f t="shared" si="49"/>
        <v>249</v>
      </c>
      <c r="I312">
        <f t="shared" si="47"/>
        <v>175</v>
      </c>
      <c r="J312">
        <f t="shared" si="48"/>
        <v>180</v>
      </c>
      <c r="K312">
        <f t="shared" si="50"/>
        <v>424</v>
      </c>
      <c r="M312">
        <v>249</v>
      </c>
      <c r="N312">
        <v>175</v>
      </c>
      <c r="O312">
        <v>180</v>
      </c>
      <c r="Q312" t="b">
        <f t="shared" si="44"/>
        <v>1</v>
      </c>
      <c r="R312" t="b">
        <f t="shared" si="45"/>
        <v>1</v>
      </c>
      <c r="S312" t="b">
        <f t="shared" si="46"/>
        <v>1</v>
      </c>
    </row>
    <row r="313" spans="1:19" x14ac:dyDescent="0.2">
      <c r="A313" s="106">
        <f>_xlfn.XLOOKUP(B313,pratos!B:B,pratos!A:A,"não")</f>
        <v>250</v>
      </c>
      <c r="B313" s="135" t="s">
        <v>513</v>
      </c>
      <c r="C313" s="105">
        <f>_xlfn.XLOOKUP(D313,ingredientes!B:B,ingredientes!A:A,"não")</f>
        <v>58</v>
      </c>
      <c r="D313" s="30" t="s">
        <v>618</v>
      </c>
      <c r="E313" s="65">
        <v>40</v>
      </c>
      <c r="H313">
        <f t="shared" si="49"/>
        <v>250</v>
      </c>
      <c r="I313">
        <f t="shared" si="47"/>
        <v>58</v>
      </c>
      <c r="J313">
        <f t="shared" si="48"/>
        <v>40</v>
      </c>
      <c r="K313">
        <f t="shared" si="50"/>
        <v>308</v>
      </c>
      <c r="M313">
        <v>250</v>
      </c>
      <c r="N313">
        <v>58</v>
      </c>
      <c r="O313">
        <v>40</v>
      </c>
      <c r="Q313" t="b">
        <f t="shared" si="44"/>
        <v>1</v>
      </c>
      <c r="R313" t="b">
        <f t="shared" si="45"/>
        <v>1</v>
      </c>
      <c r="S313" t="b">
        <f t="shared" si="46"/>
        <v>1</v>
      </c>
    </row>
    <row r="314" spans="1:19" x14ac:dyDescent="0.2">
      <c r="A314" s="106">
        <f>_xlfn.XLOOKUP(B314,pratos!B:B,pratos!A:A,"não")</f>
        <v>250</v>
      </c>
      <c r="B314" s="135" t="s">
        <v>513</v>
      </c>
      <c r="C314" s="105">
        <f>_xlfn.XLOOKUP(D314,ingredientes!B:B,ingredientes!A:A,"não")</f>
        <v>96</v>
      </c>
      <c r="D314" s="30" t="s">
        <v>641</v>
      </c>
      <c r="E314" s="87">
        <v>50</v>
      </c>
      <c r="H314">
        <f t="shared" si="49"/>
        <v>250</v>
      </c>
      <c r="I314">
        <f t="shared" si="47"/>
        <v>96</v>
      </c>
      <c r="J314">
        <f t="shared" si="48"/>
        <v>50</v>
      </c>
      <c r="K314">
        <f t="shared" si="50"/>
        <v>346</v>
      </c>
      <c r="M314">
        <v>250</v>
      </c>
      <c r="N314">
        <v>96</v>
      </c>
      <c r="O314">
        <v>50</v>
      </c>
      <c r="Q314" t="b">
        <f t="shared" si="44"/>
        <v>1</v>
      </c>
      <c r="R314" t="b">
        <f t="shared" si="45"/>
        <v>1</v>
      </c>
      <c r="S314" t="b">
        <f t="shared" si="46"/>
        <v>1</v>
      </c>
    </row>
    <row r="315" spans="1:19" x14ac:dyDescent="0.2">
      <c r="A315" s="106">
        <f>_xlfn.XLOOKUP(B315,pratos!B:B,pratos!A:A,"não")</f>
        <v>250</v>
      </c>
      <c r="B315" s="116" t="s">
        <v>513</v>
      </c>
      <c r="C315" s="105">
        <f>_xlfn.XLOOKUP(D315,ingredientes!B:B,ingredientes!A:A,"não")</f>
        <v>106</v>
      </c>
      <c r="D315" t="s">
        <v>645</v>
      </c>
      <c r="E315" s="87">
        <v>50</v>
      </c>
      <c r="H315">
        <f t="shared" si="49"/>
        <v>250</v>
      </c>
      <c r="I315">
        <f t="shared" si="47"/>
        <v>106</v>
      </c>
      <c r="J315">
        <f t="shared" si="48"/>
        <v>50</v>
      </c>
      <c r="K315">
        <f t="shared" si="50"/>
        <v>356</v>
      </c>
      <c r="M315">
        <v>250</v>
      </c>
      <c r="N315">
        <v>106</v>
      </c>
      <c r="O315">
        <v>50</v>
      </c>
      <c r="Q315" t="b">
        <f t="shared" si="44"/>
        <v>1</v>
      </c>
      <c r="R315" t="b">
        <f t="shared" si="45"/>
        <v>1</v>
      </c>
      <c r="S315" t="b">
        <f t="shared" si="46"/>
        <v>1</v>
      </c>
    </row>
    <row r="316" spans="1:19" x14ac:dyDescent="0.2">
      <c r="A316" s="106">
        <f>_xlfn.XLOOKUP(B316,pratos!B:B,pratos!A:A,"não")</f>
        <v>250</v>
      </c>
      <c r="B316" s="116" t="s">
        <v>513</v>
      </c>
      <c r="C316" s="105">
        <f>_xlfn.XLOOKUP(D316,ingredientes!B:B,ingredientes!A:A,"não")</f>
        <v>320</v>
      </c>
      <c r="D316" t="s">
        <v>705</v>
      </c>
      <c r="E316" s="87">
        <v>30</v>
      </c>
      <c r="H316">
        <f t="shared" si="49"/>
        <v>250</v>
      </c>
      <c r="I316">
        <f t="shared" si="47"/>
        <v>320</v>
      </c>
      <c r="J316">
        <f t="shared" si="48"/>
        <v>30</v>
      </c>
      <c r="K316">
        <f t="shared" si="50"/>
        <v>570</v>
      </c>
      <c r="M316">
        <v>250</v>
      </c>
      <c r="N316">
        <v>320</v>
      </c>
      <c r="O316">
        <v>30</v>
      </c>
      <c r="Q316" t="b">
        <f t="shared" si="44"/>
        <v>1</v>
      </c>
      <c r="R316" t="b">
        <f t="shared" si="45"/>
        <v>1</v>
      </c>
      <c r="S316" t="b">
        <f t="shared" si="46"/>
        <v>1</v>
      </c>
    </row>
    <row r="317" spans="1:19" x14ac:dyDescent="0.2">
      <c r="A317" s="106">
        <f>_xlfn.XLOOKUP(B317,pratos!B:B,pratos!A:A,"não")</f>
        <v>251</v>
      </c>
      <c r="B317" s="135" t="s">
        <v>522</v>
      </c>
      <c r="C317" s="105">
        <f>_xlfn.XLOOKUP(D317,ingredientes!B:B,ingredientes!A:A,"não")</f>
        <v>58</v>
      </c>
      <c r="D317" t="s">
        <v>618</v>
      </c>
      <c r="E317" s="81">
        <v>40</v>
      </c>
      <c r="H317">
        <f t="shared" si="49"/>
        <v>251</v>
      </c>
      <c r="I317">
        <f t="shared" si="47"/>
        <v>58</v>
      </c>
      <c r="J317">
        <f t="shared" si="48"/>
        <v>40</v>
      </c>
      <c r="K317">
        <f t="shared" si="50"/>
        <v>309</v>
      </c>
      <c r="M317">
        <v>251</v>
      </c>
      <c r="N317">
        <v>58</v>
      </c>
      <c r="O317">
        <v>40</v>
      </c>
      <c r="Q317" t="b">
        <f t="shared" si="44"/>
        <v>1</v>
      </c>
      <c r="R317" t="b">
        <f t="shared" si="45"/>
        <v>1</v>
      </c>
      <c r="S317" t="b">
        <f t="shared" si="46"/>
        <v>1</v>
      </c>
    </row>
    <row r="318" spans="1:19" x14ac:dyDescent="0.2">
      <c r="A318" s="106">
        <f>_xlfn.XLOOKUP(B318,pratos!B:B,pratos!A:A,"não")</f>
        <v>251</v>
      </c>
      <c r="B318" s="135" t="s">
        <v>522</v>
      </c>
      <c r="C318" s="105">
        <f>_xlfn.XLOOKUP(D318,ingredientes!B:B,ingredientes!A:A,"não")</f>
        <v>96</v>
      </c>
      <c r="D318" s="30" t="s">
        <v>641</v>
      </c>
      <c r="E318" s="87">
        <v>20</v>
      </c>
      <c r="H318">
        <f t="shared" si="49"/>
        <v>251</v>
      </c>
      <c r="I318">
        <f t="shared" si="47"/>
        <v>96</v>
      </c>
      <c r="J318">
        <f t="shared" si="48"/>
        <v>20</v>
      </c>
      <c r="K318">
        <f t="shared" si="50"/>
        <v>347</v>
      </c>
      <c r="M318">
        <v>251</v>
      </c>
      <c r="N318">
        <v>96</v>
      </c>
      <c r="O318">
        <v>20</v>
      </c>
      <c r="Q318" t="b">
        <f t="shared" si="44"/>
        <v>1</v>
      </c>
      <c r="R318" t="b">
        <f t="shared" si="45"/>
        <v>1</v>
      </c>
      <c r="S318" t="b">
        <f t="shared" si="46"/>
        <v>1</v>
      </c>
    </row>
    <row r="319" spans="1:19" x14ac:dyDescent="0.2">
      <c r="A319" s="106">
        <f>_xlfn.XLOOKUP(B319,pratos!B:B,pratos!A:A,"não")</f>
        <v>251</v>
      </c>
      <c r="B319" s="135" t="s">
        <v>522</v>
      </c>
      <c r="C319" s="105">
        <f>_xlfn.XLOOKUP(D319,ingredientes!B:B,ingredientes!A:A,"não")</f>
        <v>106</v>
      </c>
      <c r="D319" s="30" t="s">
        <v>645</v>
      </c>
      <c r="E319" s="87">
        <v>10</v>
      </c>
      <c r="H319">
        <f t="shared" si="49"/>
        <v>251</v>
      </c>
      <c r="I319">
        <f t="shared" si="47"/>
        <v>106</v>
      </c>
      <c r="J319">
        <f t="shared" si="48"/>
        <v>10</v>
      </c>
      <c r="K319">
        <f t="shared" si="50"/>
        <v>357</v>
      </c>
      <c r="M319">
        <v>251</v>
      </c>
      <c r="N319">
        <v>106</v>
      </c>
      <c r="O319">
        <v>10</v>
      </c>
      <c r="Q319" t="b">
        <f t="shared" si="44"/>
        <v>1</v>
      </c>
      <c r="R319" t="b">
        <f t="shared" si="45"/>
        <v>1</v>
      </c>
      <c r="S319" t="b">
        <f t="shared" si="46"/>
        <v>1</v>
      </c>
    </row>
    <row r="320" spans="1:19" x14ac:dyDescent="0.2">
      <c r="A320" s="106">
        <f>_xlfn.XLOOKUP(B320,pratos!B:B,pratos!A:A,"não")</f>
        <v>252</v>
      </c>
      <c r="B320" s="52" t="s">
        <v>511</v>
      </c>
      <c r="C320" s="105">
        <f>_xlfn.XLOOKUP(D320,ingredientes!B:B,ingredientes!A:A,"não")</f>
        <v>58</v>
      </c>
      <c r="D320" t="s">
        <v>618</v>
      </c>
      <c r="E320" s="65">
        <v>40</v>
      </c>
      <c r="H320">
        <f t="shared" si="49"/>
        <v>252</v>
      </c>
      <c r="I320">
        <f t="shared" si="47"/>
        <v>58</v>
      </c>
      <c r="J320">
        <f t="shared" si="48"/>
        <v>40</v>
      </c>
      <c r="K320">
        <f t="shared" si="50"/>
        <v>310</v>
      </c>
      <c r="M320">
        <v>252</v>
      </c>
      <c r="N320">
        <v>58</v>
      </c>
      <c r="O320">
        <v>40</v>
      </c>
      <c r="Q320" t="b">
        <f t="shared" si="44"/>
        <v>1</v>
      </c>
      <c r="R320" t="b">
        <f t="shared" si="45"/>
        <v>1</v>
      </c>
      <c r="S320" t="b">
        <f t="shared" si="46"/>
        <v>1</v>
      </c>
    </row>
    <row r="321" spans="1:19" x14ac:dyDescent="0.2">
      <c r="A321" s="106">
        <f>_xlfn.XLOOKUP(B321,pratos!B:B,pratos!A:A,"não")</f>
        <v>252</v>
      </c>
      <c r="B321" s="52" t="s">
        <v>511</v>
      </c>
      <c r="C321" s="105">
        <f>_xlfn.XLOOKUP(D321,ingredientes!B:B,ingredientes!A:A,"não")</f>
        <v>94</v>
      </c>
      <c r="D321" s="138" t="s">
        <v>506</v>
      </c>
      <c r="E321" s="10">
        <v>5</v>
      </c>
      <c r="H321">
        <f t="shared" si="49"/>
        <v>252</v>
      </c>
      <c r="I321">
        <f t="shared" si="47"/>
        <v>94</v>
      </c>
      <c r="J321">
        <f t="shared" si="48"/>
        <v>5</v>
      </c>
      <c r="K321">
        <f t="shared" si="50"/>
        <v>346</v>
      </c>
      <c r="M321">
        <v>252</v>
      </c>
      <c r="N321">
        <v>94</v>
      </c>
      <c r="O321">
        <v>5</v>
      </c>
      <c r="Q321" t="b">
        <f t="shared" si="44"/>
        <v>1</v>
      </c>
      <c r="R321" t="b">
        <f t="shared" si="45"/>
        <v>1</v>
      </c>
      <c r="S321" t="b">
        <f t="shared" si="46"/>
        <v>1</v>
      </c>
    </row>
    <row r="322" spans="1:19" x14ac:dyDescent="0.2">
      <c r="A322" s="106">
        <f>_xlfn.XLOOKUP(B322,pratos!B:B,pratos!A:A,"não")</f>
        <v>252</v>
      </c>
      <c r="B322" s="52" t="s">
        <v>511</v>
      </c>
      <c r="C322" s="105">
        <f>_xlfn.XLOOKUP(D322,ingredientes!B:B,ingredientes!A:A,"não")</f>
        <v>96</v>
      </c>
      <c r="D322" t="s">
        <v>641</v>
      </c>
      <c r="E322" s="10">
        <v>30</v>
      </c>
      <c r="H322">
        <f t="shared" si="49"/>
        <v>252</v>
      </c>
      <c r="I322">
        <f t="shared" si="47"/>
        <v>96</v>
      </c>
      <c r="J322">
        <f t="shared" si="48"/>
        <v>30</v>
      </c>
      <c r="K322">
        <f t="shared" si="50"/>
        <v>348</v>
      </c>
      <c r="M322">
        <v>252</v>
      </c>
      <c r="N322">
        <v>96</v>
      </c>
      <c r="O322">
        <v>30</v>
      </c>
      <c r="Q322" t="b">
        <f t="shared" si="44"/>
        <v>1</v>
      </c>
      <c r="R322" t="b">
        <f t="shared" si="45"/>
        <v>1</v>
      </c>
      <c r="S322" t="b">
        <f t="shared" si="46"/>
        <v>1</v>
      </c>
    </row>
    <row r="323" spans="1:19" x14ac:dyDescent="0.2">
      <c r="A323" s="106">
        <f>_xlfn.XLOOKUP(B323,pratos!B:B,pratos!A:A,"não")</f>
        <v>252</v>
      </c>
      <c r="B323" s="52" t="s">
        <v>511</v>
      </c>
      <c r="C323" s="105">
        <f>_xlfn.XLOOKUP(D323,ingredientes!B:B,ingredientes!A:A,"não")</f>
        <v>320</v>
      </c>
      <c r="D323" t="s">
        <v>705</v>
      </c>
      <c r="E323" s="10">
        <v>30</v>
      </c>
      <c r="H323">
        <f t="shared" si="49"/>
        <v>252</v>
      </c>
      <c r="I323">
        <f t="shared" si="47"/>
        <v>320</v>
      </c>
      <c r="J323">
        <f t="shared" si="48"/>
        <v>30</v>
      </c>
      <c r="K323">
        <f t="shared" si="50"/>
        <v>572</v>
      </c>
      <c r="M323">
        <v>252</v>
      </c>
      <c r="N323">
        <v>320</v>
      </c>
      <c r="O323">
        <v>30</v>
      </c>
      <c r="Q323" t="b">
        <f t="shared" si="44"/>
        <v>1</v>
      </c>
      <c r="R323" t="b">
        <f t="shared" si="45"/>
        <v>1</v>
      </c>
      <c r="S323" t="b">
        <f t="shared" si="46"/>
        <v>1</v>
      </c>
    </row>
    <row r="324" spans="1:19" x14ac:dyDescent="0.2">
      <c r="A324" s="106">
        <f>_xlfn.XLOOKUP(B324,pratos!B:B,pratos!A:A,"não")</f>
        <v>253</v>
      </c>
      <c r="B324" s="135" t="s">
        <v>529</v>
      </c>
      <c r="C324" s="105">
        <f>_xlfn.XLOOKUP(D324,ingredientes!B:B,ingredientes!A:A,"não")</f>
        <v>96</v>
      </c>
      <c r="D324" s="30" t="s">
        <v>641</v>
      </c>
      <c r="E324" s="93">
        <v>25</v>
      </c>
      <c r="H324">
        <f t="shared" si="49"/>
        <v>253</v>
      </c>
      <c r="I324">
        <f t="shared" si="47"/>
        <v>96</v>
      </c>
      <c r="J324">
        <f t="shared" si="48"/>
        <v>25</v>
      </c>
      <c r="K324">
        <f t="shared" si="50"/>
        <v>349</v>
      </c>
      <c r="M324">
        <v>253</v>
      </c>
      <c r="N324">
        <v>96</v>
      </c>
      <c r="O324">
        <v>25</v>
      </c>
      <c r="Q324" t="b">
        <f t="shared" si="44"/>
        <v>1</v>
      </c>
      <c r="R324" t="b">
        <f t="shared" si="45"/>
        <v>1</v>
      </c>
      <c r="S324" t="b">
        <f t="shared" si="46"/>
        <v>1</v>
      </c>
    </row>
    <row r="325" spans="1:19" x14ac:dyDescent="0.2">
      <c r="A325" s="106">
        <f>_xlfn.XLOOKUP(B325,pratos!B:B,pratos!A:A,"não")</f>
        <v>253</v>
      </c>
      <c r="B325" s="135" t="s">
        <v>529</v>
      </c>
      <c r="C325" s="105">
        <f>_xlfn.XLOOKUP(D325,ingredientes!B:B,ingredientes!A:A,"não")</f>
        <v>106</v>
      </c>
      <c r="D325" s="30" t="s">
        <v>645</v>
      </c>
      <c r="E325" s="93">
        <v>25</v>
      </c>
      <c r="H325">
        <f t="shared" si="49"/>
        <v>253</v>
      </c>
      <c r="I325">
        <f t="shared" si="47"/>
        <v>106</v>
      </c>
      <c r="J325">
        <f t="shared" si="48"/>
        <v>25</v>
      </c>
      <c r="K325">
        <f t="shared" si="50"/>
        <v>359</v>
      </c>
      <c r="M325">
        <v>253</v>
      </c>
      <c r="N325">
        <v>106</v>
      </c>
      <c r="O325">
        <v>25</v>
      </c>
      <c r="Q325" t="b">
        <f t="shared" si="44"/>
        <v>1</v>
      </c>
      <c r="R325" t="b">
        <f t="shared" si="45"/>
        <v>1</v>
      </c>
      <c r="S325" t="b">
        <f t="shared" si="46"/>
        <v>1</v>
      </c>
    </row>
    <row r="326" spans="1:19" x14ac:dyDescent="0.2">
      <c r="A326" s="106">
        <f>_xlfn.XLOOKUP(B326,pratos!B:B,pratos!A:A,"não")</f>
        <v>255</v>
      </c>
      <c r="B326" s="119" t="s">
        <v>212</v>
      </c>
      <c r="C326" s="105">
        <f>_xlfn.XLOOKUP(D326,ingredientes!B:B,ingredientes!A:A,"não")</f>
        <v>96</v>
      </c>
      <c r="D326" s="30" t="s">
        <v>641</v>
      </c>
      <c r="E326" s="10">
        <v>30</v>
      </c>
      <c r="H326">
        <f t="shared" si="49"/>
        <v>255</v>
      </c>
      <c r="I326">
        <f t="shared" si="47"/>
        <v>96</v>
      </c>
      <c r="J326">
        <f t="shared" si="48"/>
        <v>30</v>
      </c>
      <c r="K326">
        <f t="shared" si="50"/>
        <v>351</v>
      </c>
      <c r="M326">
        <v>255</v>
      </c>
      <c r="N326">
        <v>96</v>
      </c>
      <c r="O326">
        <v>30</v>
      </c>
      <c r="Q326" t="b">
        <f t="shared" si="44"/>
        <v>1</v>
      </c>
      <c r="R326" t="b">
        <f t="shared" si="45"/>
        <v>1</v>
      </c>
      <c r="S326" t="b">
        <f t="shared" si="46"/>
        <v>1</v>
      </c>
    </row>
    <row r="327" spans="1:19" x14ac:dyDescent="0.2">
      <c r="A327" s="106">
        <f>_xlfn.XLOOKUP(B327,pratos!B:B,pratos!A:A,"não")</f>
        <v>255</v>
      </c>
      <c r="B327" s="119" t="s">
        <v>212</v>
      </c>
      <c r="C327" s="105">
        <f>_xlfn.XLOOKUP(D327,ingredientes!B:B,ingredientes!A:A,"não")</f>
        <v>106</v>
      </c>
      <c r="D327" s="30" t="s">
        <v>645</v>
      </c>
      <c r="E327" s="10">
        <v>40</v>
      </c>
      <c r="H327">
        <f t="shared" ref="H327:H372" si="51">A327</f>
        <v>255</v>
      </c>
      <c r="I327">
        <f t="shared" ref="I327:I370" si="52">C327</f>
        <v>106</v>
      </c>
      <c r="J327">
        <f t="shared" ref="J327:J370" si="53">E327</f>
        <v>40</v>
      </c>
      <c r="K327">
        <f t="shared" si="50"/>
        <v>361</v>
      </c>
      <c r="M327">
        <v>255</v>
      </c>
      <c r="N327">
        <v>106</v>
      </c>
      <c r="O327">
        <v>40</v>
      </c>
      <c r="Q327" t="b">
        <f t="shared" si="44"/>
        <v>1</v>
      </c>
      <c r="R327" t="b">
        <f t="shared" si="45"/>
        <v>1</v>
      </c>
      <c r="S327" t="b">
        <f t="shared" si="46"/>
        <v>1</v>
      </c>
    </row>
    <row r="328" spans="1:19" x14ac:dyDescent="0.2">
      <c r="A328" s="106">
        <f>_xlfn.XLOOKUP(B328,pratos!B:B,pratos!A:A,"não")</f>
        <v>255</v>
      </c>
      <c r="B328" s="119" t="s">
        <v>212</v>
      </c>
      <c r="C328" s="105">
        <f>_xlfn.XLOOKUP(D328,ingredientes!B:B,ingredientes!A:A,"não")</f>
        <v>198</v>
      </c>
      <c r="D328" s="3" t="s">
        <v>4</v>
      </c>
      <c r="E328" s="5">
        <v>5</v>
      </c>
      <c r="H328">
        <f t="shared" si="51"/>
        <v>255</v>
      </c>
      <c r="I328">
        <f t="shared" si="52"/>
        <v>198</v>
      </c>
      <c r="J328">
        <f t="shared" si="53"/>
        <v>5</v>
      </c>
      <c r="K328">
        <f t="shared" ref="K328:K373" si="54">H328+I328</f>
        <v>453</v>
      </c>
      <c r="M328">
        <v>255</v>
      </c>
      <c r="N328">
        <v>198</v>
      </c>
      <c r="O328">
        <v>5</v>
      </c>
      <c r="Q328" t="b">
        <f t="shared" si="44"/>
        <v>1</v>
      </c>
      <c r="R328" t="b">
        <f t="shared" si="45"/>
        <v>1</v>
      </c>
      <c r="S328" t="b">
        <f t="shared" si="46"/>
        <v>1</v>
      </c>
    </row>
    <row r="329" spans="1:19" x14ac:dyDescent="0.2">
      <c r="A329" s="106">
        <f>_xlfn.XLOOKUP(B329,pratos!B:B,pratos!A:A,"não")</f>
        <v>255</v>
      </c>
      <c r="B329" s="119" t="s">
        <v>223</v>
      </c>
      <c r="C329" s="105">
        <f>_xlfn.XLOOKUP(D329,ingredientes!B:B,ingredientes!A:A,"não")</f>
        <v>320</v>
      </c>
      <c r="D329" s="30" t="s">
        <v>705</v>
      </c>
      <c r="E329" s="10">
        <v>15</v>
      </c>
      <c r="H329">
        <f t="shared" si="51"/>
        <v>255</v>
      </c>
      <c r="I329">
        <f t="shared" si="52"/>
        <v>320</v>
      </c>
      <c r="J329">
        <f t="shared" si="53"/>
        <v>15</v>
      </c>
      <c r="K329">
        <f t="shared" si="54"/>
        <v>575</v>
      </c>
      <c r="M329">
        <v>255</v>
      </c>
      <c r="N329">
        <v>320</v>
      </c>
      <c r="O329">
        <v>15</v>
      </c>
      <c r="Q329" t="b">
        <f t="shared" si="44"/>
        <v>1</v>
      </c>
      <c r="R329" t="b">
        <f t="shared" si="45"/>
        <v>1</v>
      </c>
      <c r="S329" t="b">
        <f t="shared" si="46"/>
        <v>1</v>
      </c>
    </row>
    <row r="330" spans="1:19" x14ac:dyDescent="0.2">
      <c r="A330" s="106">
        <f>_xlfn.XLOOKUP(B330,pratos!B:B,pratos!A:A,"não")</f>
        <v>256</v>
      </c>
      <c r="B330" s="109" t="s">
        <v>234</v>
      </c>
      <c r="C330" s="105">
        <f>_xlfn.XLOOKUP(D330,ingredientes!B:B,ingredientes!A:A,"não")</f>
        <v>15</v>
      </c>
      <c r="D330" s="8" t="s">
        <v>235</v>
      </c>
      <c r="E330" s="19">
        <v>20</v>
      </c>
      <c r="H330">
        <f t="shared" si="51"/>
        <v>256</v>
      </c>
      <c r="I330">
        <f t="shared" si="52"/>
        <v>15</v>
      </c>
      <c r="J330">
        <f t="shared" si="53"/>
        <v>20</v>
      </c>
      <c r="K330">
        <f t="shared" si="54"/>
        <v>271</v>
      </c>
      <c r="M330">
        <v>256</v>
      </c>
      <c r="N330">
        <v>15</v>
      </c>
      <c r="O330">
        <v>20</v>
      </c>
      <c r="Q330" t="b">
        <f t="shared" si="44"/>
        <v>1</v>
      </c>
      <c r="R330" t="b">
        <f t="shared" si="45"/>
        <v>1</v>
      </c>
      <c r="S330" t="b">
        <f t="shared" si="46"/>
        <v>1</v>
      </c>
    </row>
    <row r="331" spans="1:19" x14ac:dyDescent="0.2">
      <c r="A331" s="106">
        <f>_xlfn.XLOOKUP(B331,pratos!B:B,pratos!A:A,"não")</f>
        <v>256</v>
      </c>
      <c r="B331" s="109" t="s">
        <v>234</v>
      </c>
      <c r="C331" s="105">
        <f>_xlfn.XLOOKUP(D331,ingredientes!B:B,ingredientes!A:A,"não")</f>
        <v>179</v>
      </c>
      <c r="D331" s="9" t="s">
        <v>62</v>
      </c>
      <c r="E331" s="5">
        <v>20</v>
      </c>
      <c r="H331">
        <f t="shared" si="51"/>
        <v>256</v>
      </c>
      <c r="I331">
        <f t="shared" si="52"/>
        <v>179</v>
      </c>
      <c r="J331">
        <f t="shared" si="53"/>
        <v>20</v>
      </c>
      <c r="K331">
        <f t="shared" si="54"/>
        <v>435</v>
      </c>
      <c r="M331">
        <v>256</v>
      </c>
      <c r="N331">
        <v>179</v>
      </c>
      <c r="O331">
        <v>20</v>
      </c>
      <c r="Q331" t="b">
        <f t="shared" si="44"/>
        <v>1</v>
      </c>
      <c r="R331" t="b">
        <f t="shared" si="45"/>
        <v>1</v>
      </c>
      <c r="S331" t="b">
        <f t="shared" si="46"/>
        <v>1</v>
      </c>
    </row>
    <row r="332" spans="1:19" x14ac:dyDescent="0.2">
      <c r="A332" s="106">
        <f>_xlfn.XLOOKUP(B332,pratos!B:B,pratos!A:A,"não")</f>
        <v>258</v>
      </c>
      <c r="B332" s="110" t="s">
        <v>37</v>
      </c>
      <c r="C332" s="105">
        <f>_xlfn.XLOOKUP(D332,ingredientes!B:B,ingredientes!A:A,"não")</f>
        <v>183</v>
      </c>
      <c r="D332" s="148" t="s">
        <v>37</v>
      </c>
      <c r="E332" s="10">
        <v>120</v>
      </c>
      <c r="H332">
        <f t="shared" si="51"/>
        <v>258</v>
      </c>
      <c r="I332">
        <f t="shared" si="52"/>
        <v>183</v>
      </c>
      <c r="J332">
        <f t="shared" si="53"/>
        <v>120</v>
      </c>
      <c r="K332">
        <f t="shared" si="54"/>
        <v>441</v>
      </c>
      <c r="M332">
        <v>258</v>
      </c>
      <c r="N332">
        <v>183</v>
      </c>
      <c r="O332">
        <v>120</v>
      </c>
      <c r="Q332" t="b">
        <f t="shared" si="44"/>
        <v>1</v>
      </c>
      <c r="R332" t="b">
        <f t="shared" si="45"/>
        <v>1</v>
      </c>
      <c r="S332" t="b">
        <f t="shared" si="46"/>
        <v>1</v>
      </c>
    </row>
    <row r="333" spans="1:19" x14ac:dyDescent="0.2">
      <c r="A333" s="106">
        <f>_xlfn.XLOOKUP(B333,pratos!B:B,pratos!A:A,"não")</f>
        <v>259</v>
      </c>
      <c r="B333" s="111" t="s">
        <v>91</v>
      </c>
      <c r="C333" s="105">
        <f>_xlfn.XLOOKUP(D333,ingredientes!B:B,ingredientes!A:A,"não")</f>
        <v>189</v>
      </c>
      <c r="D333" s="163" t="s">
        <v>84</v>
      </c>
      <c r="E333" s="19">
        <v>100</v>
      </c>
      <c r="H333">
        <f t="shared" si="51"/>
        <v>259</v>
      </c>
      <c r="I333">
        <f t="shared" si="52"/>
        <v>189</v>
      </c>
      <c r="J333">
        <f t="shared" si="53"/>
        <v>100</v>
      </c>
      <c r="K333">
        <f t="shared" si="54"/>
        <v>448</v>
      </c>
      <c r="M333">
        <v>259</v>
      </c>
      <c r="N333">
        <v>189</v>
      </c>
      <c r="O333">
        <v>100</v>
      </c>
      <c r="Q333" t="b">
        <f t="shared" si="44"/>
        <v>1</v>
      </c>
      <c r="R333" t="b">
        <f t="shared" si="45"/>
        <v>1</v>
      </c>
      <c r="S333" t="b">
        <f t="shared" si="46"/>
        <v>1</v>
      </c>
    </row>
    <row r="334" spans="1:19" x14ac:dyDescent="0.2">
      <c r="A334" s="106">
        <f>_xlfn.XLOOKUP(B334,pratos!B:B,pratos!A:A,"não")</f>
        <v>259</v>
      </c>
      <c r="B334" s="52" t="s">
        <v>91</v>
      </c>
      <c r="C334" s="105">
        <f>_xlfn.XLOOKUP(D334,ingredientes!B:B,ingredientes!A:A,"não")</f>
        <v>195</v>
      </c>
      <c r="D334" s="138" t="s">
        <v>30</v>
      </c>
      <c r="E334" s="10">
        <v>1</v>
      </c>
      <c r="H334">
        <f t="shared" si="51"/>
        <v>259</v>
      </c>
      <c r="I334">
        <f t="shared" si="52"/>
        <v>195</v>
      </c>
      <c r="J334">
        <f t="shared" si="53"/>
        <v>1</v>
      </c>
      <c r="K334">
        <f t="shared" si="54"/>
        <v>454</v>
      </c>
      <c r="M334">
        <v>259</v>
      </c>
      <c r="N334">
        <v>195</v>
      </c>
      <c r="O334">
        <v>1</v>
      </c>
      <c r="Q334" t="b">
        <f t="shared" si="44"/>
        <v>1</v>
      </c>
      <c r="R334" t="b">
        <f t="shared" si="45"/>
        <v>1</v>
      </c>
      <c r="S334" t="b">
        <f t="shared" si="46"/>
        <v>1</v>
      </c>
    </row>
    <row r="335" spans="1:19" x14ac:dyDescent="0.2">
      <c r="A335" s="106">
        <f>_xlfn.XLOOKUP(B335,pratos!B:B,pratos!A:A,"não")</f>
        <v>259</v>
      </c>
      <c r="B335" s="52" t="s">
        <v>91</v>
      </c>
      <c r="C335" s="105">
        <f>_xlfn.XLOOKUP(D335,ingredientes!B:B,ingredientes!A:A,"não")</f>
        <v>204</v>
      </c>
      <c r="D335" s="138" t="s">
        <v>92</v>
      </c>
      <c r="E335" s="19">
        <v>20</v>
      </c>
      <c r="H335">
        <f t="shared" si="51"/>
        <v>259</v>
      </c>
      <c r="I335">
        <f t="shared" si="52"/>
        <v>204</v>
      </c>
      <c r="J335">
        <f t="shared" si="53"/>
        <v>20</v>
      </c>
      <c r="K335">
        <f t="shared" si="54"/>
        <v>463</v>
      </c>
      <c r="M335">
        <v>259</v>
      </c>
      <c r="N335">
        <v>204</v>
      </c>
      <c r="O335">
        <v>20</v>
      </c>
      <c r="Q335" t="b">
        <f t="shared" ref="Q335:Q398" si="55">EXACT(H335,M335)</f>
        <v>1</v>
      </c>
      <c r="R335" t="b">
        <f t="shared" ref="R335:R398" si="56">EXACT(I335,N335)</f>
        <v>1</v>
      </c>
      <c r="S335" t="b">
        <f t="shared" ref="S335:S398" si="57">EXACT(J335,O335)</f>
        <v>1</v>
      </c>
    </row>
    <row r="336" spans="1:19" x14ac:dyDescent="0.2">
      <c r="A336" s="106">
        <f>_xlfn.XLOOKUP(B336,pratos!B:B,pratos!A:A,"não")</f>
        <v>260</v>
      </c>
      <c r="B336" s="111" t="s">
        <v>83</v>
      </c>
      <c r="C336" s="105">
        <f>_xlfn.XLOOKUP(D336,ingredientes!B:B,ingredientes!A:A,"não")</f>
        <v>189</v>
      </c>
      <c r="D336" s="163" t="s">
        <v>84</v>
      </c>
      <c r="E336" s="19">
        <v>100</v>
      </c>
      <c r="H336">
        <f t="shared" si="51"/>
        <v>260</v>
      </c>
      <c r="I336">
        <f t="shared" si="52"/>
        <v>189</v>
      </c>
      <c r="J336">
        <f t="shared" si="53"/>
        <v>100</v>
      </c>
      <c r="K336">
        <f t="shared" si="54"/>
        <v>449</v>
      </c>
      <c r="M336">
        <v>260</v>
      </c>
      <c r="N336">
        <v>189</v>
      </c>
      <c r="O336">
        <v>100</v>
      </c>
      <c r="Q336" t="b">
        <f t="shared" si="55"/>
        <v>1</v>
      </c>
      <c r="R336" t="b">
        <f t="shared" si="56"/>
        <v>1</v>
      </c>
      <c r="S336" t="b">
        <f t="shared" si="57"/>
        <v>1</v>
      </c>
    </row>
    <row r="337" spans="1:19" x14ac:dyDescent="0.2">
      <c r="A337" s="106">
        <f>_xlfn.XLOOKUP(B337,pratos!B:B,pratos!A:A,"não")</f>
        <v>260</v>
      </c>
      <c r="B337" s="52" t="s">
        <v>83</v>
      </c>
      <c r="C337" s="105">
        <f>_xlfn.XLOOKUP(D337,ingredientes!B:B,ingredientes!A:A,"não")</f>
        <v>212</v>
      </c>
      <c r="D337" s="151" t="s">
        <v>85</v>
      </c>
      <c r="E337" s="10">
        <v>20</v>
      </c>
      <c r="H337">
        <f t="shared" si="51"/>
        <v>260</v>
      </c>
      <c r="I337">
        <f t="shared" si="52"/>
        <v>212</v>
      </c>
      <c r="J337">
        <f t="shared" si="53"/>
        <v>20</v>
      </c>
      <c r="K337">
        <f t="shared" si="54"/>
        <v>472</v>
      </c>
      <c r="M337">
        <v>260</v>
      </c>
      <c r="N337">
        <v>212</v>
      </c>
      <c r="O337">
        <v>20</v>
      </c>
      <c r="Q337" t="b">
        <f t="shared" si="55"/>
        <v>1</v>
      </c>
      <c r="R337" t="b">
        <f t="shared" si="56"/>
        <v>1</v>
      </c>
      <c r="S337" t="b">
        <f t="shared" si="57"/>
        <v>1</v>
      </c>
    </row>
    <row r="338" spans="1:19" x14ac:dyDescent="0.2">
      <c r="A338" s="106">
        <f>_xlfn.XLOOKUP(B338,pratos!B:B,pratos!A:A,"não")</f>
        <v>261</v>
      </c>
      <c r="B338" s="52" t="s">
        <v>342</v>
      </c>
      <c r="C338" s="105">
        <f>_xlfn.XLOOKUP(D338,ingredientes!B:B,ingredientes!A:A,"não")</f>
        <v>126</v>
      </c>
      <c r="D338" s="138" t="s">
        <v>27</v>
      </c>
      <c r="E338" s="10">
        <v>5</v>
      </c>
      <c r="H338">
        <f t="shared" si="51"/>
        <v>261</v>
      </c>
      <c r="I338">
        <f t="shared" si="52"/>
        <v>126</v>
      </c>
      <c r="J338">
        <f t="shared" si="53"/>
        <v>5</v>
      </c>
      <c r="K338">
        <f t="shared" si="54"/>
        <v>387</v>
      </c>
      <c r="M338">
        <v>261</v>
      </c>
      <c r="N338">
        <v>126</v>
      </c>
      <c r="O338">
        <v>5</v>
      </c>
      <c r="Q338" t="b">
        <f t="shared" si="55"/>
        <v>1</v>
      </c>
      <c r="R338" t="b">
        <f t="shared" si="56"/>
        <v>1</v>
      </c>
      <c r="S338" t="b">
        <f t="shared" si="57"/>
        <v>1</v>
      </c>
    </row>
    <row r="339" spans="1:19" x14ac:dyDescent="0.2">
      <c r="A339" s="106">
        <f>_xlfn.XLOOKUP(B339,pratos!B:B,pratos!A:A,"não")</f>
        <v>261</v>
      </c>
      <c r="B339" s="52" t="s">
        <v>342</v>
      </c>
      <c r="C339" s="105">
        <f>_xlfn.XLOOKUP(D339,ingredientes!B:B,ingredientes!A:A,"não")</f>
        <v>190</v>
      </c>
      <c r="D339" s="138" t="s">
        <v>343</v>
      </c>
      <c r="E339" s="10">
        <v>100</v>
      </c>
      <c r="H339">
        <f t="shared" si="51"/>
        <v>261</v>
      </c>
      <c r="I339">
        <f t="shared" si="52"/>
        <v>190</v>
      </c>
      <c r="J339">
        <f t="shared" si="53"/>
        <v>100</v>
      </c>
      <c r="K339">
        <f t="shared" si="54"/>
        <v>451</v>
      </c>
      <c r="M339">
        <v>261</v>
      </c>
      <c r="N339">
        <v>190</v>
      </c>
      <c r="O339">
        <v>100</v>
      </c>
      <c r="Q339" t="b">
        <f t="shared" si="55"/>
        <v>1</v>
      </c>
      <c r="R339" t="b">
        <f t="shared" si="56"/>
        <v>1</v>
      </c>
      <c r="S339" t="b">
        <f t="shared" si="57"/>
        <v>1</v>
      </c>
    </row>
    <row r="340" spans="1:19" x14ac:dyDescent="0.2">
      <c r="A340" s="106">
        <f>_xlfn.XLOOKUP(B340,pratos!B:B,pratos!A:A,"não")</f>
        <v>261</v>
      </c>
      <c r="B340" s="52" t="s">
        <v>342</v>
      </c>
      <c r="C340" s="105">
        <f>_xlfn.XLOOKUP(D340,ingredientes!B:B,ingredientes!A:A,"não")</f>
        <v>203</v>
      </c>
      <c r="D340" s="138" t="s">
        <v>344</v>
      </c>
      <c r="E340" s="10">
        <v>5</v>
      </c>
      <c r="H340">
        <f t="shared" si="51"/>
        <v>261</v>
      </c>
      <c r="I340">
        <f t="shared" si="52"/>
        <v>203</v>
      </c>
      <c r="J340">
        <f t="shared" si="53"/>
        <v>5</v>
      </c>
      <c r="K340">
        <f t="shared" si="54"/>
        <v>464</v>
      </c>
      <c r="M340">
        <v>261</v>
      </c>
      <c r="N340">
        <v>203</v>
      </c>
      <c r="O340">
        <v>5</v>
      </c>
      <c r="Q340" t="b">
        <f t="shared" si="55"/>
        <v>1</v>
      </c>
      <c r="R340" t="b">
        <f t="shared" si="56"/>
        <v>1</v>
      </c>
      <c r="S340" t="b">
        <f t="shared" si="57"/>
        <v>1</v>
      </c>
    </row>
    <row r="341" spans="1:19" x14ac:dyDescent="0.2">
      <c r="A341" s="106">
        <f>_xlfn.XLOOKUP(B341,pratos!B:B,pratos!A:A,"não")</f>
        <v>262</v>
      </c>
      <c r="B341" s="118" t="s">
        <v>205</v>
      </c>
      <c r="C341" s="105">
        <f>_xlfn.XLOOKUP(D341,ingredientes!B:B,ingredientes!A:A,"não")</f>
        <v>192</v>
      </c>
      <c r="D341" s="29" t="s">
        <v>206</v>
      </c>
      <c r="E341" s="17">
        <v>150</v>
      </c>
      <c r="H341">
        <f t="shared" si="51"/>
        <v>262</v>
      </c>
      <c r="I341">
        <f t="shared" si="52"/>
        <v>192</v>
      </c>
      <c r="J341">
        <f t="shared" si="53"/>
        <v>150</v>
      </c>
      <c r="K341">
        <f t="shared" si="54"/>
        <v>454</v>
      </c>
      <c r="M341">
        <v>262</v>
      </c>
      <c r="N341">
        <v>192</v>
      </c>
      <c r="O341">
        <v>150</v>
      </c>
      <c r="Q341" t="b">
        <f t="shared" si="55"/>
        <v>1</v>
      </c>
      <c r="R341" t="b">
        <f t="shared" si="56"/>
        <v>1</v>
      </c>
      <c r="S341" t="b">
        <f t="shared" si="57"/>
        <v>1</v>
      </c>
    </row>
    <row r="342" spans="1:19" x14ac:dyDescent="0.2">
      <c r="A342" s="106">
        <f>_xlfn.XLOOKUP(B342,pratos!B:B,pratos!A:A,"não")</f>
        <v>265</v>
      </c>
      <c r="B342" s="52" t="s">
        <v>426</v>
      </c>
      <c r="C342" s="105">
        <f>_xlfn.XLOOKUP(D342,ingredientes!B:B,ingredientes!A:A,"não")</f>
        <v>193</v>
      </c>
      <c r="D342" s="144" t="s">
        <v>145</v>
      </c>
      <c r="E342" s="10">
        <v>70</v>
      </c>
      <c r="H342">
        <f t="shared" si="51"/>
        <v>265</v>
      </c>
      <c r="I342">
        <f t="shared" si="52"/>
        <v>193</v>
      </c>
      <c r="J342">
        <f t="shared" si="53"/>
        <v>70</v>
      </c>
      <c r="K342">
        <f t="shared" si="54"/>
        <v>458</v>
      </c>
      <c r="M342">
        <v>265</v>
      </c>
      <c r="N342">
        <v>193</v>
      </c>
      <c r="O342">
        <v>70</v>
      </c>
      <c r="Q342" t="b">
        <f t="shared" si="55"/>
        <v>1</v>
      </c>
      <c r="R342" t="b">
        <f t="shared" si="56"/>
        <v>1</v>
      </c>
      <c r="S342" t="b">
        <f t="shared" si="57"/>
        <v>1</v>
      </c>
    </row>
    <row r="343" spans="1:19" x14ac:dyDescent="0.2">
      <c r="A343" s="106">
        <f>_xlfn.XLOOKUP(B343,pratos!B:B,pratos!A:A,"não")</f>
        <v>267</v>
      </c>
      <c r="B343" s="52" t="s">
        <v>547</v>
      </c>
      <c r="C343" s="105">
        <f>_xlfn.XLOOKUP(D343,ingredientes!B:B,ingredientes!A:A,"não")</f>
        <v>30</v>
      </c>
      <c r="D343" s="143" t="s">
        <v>549</v>
      </c>
      <c r="E343" s="10">
        <v>10</v>
      </c>
      <c r="H343">
        <f t="shared" si="51"/>
        <v>267</v>
      </c>
      <c r="I343">
        <f t="shared" si="52"/>
        <v>30</v>
      </c>
      <c r="J343">
        <f t="shared" si="53"/>
        <v>10</v>
      </c>
      <c r="K343">
        <f t="shared" si="54"/>
        <v>297</v>
      </c>
      <c r="M343">
        <v>267</v>
      </c>
      <c r="N343">
        <v>30</v>
      </c>
      <c r="O343">
        <v>10</v>
      </c>
      <c r="Q343" t="b">
        <f t="shared" si="55"/>
        <v>1</v>
      </c>
      <c r="R343" t="b">
        <f t="shared" si="56"/>
        <v>1</v>
      </c>
      <c r="S343" t="b">
        <f t="shared" si="57"/>
        <v>1</v>
      </c>
    </row>
    <row r="344" spans="1:19" x14ac:dyDescent="0.2">
      <c r="A344" s="106">
        <f>_xlfn.XLOOKUP(B344,pratos!B:B,pratos!A:A,"não")</f>
        <v>268</v>
      </c>
      <c r="B344" s="116" t="s">
        <v>578</v>
      </c>
      <c r="C344" s="105">
        <f>_xlfn.XLOOKUP(D344,ingredientes!B:B,ingredientes!A:A,"não")</f>
        <v>270</v>
      </c>
      <c r="D344" s="161" t="s">
        <v>548</v>
      </c>
      <c r="E344" s="17">
        <v>80</v>
      </c>
      <c r="H344">
        <f t="shared" si="51"/>
        <v>268</v>
      </c>
      <c r="I344">
        <f t="shared" si="52"/>
        <v>270</v>
      </c>
      <c r="J344">
        <f t="shared" si="53"/>
        <v>80</v>
      </c>
      <c r="K344">
        <f t="shared" si="54"/>
        <v>538</v>
      </c>
      <c r="M344">
        <v>268</v>
      </c>
      <c r="N344">
        <v>270</v>
      </c>
      <c r="O344">
        <v>80</v>
      </c>
      <c r="Q344" t="b">
        <f t="shared" si="55"/>
        <v>1</v>
      </c>
      <c r="R344" t="b">
        <f t="shared" si="56"/>
        <v>1</v>
      </c>
      <c r="S344" t="b">
        <f t="shared" si="57"/>
        <v>1</v>
      </c>
    </row>
    <row r="345" spans="1:19" x14ac:dyDescent="0.2">
      <c r="A345" s="106">
        <f>_xlfn.XLOOKUP(B345,pratos!B:B,pratos!A:A,"não")</f>
        <v>269</v>
      </c>
      <c r="B345" s="52" t="s">
        <v>32</v>
      </c>
      <c r="C345" s="105">
        <f>_xlfn.XLOOKUP(D345,ingredientes!B:B,ingredientes!A:A,"não")</f>
        <v>200</v>
      </c>
      <c r="D345" s="138" t="s">
        <v>32</v>
      </c>
      <c r="E345" s="10">
        <v>120</v>
      </c>
      <c r="H345">
        <f t="shared" si="51"/>
        <v>269</v>
      </c>
      <c r="I345">
        <f t="shared" si="52"/>
        <v>200</v>
      </c>
      <c r="J345">
        <f t="shared" si="53"/>
        <v>120</v>
      </c>
      <c r="K345">
        <f t="shared" si="54"/>
        <v>469</v>
      </c>
      <c r="M345">
        <v>269</v>
      </c>
      <c r="N345">
        <v>200</v>
      </c>
      <c r="O345">
        <v>120</v>
      </c>
      <c r="Q345" t="b">
        <f t="shared" si="55"/>
        <v>1</v>
      </c>
      <c r="R345" t="b">
        <f t="shared" si="56"/>
        <v>1</v>
      </c>
      <c r="S345" t="b">
        <f t="shared" si="57"/>
        <v>1</v>
      </c>
    </row>
    <row r="346" spans="1:19" x14ac:dyDescent="0.2">
      <c r="A346" s="106">
        <f>_xlfn.XLOOKUP(B346,pratos!B:B,pratos!A:A,"não")</f>
        <v>271</v>
      </c>
      <c r="B346" s="52" t="s">
        <v>157</v>
      </c>
      <c r="C346" s="105">
        <f>_xlfn.XLOOKUP(D346,ingredientes!B:B,ingredientes!A:A,"não")</f>
        <v>201</v>
      </c>
      <c r="D346" s="138" t="s">
        <v>135</v>
      </c>
      <c r="E346" s="10">
        <v>120</v>
      </c>
      <c r="H346">
        <f t="shared" si="51"/>
        <v>271</v>
      </c>
      <c r="I346">
        <f t="shared" si="52"/>
        <v>201</v>
      </c>
      <c r="J346">
        <f t="shared" si="53"/>
        <v>120</v>
      </c>
      <c r="K346">
        <f t="shared" si="54"/>
        <v>472</v>
      </c>
      <c r="M346">
        <v>271</v>
      </c>
      <c r="N346">
        <v>201</v>
      </c>
      <c r="O346">
        <v>120</v>
      </c>
      <c r="Q346" t="b">
        <f t="shared" si="55"/>
        <v>1</v>
      </c>
      <c r="R346" t="b">
        <f t="shared" si="56"/>
        <v>1</v>
      </c>
      <c r="S346" t="b">
        <f t="shared" si="57"/>
        <v>1</v>
      </c>
    </row>
    <row r="347" spans="1:19" x14ac:dyDescent="0.2">
      <c r="A347" s="106">
        <f>_xlfn.XLOOKUP(B347,pratos!B:B,pratos!A:A,"não")</f>
        <v>272</v>
      </c>
      <c r="B347" s="111" t="s">
        <v>224</v>
      </c>
      <c r="C347" s="105">
        <f>_xlfn.XLOOKUP(D347,ingredientes!B:B,ingredientes!A:A,"não")</f>
        <v>64</v>
      </c>
      <c r="D347" t="s">
        <v>624</v>
      </c>
      <c r="E347" s="17">
        <v>50</v>
      </c>
      <c r="H347">
        <f t="shared" si="51"/>
        <v>272</v>
      </c>
      <c r="I347">
        <f t="shared" si="52"/>
        <v>64</v>
      </c>
      <c r="J347">
        <f t="shared" si="53"/>
        <v>50</v>
      </c>
      <c r="K347">
        <f t="shared" si="54"/>
        <v>336</v>
      </c>
      <c r="M347">
        <v>272</v>
      </c>
      <c r="N347">
        <v>64</v>
      </c>
      <c r="O347">
        <v>50</v>
      </c>
      <c r="Q347" t="b">
        <f t="shared" si="55"/>
        <v>1</v>
      </c>
      <c r="R347" t="b">
        <f t="shared" si="56"/>
        <v>1</v>
      </c>
      <c r="S347" t="b">
        <f t="shared" si="57"/>
        <v>1</v>
      </c>
    </row>
    <row r="348" spans="1:19" x14ac:dyDescent="0.2">
      <c r="A348" s="106">
        <f>_xlfn.XLOOKUP(B348,pratos!B:B,pratos!A:A,"não")</f>
        <v>272</v>
      </c>
      <c r="B348" s="52" t="s">
        <v>224</v>
      </c>
      <c r="C348" s="105">
        <f>_xlfn.XLOOKUP(D348,ingredientes!B:B,ingredientes!A:A,"não")</f>
        <v>202</v>
      </c>
      <c r="D348" s="138" t="s">
        <v>672</v>
      </c>
      <c r="E348" s="17">
        <v>50</v>
      </c>
      <c r="H348">
        <f t="shared" si="51"/>
        <v>272</v>
      </c>
      <c r="I348">
        <f t="shared" si="52"/>
        <v>202</v>
      </c>
      <c r="J348">
        <f t="shared" si="53"/>
        <v>50</v>
      </c>
      <c r="K348">
        <f t="shared" si="54"/>
        <v>474</v>
      </c>
      <c r="M348">
        <v>272</v>
      </c>
      <c r="N348">
        <v>202</v>
      </c>
      <c r="O348">
        <v>50</v>
      </c>
      <c r="Q348" t="b">
        <f t="shared" si="55"/>
        <v>1</v>
      </c>
      <c r="R348" t="b">
        <f t="shared" si="56"/>
        <v>1</v>
      </c>
      <c r="S348" t="b">
        <f t="shared" si="57"/>
        <v>1</v>
      </c>
    </row>
    <row r="349" spans="1:19" x14ac:dyDescent="0.2">
      <c r="A349" s="106">
        <f>_xlfn.XLOOKUP(B349,pratos!B:B,pratos!A:A,"não")</f>
        <v>274</v>
      </c>
      <c r="B349" s="111" t="s">
        <v>51</v>
      </c>
      <c r="C349" s="105">
        <f>_xlfn.XLOOKUP(D349,ingredientes!B:B,ingredientes!A:A,"não")</f>
        <v>17</v>
      </c>
      <c r="D349" s="138" t="s">
        <v>7</v>
      </c>
      <c r="E349" s="10">
        <v>15</v>
      </c>
      <c r="H349">
        <f t="shared" si="51"/>
        <v>274</v>
      </c>
      <c r="I349">
        <f t="shared" si="52"/>
        <v>17</v>
      </c>
      <c r="J349">
        <f t="shared" si="53"/>
        <v>15</v>
      </c>
      <c r="K349">
        <f t="shared" si="54"/>
        <v>291</v>
      </c>
      <c r="M349">
        <v>274</v>
      </c>
      <c r="N349">
        <v>17</v>
      </c>
      <c r="O349">
        <v>15</v>
      </c>
      <c r="Q349" t="b">
        <f t="shared" si="55"/>
        <v>1</v>
      </c>
      <c r="R349" t="b">
        <f t="shared" si="56"/>
        <v>1</v>
      </c>
      <c r="S349" t="b">
        <f t="shared" si="57"/>
        <v>1</v>
      </c>
    </row>
    <row r="350" spans="1:19" x14ac:dyDescent="0.2">
      <c r="A350" s="106">
        <f>_xlfn.XLOOKUP(B350,pratos!B:B,pratos!A:A,"não")</f>
        <v>274</v>
      </c>
      <c r="B350" s="52" t="s">
        <v>51</v>
      </c>
      <c r="C350" s="105">
        <f>_xlfn.XLOOKUP(D350,ingredientes!B:B,ingredientes!A:A,"não")</f>
        <v>32</v>
      </c>
      <c r="D350" s="143" t="s">
        <v>483</v>
      </c>
      <c r="E350" s="10">
        <v>8</v>
      </c>
      <c r="H350">
        <f t="shared" si="51"/>
        <v>274</v>
      </c>
      <c r="I350">
        <f t="shared" si="52"/>
        <v>32</v>
      </c>
      <c r="J350">
        <f t="shared" si="53"/>
        <v>8</v>
      </c>
      <c r="K350">
        <f t="shared" si="54"/>
        <v>306</v>
      </c>
      <c r="M350">
        <v>274</v>
      </c>
      <c r="N350">
        <v>32</v>
      </c>
      <c r="O350">
        <v>8</v>
      </c>
      <c r="Q350" t="b">
        <f t="shared" si="55"/>
        <v>1</v>
      </c>
      <c r="R350" t="b">
        <f t="shared" si="56"/>
        <v>1</v>
      </c>
      <c r="S350" t="b">
        <f t="shared" si="57"/>
        <v>1</v>
      </c>
    </row>
    <row r="351" spans="1:19" x14ac:dyDescent="0.2">
      <c r="A351" s="106">
        <f>_xlfn.XLOOKUP(B351,pratos!B:B,pratos!A:A,"não")</f>
        <v>274</v>
      </c>
      <c r="B351" s="52" t="s">
        <v>51</v>
      </c>
      <c r="C351" s="105">
        <f>_xlfn.XLOOKUP(D351,ingredientes!B:B,ingredientes!A:A,"não")</f>
        <v>177</v>
      </c>
      <c r="D351" s="9" t="s">
        <v>6</v>
      </c>
      <c r="E351" s="5">
        <v>160</v>
      </c>
      <c r="H351">
        <f t="shared" si="51"/>
        <v>274</v>
      </c>
      <c r="I351">
        <f t="shared" si="52"/>
        <v>177</v>
      </c>
      <c r="J351">
        <f t="shared" si="53"/>
        <v>160</v>
      </c>
      <c r="K351">
        <f t="shared" si="54"/>
        <v>451</v>
      </c>
      <c r="M351">
        <v>274</v>
      </c>
      <c r="N351">
        <v>177</v>
      </c>
      <c r="O351">
        <v>160</v>
      </c>
      <c r="Q351" t="b">
        <f t="shared" si="55"/>
        <v>1</v>
      </c>
      <c r="R351" t="b">
        <f t="shared" si="56"/>
        <v>1</v>
      </c>
      <c r="S351" t="b">
        <f t="shared" si="57"/>
        <v>1</v>
      </c>
    </row>
    <row r="352" spans="1:19" x14ac:dyDescent="0.2">
      <c r="A352" s="106">
        <f>_xlfn.XLOOKUP(B352,pratos!B:B,pratos!A:A,"não")</f>
        <v>275</v>
      </c>
      <c r="B352" s="52" t="s">
        <v>297</v>
      </c>
      <c r="C352" s="105">
        <f>_xlfn.XLOOKUP(D352,ingredientes!B:B,ingredientes!A:A,"não")</f>
        <v>177</v>
      </c>
      <c r="D352" s="3" t="s">
        <v>6</v>
      </c>
      <c r="E352" s="5">
        <v>160</v>
      </c>
      <c r="H352">
        <f t="shared" si="51"/>
        <v>275</v>
      </c>
      <c r="I352">
        <f t="shared" si="52"/>
        <v>177</v>
      </c>
      <c r="J352">
        <f t="shared" si="53"/>
        <v>160</v>
      </c>
      <c r="K352">
        <f t="shared" si="54"/>
        <v>452</v>
      </c>
      <c r="M352">
        <v>275</v>
      </c>
      <c r="N352">
        <v>177</v>
      </c>
      <c r="O352">
        <v>160</v>
      </c>
      <c r="Q352" t="b">
        <f t="shared" si="55"/>
        <v>1</v>
      </c>
      <c r="R352" t="b">
        <f t="shared" si="56"/>
        <v>1</v>
      </c>
      <c r="S352" t="b">
        <f t="shared" si="57"/>
        <v>1</v>
      </c>
    </row>
    <row r="353" spans="1:19" x14ac:dyDescent="0.2">
      <c r="A353" s="106">
        <f>_xlfn.XLOOKUP(B353,pratos!B:B,pratos!A:A,"não")</f>
        <v>275</v>
      </c>
      <c r="B353" s="52" t="s">
        <v>297</v>
      </c>
      <c r="C353" s="105">
        <f>_xlfn.XLOOKUP(D353,ingredientes!B:B,ingredientes!A:A,"não")</f>
        <v>214</v>
      </c>
      <c r="D353" s="9" t="s">
        <v>294</v>
      </c>
      <c r="E353" s="10">
        <v>14</v>
      </c>
      <c r="H353">
        <f t="shared" si="51"/>
        <v>275</v>
      </c>
      <c r="I353">
        <f t="shared" si="52"/>
        <v>214</v>
      </c>
      <c r="J353">
        <f t="shared" si="53"/>
        <v>14</v>
      </c>
      <c r="K353">
        <f t="shared" si="54"/>
        <v>489</v>
      </c>
      <c r="M353">
        <v>275</v>
      </c>
      <c r="N353">
        <v>214</v>
      </c>
      <c r="O353">
        <v>14</v>
      </c>
      <c r="Q353" t="b">
        <f t="shared" si="55"/>
        <v>1</v>
      </c>
      <c r="R353" t="b">
        <f t="shared" si="56"/>
        <v>1</v>
      </c>
      <c r="S353" t="b">
        <f t="shared" si="57"/>
        <v>1</v>
      </c>
    </row>
    <row r="354" spans="1:19" x14ac:dyDescent="0.2">
      <c r="A354" s="106">
        <f>_xlfn.XLOOKUP(B354,pratos!B:B,pratos!A:A,"não")</f>
        <v>276</v>
      </c>
      <c r="B354" s="52" t="s">
        <v>167</v>
      </c>
      <c r="C354" s="105">
        <f>_xlfn.XLOOKUP(D354,ingredientes!B:B,ingredientes!A:A,"não")</f>
        <v>17</v>
      </c>
      <c r="D354" s="9" t="s">
        <v>7</v>
      </c>
      <c r="E354" s="10">
        <v>15</v>
      </c>
      <c r="H354">
        <f t="shared" si="51"/>
        <v>276</v>
      </c>
      <c r="I354">
        <f t="shared" si="52"/>
        <v>17</v>
      </c>
      <c r="J354">
        <f t="shared" si="53"/>
        <v>15</v>
      </c>
      <c r="K354">
        <f t="shared" si="54"/>
        <v>293</v>
      </c>
      <c r="M354">
        <v>276</v>
      </c>
      <c r="N354">
        <v>17</v>
      </c>
      <c r="O354">
        <v>15</v>
      </c>
      <c r="Q354" t="b">
        <f t="shared" si="55"/>
        <v>1</v>
      </c>
      <c r="R354" t="b">
        <f t="shared" si="56"/>
        <v>1</v>
      </c>
      <c r="S354" t="b">
        <f t="shared" si="57"/>
        <v>1</v>
      </c>
    </row>
    <row r="355" spans="1:19" x14ac:dyDescent="0.2">
      <c r="A355" s="106">
        <f>_xlfn.XLOOKUP(B355,pratos!B:B,pratos!A:A,"não")</f>
        <v>276</v>
      </c>
      <c r="B355" s="132" t="s">
        <v>167</v>
      </c>
      <c r="C355" s="105">
        <f>_xlfn.XLOOKUP(D355,ingredientes!B:B,ingredientes!A:A,"não")</f>
        <v>39</v>
      </c>
      <c r="D355" s="76" t="s">
        <v>132</v>
      </c>
      <c r="E355" s="68">
        <v>8</v>
      </c>
      <c r="H355">
        <f t="shared" si="51"/>
        <v>276</v>
      </c>
      <c r="I355">
        <f t="shared" si="52"/>
        <v>39</v>
      </c>
      <c r="J355">
        <f t="shared" si="53"/>
        <v>8</v>
      </c>
      <c r="K355">
        <f t="shared" si="54"/>
        <v>315</v>
      </c>
      <c r="M355">
        <v>276</v>
      </c>
      <c r="N355">
        <v>39</v>
      </c>
      <c r="O355">
        <v>8</v>
      </c>
      <c r="Q355" t="b">
        <f t="shared" si="55"/>
        <v>1</v>
      </c>
      <c r="R355" t="b">
        <f t="shared" si="56"/>
        <v>1</v>
      </c>
      <c r="S355" t="b">
        <f t="shared" si="57"/>
        <v>1</v>
      </c>
    </row>
    <row r="356" spans="1:19" x14ac:dyDescent="0.2">
      <c r="A356" s="106">
        <f>_xlfn.XLOOKUP(B356,pratos!B:B,pratos!A:A,"não")</f>
        <v>276</v>
      </c>
      <c r="B356" s="52" t="s">
        <v>167</v>
      </c>
      <c r="C356" s="105">
        <f>_xlfn.XLOOKUP(D356,ingredientes!B:B,ingredientes!A:A,"não")</f>
        <v>177</v>
      </c>
      <c r="D356" s="9" t="s">
        <v>6</v>
      </c>
      <c r="E356" s="5">
        <v>160</v>
      </c>
      <c r="H356">
        <f t="shared" si="51"/>
        <v>276</v>
      </c>
      <c r="I356">
        <f t="shared" si="52"/>
        <v>177</v>
      </c>
      <c r="J356">
        <f t="shared" si="53"/>
        <v>160</v>
      </c>
      <c r="K356">
        <f t="shared" si="54"/>
        <v>453</v>
      </c>
      <c r="M356">
        <v>276</v>
      </c>
      <c r="N356">
        <v>177</v>
      </c>
      <c r="O356">
        <v>160</v>
      </c>
      <c r="Q356" t="b">
        <f t="shared" si="55"/>
        <v>1</v>
      </c>
      <c r="R356" t="b">
        <f t="shared" si="56"/>
        <v>1</v>
      </c>
      <c r="S356" t="b">
        <f t="shared" si="57"/>
        <v>1</v>
      </c>
    </row>
    <row r="357" spans="1:19" x14ac:dyDescent="0.2">
      <c r="A357" s="106">
        <f>_xlfn.XLOOKUP(B357,pratos!B:B,pratos!A:A,"não")</f>
        <v>277</v>
      </c>
      <c r="B357" s="111" t="s">
        <v>290</v>
      </c>
      <c r="C357" s="105">
        <f>_xlfn.XLOOKUP(D357,ingredientes!B:B,ingredientes!A:A,"não")</f>
        <v>177</v>
      </c>
      <c r="D357" s="15" t="s">
        <v>6</v>
      </c>
      <c r="E357" s="57">
        <v>160</v>
      </c>
      <c r="H357">
        <f t="shared" si="51"/>
        <v>277</v>
      </c>
      <c r="I357">
        <f t="shared" si="52"/>
        <v>177</v>
      </c>
      <c r="J357">
        <f t="shared" si="53"/>
        <v>160</v>
      </c>
      <c r="K357">
        <f t="shared" si="54"/>
        <v>454</v>
      </c>
      <c r="M357">
        <v>277</v>
      </c>
      <c r="N357">
        <v>177</v>
      </c>
      <c r="O357">
        <v>160</v>
      </c>
      <c r="Q357" t="b">
        <f t="shared" si="55"/>
        <v>1</v>
      </c>
      <c r="R357" t="b">
        <f t="shared" si="56"/>
        <v>1</v>
      </c>
      <c r="S357" t="b">
        <f t="shared" si="57"/>
        <v>1</v>
      </c>
    </row>
    <row r="358" spans="1:19" x14ac:dyDescent="0.2">
      <c r="A358" s="106">
        <f>_xlfn.XLOOKUP(B358,pratos!B:B,pratos!A:A,"não")</f>
        <v>277</v>
      </c>
      <c r="B358" s="111" t="s">
        <v>290</v>
      </c>
      <c r="C358" s="105">
        <f>_xlfn.XLOOKUP(D358,ingredientes!B:B,ingredientes!A:A,"não")</f>
        <v>216</v>
      </c>
      <c r="D358" s="15" t="s">
        <v>291</v>
      </c>
      <c r="E358" s="5">
        <v>21</v>
      </c>
      <c r="H358">
        <f t="shared" si="51"/>
        <v>277</v>
      </c>
      <c r="I358">
        <f t="shared" si="52"/>
        <v>216</v>
      </c>
      <c r="J358">
        <f t="shared" si="53"/>
        <v>21</v>
      </c>
      <c r="K358">
        <f t="shared" si="54"/>
        <v>493</v>
      </c>
      <c r="M358">
        <v>277</v>
      </c>
      <c r="N358">
        <v>216</v>
      </c>
      <c r="O358">
        <v>21</v>
      </c>
      <c r="Q358" t="b">
        <f t="shared" si="55"/>
        <v>1</v>
      </c>
      <c r="R358" t="b">
        <f t="shared" si="56"/>
        <v>1</v>
      </c>
      <c r="S358" t="b">
        <f t="shared" si="57"/>
        <v>1</v>
      </c>
    </row>
    <row r="359" spans="1:19" x14ac:dyDescent="0.2">
      <c r="A359" s="106">
        <f>_xlfn.XLOOKUP(B359,pratos!B:B,pratos!A:A,"não")</f>
        <v>278</v>
      </c>
      <c r="B359" s="52" t="s">
        <v>154</v>
      </c>
      <c r="C359" s="105">
        <f>_xlfn.XLOOKUP(D359,ingredientes!B:B,ingredientes!A:A,"não")</f>
        <v>17</v>
      </c>
      <c r="D359" s="9" t="s">
        <v>7</v>
      </c>
      <c r="E359" s="10">
        <v>15</v>
      </c>
      <c r="H359">
        <f t="shared" si="51"/>
        <v>278</v>
      </c>
      <c r="I359">
        <f t="shared" si="52"/>
        <v>17</v>
      </c>
      <c r="J359">
        <f t="shared" si="53"/>
        <v>15</v>
      </c>
      <c r="K359">
        <f t="shared" si="54"/>
        <v>295</v>
      </c>
      <c r="M359">
        <v>278</v>
      </c>
      <c r="N359">
        <v>17</v>
      </c>
      <c r="O359">
        <v>15</v>
      </c>
      <c r="Q359" t="b">
        <f t="shared" si="55"/>
        <v>1</v>
      </c>
      <c r="R359" t="b">
        <f t="shared" si="56"/>
        <v>1</v>
      </c>
      <c r="S359" t="b">
        <f t="shared" si="57"/>
        <v>1</v>
      </c>
    </row>
    <row r="360" spans="1:19" x14ac:dyDescent="0.2">
      <c r="A360" s="106">
        <f>_xlfn.XLOOKUP(B360,pratos!B:B,pratos!A:A,"não")</f>
        <v>278</v>
      </c>
      <c r="B360" s="52" t="s">
        <v>154</v>
      </c>
      <c r="C360" s="105">
        <f>_xlfn.XLOOKUP(D360,ingredientes!B:B,ingredientes!A:A,"não")</f>
        <v>120</v>
      </c>
      <c r="D360" s="29" t="s">
        <v>155</v>
      </c>
      <c r="E360" s="10">
        <v>8</v>
      </c>
      <c r="H360">
        <f t="shared" si="51"/>
        <v>278</v>
      </c>
      <c r="I360">
        <f t="shared" si="52"/>
        <v>120</v>
      </c>
      <c r="J360">
        <f t="shared" si="53"/>
        <v>8</v>
      </c>
      <c r="K360">
        <f t="shared" si="54"/>
        <v>398</v>
      </c>
      <c r="M360">
        <v>278</v>
      </c>
      <c r="N360">
        <v>120</v>
      </c>
      <c r="O360">
        <v>8</v>
      </c>
      <c r="Q360" t="b">
        <f t="shared" si="55"/>
        <v>1</v>
      </c>
      <c r="R360" t="b">
        <f t="shared" si="56"/>
        <v>1</v>
      </c>
      <c r="S360" t="b">
        <f t="shared" si="57"/>
        <v>1</v>
      </c>
    </row>
    <row r="361" spans="1:19" x14ac:dyDescent="0.2">
      <c r="A361" s="106">
        <f>_xlfn.XLOOKUP(B361,pratos!B:B,pratos!A:A,"não")</f>
        <v>278</v>
      </c>
      <c r="B361" s="52" t="s">
        <v>154</v>
      </c>
      <c r="C361" s="105">
        <f>_xlfn.XLOOKUP(D361,ingredientes!B:B,ingredientes!A:A,"não")</f>
        <v>177</v>
      </c>
      <c r="D361" s="9" t="s">
        <v>6</v>
      </c>
      <c r="E361" s="5">
        <v>160</v>
      </c>
      <c r="H361">
        <f t="shared" si="51"/>
        <v>278</v>
      </c>
      <c r="I361">
        <f t="shared" si="52"/>
        <v>177</v>
      </c>
      <c r="J361">
        <f t="shared" si="53"/>
        <v>160</v>
      </c>
      <c r="K361">
        <f t="shared" si="54"/>
        <v>455</v>
      </c>
      <c r="M361">
        <v>278</v>
      </c>
      <c r="N361">
        <v>177</v>
      </c>
      <c r="O361">
        <v>160</v>
      </c>
      <c r="Q361" t="b">
        <f t="shared" si="55"/>
        <v>1</v>
      </c>
      <c r="R361" t="b">
        <f t="shared" si="56"/>
        <v>1</v>
      </c>
      <c r="S361" t="b">
        <f t="shared" si="57"/>
        <v>1</v>
      </c>
    </row>
    <row r="362" spans="1:19" x14ac:dyDescent="0.2">
      <c r="A362" s="106">
        <f>_xlfn.XLOOKUP(B362,pratos!B:B,pratos!A:A,"não")</f>
        <v>278</v>
      </c>
      <c r="B362" s="52" t="s">
        <v>154</v>
      </c>
      <c r="C362" s="105">
        <f>_xlfn.XLOOKUP(D362,ingredientes!B:B,ingredientes!A:A,"não")</f>
        <v>179</v>
      </c>
      <c r="D362" s="9" t="s">
        <v>62</v>
      </c>
      <c r="E362" s="5">
        <v>20</v>
      </c>
      <c r="H362">
        <f t="shared" si="51"/>
        <v>278</v>
      </c>
      <c r="I362">
        <f t="shared" si="52"/>
        <v>179</v>
      </c>
      <c r="J362">
        <f t="shared" si="53"/>
        <v>20</v>
      </c>
      <c r="K362">
        <f t="shared" si="54"/>
        <v>457</v>
      </c>
      <c r="M362">
        <v>278</v>
      </c>
      <c r="N362">
        <v>179</v>
      </c>
      <c r="O362">
        <v>20</v>
      </c>
      <c r="Q362" t="b">
        <f t="shared" si="55"/>
        <v>1</v>
      </c>
      <c r="R362" t="b">
        <f t="shared" si="56"/>
        <v>1</v>
      </c>
      <c r="S362" t="b">
        <f t="shared" si="57"/>
        <v>1</v>
      </c>
    </row>
    <row r="363" spans="1:19" x14ac:dyDescent="0.2">
      <c r="A363" s="106">
        <f>_xlfn.XLOOKUP(B363,pratos!B:B,pratos!A:A,"não")</f>
        <v>279</v>
      </c>
      <c r="B363" s="116" t="s">
        <v>538</v>
      </c>
      <c r="C363" s="105">
        <f>_xlfn.XLOOKUP(D363,ingredientes!B:B,ingredientes!A:A,"não")</f>
        <v>17</v>
      </c>
      <c r="D363" s="98" t="s">
        <v>7</v>
      </c>
      <c r="E363" s="87">
        <v>14</v>
      </c>
      <c r="H363">
        <f t="shared" si="51"/>
        <v>279</v>
      </c>
      <c r="I363">
        <f t="shared" si="52"/>
        <v>17</v>
      </c>
      <c r="J363">
        <f t="shared" si="53"/>
        <v>14</v>
      </c>
      <c r="K363">
        <f t="shared" si="54"/>
        <v>296</v>
      </c>
      <c r="M363">
        <v>279</v>
      </c>
      <c r="N363">
        <v>17</v>
      </c>
      <c r="O363">
        <v>14</v>
      </c>
      <c r="Q363" t="b">
        <f t="shared" si="55"/>
        <v>1</v>
      </c>
      <c r="R363" t="b">
        <f t="shared" si="56"/>
        <v>1</v>
      </c>
      <c r="S363" t="b">
        <f t="shared" si="57"/>
        <v>1</v>
      </c>
    </row>
    <row r="364" spans="1:19" x14ac:dyDescent="0.2">
      <c r="A364" s="106">
        <f>_xlfn.XLOOKUP(B364,pratos!B:B,pratos!A:A,"não")</f>
        <v>279</v>
      </c>
      <c r="B364" s="116" t="s">
        <v>538</v>
      </c>
      <c r="C364" s="105">
        <f>_xlfn.XLOOKUP(D364,ingredientes!B:B,ingredientes!A:A,"não")</f>
        <v>121</v>
      </c>
      <c r="D364" s="61" t="s">
        <v>334</v>
      </c>
      <c r="E364" s="17">
        <v>8</v>
      </c>
      <c r="H364">
        <f t="shared" si="51"/>
        <v>279</v>
      </c>
      <c r="I364">
        <f t="shared" si="52"/>
        <v>121</v>
      </c>
      <c r="J364">
        <f t="shared" si="53"/>
        <v>8</v>
      </c>
      <c r="K364">
        <f t="shared" si="54"/>
        <v>400</v>
      </c>
      <c r="M364">
        <v>279</v>
      </c>
      <c r="N364">
        <v>121</v>
      </c>
      <c r="O364">
        <v>8</v>
      </c>
      <c r="Q364" t="b">
        <f t="shared" si="55"/>
        <v>1</v>
      </c>
      <c r="R364" t="b">
        <f t="shared" si="56"/>
        <v>1</v>
      </c>
      <c r="S364" t="b">
        <f t="shared" si="57"/>
        <v>1</v>
      </c>
    </row>
    <row r="365" spans="1:19" x14ac:dyDescent="0.2">
      <c r="A365" s="106">
        <f>_xlfn.XLOOKUP(B365,pratos!B:B,pratos!A:A,"não")</f>
        <v>279</v>
      </c>
      <c r="B365" s="116" t="s">
        <v>538</v>
      </c>
      <c r="C365" s="105">
        <f>_xlfn.XLOOKUP(D365,ingredientes!B:B,ingredientes!A:A,"não")</f>
        <v>177</v>
      </c>
      <c r="D365" s="98" t="s">
        <v>6</v>
      </c>
      <c r="E365" s="63">
        <v>160</v>
      </c>
      <c r="H365">
        <f t="shared" si="51"/>
        <v>279</v>
      </c>
      <c r="I365">
        <f t="shared" si="52"/>
        <v>177</v>
      </c>
      <c r="J365">
        <f t="shared" si="53"/>
        <v>160</v>
      </c>
      <c r="K365">
        <f t="shared" si="54"/>
        <v>456</v>
      </c>
      <c r="M365">
        <v>279</v>
      </c>
      <c r="N365">
        <v>177</v>
      </c>
      <c r="O365">
        <v>160</v>
      </c>
      <c r="Q365" t="b">
        <f t="shared" si="55"/>
        <v>1</v>
      </c>
      <c r="R365" t="b">
        <f t="shared" si="56"/>
        <v>1</v>
      </c>
      <c r="S365" t="b">
        <f t="shared" si="57"/>
        <v>1</v>
      </c>
    </row>
    <row r="366" spans="1:19" x14ac:dyDescent="0.2">
      <c r="A366" s="106">
        <f>_xlfn.XLOOKUP(B366,pratos!B:B,pratos!A:A,"não")</f>
        <v>280</v>
      </c>
      <c r="B366" s="111" t="s">
        <v>333</v>
      </c>
      <c r="C366" s="105">
        <f>_xlfn.XLOOKUP(D366,ingredientes!B:B,ingredientes!A:A,"não")</f>
        <v>16</v>
      </c>
      <c r="D366" s="39" t="s">
        <v>335</v>
      </c>
      <c r="E366" s="10">
        <v>5</v>
      </c>
      <c r="H366">
        <f t="shared" si="51"/>
        <v>280</v>
      </c>
      <c r="I366">
        <f t="shared" si="52"/>
        <v>16</v>
      </c>
      <c r="J366">
        <f t="shared" si="53"/>
        <v>5</v>
      </c>
      <c r="K366">
        <f t="shared" si="54"/>
        <v>296</v>
      </c>
      <c r="M366">
        <v>280</v>
      </c>
      <c r="N366">
        <v>16</v>
      </c>
      <c r="O366">
        <v>5</v>
      </c>
      <c r="Q366" t="b">
        <f t="shared" si="55"/>
        <v>1</v>
      </c>
      <c r="R366" t="b">
        <f t="shared" si="56"/>
        <v>1</v>
      </c>
      <c r="S366" t="b">
        <f t="shared" si="57"/>
        <v>1</v>
      </c>
    </row>
    <row r="367" spans="1:19" x14ac:dyDescent="0.2">
      <c r="A367" s="106">
        <f>_xlfn.XLOOKUP(B367,pratos!B:B,pratos!A:A,"não")</f>
        <v>280</v>
      </c>
      <c r="B367" s="111" t="s">
        <v>333</v>
      </c>
      <c r="C367" s="105">
        <f>_xlfn.XLOOKUP(D367,ingredientes!B:B,ingredientes!A:A,"não")</f>
        <v>121</v>
      </c>
      <c r="D367" s="12" t="s">
        <v>334</v>
      </c>
      <c r="E367" s="10">
        <v>8</v>
      </c>
      <c r="H367">
        <f t="shared" si="51"/>
        <v>280</v>
      </c>
      <c r="I367">
        <f t="shared" si="52"/>
        <v>121</v>
      </c>
      <c r="J367">
        <f t="shared" si="53"/>
        <v>8</v>
      </c>
      <c r="K367">
        <f t="shared" si="54"/>
        <v>401</v>
      </c>
      <c r="M367">
        <v>280</v>
      </c>
      <c r="N367">
        <v>121</v>
      </c>
      <c r="O367">
        <v>8</v>
      </c>
      <c r="Q367" t="b">
        <f t="shared" si="55"/>
        <v>1</v>
      </c>
      <c r="R367" t="b">
        <f t="shared" si="56"/>
        <v>1</v>
      </c>
      <c r="S367" t="b">
        <f t="shared" si="57"/>
        <v>1</v>
      </c>
    </row>
    <row r="368" spans="1:19" x14ac:dyDescent="0.2">
      <c r="A368" s="106">
        <f>_xlfn.XLOOKUP(B368,pratos!B:B,pratos!A:A,"não")</f>
        <v>280</v>
      </c>
      <c r="B368" s="111" t="s">
        <v>333</v>
      </c>
      <c r="C368" s="105">
        <f>_xlfn.XLOOKUP(D368,ingredientes!B:B,ingredientes!A:A,"não")</f>
        <v>177</v>
      </c>
      <c r="D368" s="42" t="s">
        <v>6</v>
      </c>
      <c r="E368" s="5">
        <v>160</v>
      </c>
      <c r="H368">
        <f t="shared" si="51"/>
        <v>280</v>
      </c>
      <c r="I368">
        <f t="shared" si="52"/>
        <v>177</v>
      </c>
      <c r="J368">
        <f t="shared" si="53"/>
        <v>160</v>
      </c>
      <c r="K368">
        <f t="shared" si="54"/>
        <v>457</v>
      </c>
      <c r="M368">
        <v>280</v>
      </c>
      <c r="N368">
        <v>177</v>
      </c>
      <c r="O368">
        <v>160</v>
      </c>
      <c r="Q368" t="b">
        <f t="shared" si="55"/>
        <v>1</v>
      </c>
      <c r="R368" t="b">
        <f t="shared" si="56"/>
        <v>1</v>
      </c>
      <c r="S368" t="b">
        <f t="shared" si="57"/>
        <v>1</v>
      </c>
    </row>
    <row r="369" spans="1:19" x14ac:dyDescent="0.2">
      <c r="A369" s="106">
        <f>_xlfn.XLOOKUP(B369,pratos!B:B,pratos!A:A,"não")</f>
        <v>281</v>
      </c>
      <c r="B369" s="132" t="s">
        <v>431</v>
      </c>
      <c r="C369" s="105">
        <f>_xlfn.XLOOKUP(D369,ingredientes!B:B,ingredientes!A:A,"não")</f>
        <v>17</v>
      </c>
      <c r="D369" s="21" t="s">
        <v>7</v>
      </c>
      <c r="E369" s="68">
        <v>15</v>
      </c>
      <c r="H369">
        <f t="shared" si="51"/>
        <v>281</v>
      </c>
      <c r="I369">
        <f t="shared" si="52"/>
        <v>17</v>
      </c>
      <c r="J369">
        <f t="shared" si="53"/>
        <v>15</v>
      </c>
      <c r="K369">
        <f t="shared" si="54"/>
        <v>298</v>
      </c>
      <c r="M369">
        <v>281</v>
      </c>
      <c r="N369">
        <v>17</v>
      </c>
      <c r="O369">
        <v>15</v>
      </c>
      <c r="Q369" t="b">
        <f t="shared" si="55"/>
        <v>1</v>
      </c>
      <c r="R369" t="b">
        <f t="shared" si="56"/>
        <v>1</v>
      </c>
      <c r="S369" t="b">
        <f t="shared" si="57"/>
        <v>1</v>
      </c>
    </row>
    <row r="370" spans="1:19" x14ac:dyDescent="0.2">
      <c r="A370" s="106">
        <f>_xlfn.XLOOKUP(B370,pratos!B:B,pratos!A:A,"não")</f>
        <v>281</v>
      </c>
      <c r="B370" s="132" t="s">
        <v>431</v>
      </c>
      <c r="C370" s="105">
        <f>_xlfn.XLOOKUP(D370,ingredientes!B:B,ingredientes!A:A,"não")</f>
        <v>121</v>
      </c>
      <c r="D370" s="12" t="s">
        <v>334</v>
      </c>
      <c r="E370" s="10">
        <v>8</v>
      </c>
      <c r="H370">
        <f t="shared" si="51"/>
        <v>281</v>
      </c>
      <c r="I370">
        <f t="shared" si="52"/>
        <v>121</v>
      </c>
      <c r="J370">
        <f t="shared" si="53"/>
        <v>8</v>
      </c>
      <c r="K370">
        <f t="shared" si="54"/>
        <v>402</v>
      </c>
      <c r="M370">
        <v>281</v>
      </c>
      <c r="N370">
        <v>121</v>
      </c>
      <c r="O370">
        <v>8</v>
      </c>
      <c r="Q370" t="b">
        <f t="shared" si="55"/>
        <v>1</v>
      </c>
      <c r="R370" t="b">
        <f t="shared" si="56"/>
        <v>1</v>
      </c>
      <c r="S370" t="b">
        <f t="shared" si="57"/>
        <v>1</v>
      </c>
    </row>
    <row r="371" spans="1:19" x14ac:dyDescent="0.2">
      <c r="A371" s="106">
        <f>_xlfn.XLOOKUP(B371,pratos!B:B,pratos!A:A,"não")</f>
        <v>281</v>
      </c>
      <c r="B371" s="128" t="s">
        <v>431</v>
      </c>
      <c r="C371" s="105">
        <f>_xlfn.XLOOKUP(D371,ingredientes!B:B,ingredientes!A:A,"não")</f>
        <v>177</v>
      </c>
      <c r="D371" s="73" t="s">
        <v>6</v>
      </c>
      <c r="E371" s="10">
        <v>160</v>
      </c>
      <c r="H371">
        <f t="shared" si="51"/>
        <v>281</v>
      </c>
      <c r="I371">
        <f t="shared" ref="I371:I415" si="58">C371</f>
        <v>177</v>
      </c>
      <c r="J371">
        <f t="shared" ref="J371:J415" si="59">E371</f>
        <v>160</v>
      </c>
      <c r="K371">
        <f t="shared" si="54"/>
        <v>458</v>
      </c>
      <c r="M371">
        <v>281</v>
      </c>
      <c r="N371">
        <v>177</v>
      </c>
      <c r="O371">
        <v>160</v>
      </c>
      <c r="Q371" t="b">
        <f t="shared" si="55"/>
        <v>1</v>
      </c>
      <c r="R371" t="b">
        <f t="shared" si="56"/>
        <v>1</v>
      </c>
      <c r="S371" t="b">
        <f t="shared" si="57"/>
        <v>1</v>
      </c>
    </row>
    <row r="372" spans="1:19" x14ac:dyDescent="0.2">
      <c r="A372" s="106">
        <f>_xlfn.XLOOKUP(B372,pratos!B:B,pratos!A:A,"não")</f>
        <v>282</v>
      </c>
      <c r="B372" s="52" t="s">
        <v>127</v>
      </c>
      <c r="C372" s="105">
        <f>_xlfn.XLOOKUP(D372,ingredientes!B:B,ingredientes!A:A,"não")</f>
        <v>17</v>
      </c>
      <c r="D372" s="9" t="s">
        <v>7</v>
      </c>
      <c r="E372" s="10">
        <v>10</v>
      </c>
      <c r="H372">
        <f t="shared" si="51"/>
        <v>282</v>
      </c>
      <c r="I372">
        <f t="shared" si="58"/>
        <v>17</v>
      </c>
      <c r="J372">
        <f t="shared" si="59"/>
        <v>10</v>
      </c>
      <c r="K372">
        <f t="shared" si="54"/>
        <v>299</v>
      </c>
      <c r="M372">
        <v>282</v>
      </c>
      <c r="N372">
        <v>17</v>
      </c>
      <c r="O372">
        <v>10</v>
      </c>
      <c r="Q372" t="b">
        <f t="shared" si="55"/>
        <v>1</v>
      </c>
      <c r="R372" t="b">
        <f t="shared" si="56"/>
        <v>1</v>
      </c>
      <c r="S372" t="b">
        <f t="shared" si="57"/>
        <v>1</v>
      </c>
    </row>
    <row r="373" spans="1:19" x14ac:dyDescent="0.2">
      <c r="A373" s="106">
        <f>_xlfn.XLOOKUP(B373,pratos!B:B,pratos!A:A,"não")</f>
        <v>282</v>
      </c>
      <c r="B373" s="52" t="s">
        <v>127</v>
      </c>
      <c r="C373" s="105">
        <f>_xlfn.XLOOKUP(D373,ingredientes!B:B,ingredientes!A:A,"não")</f>
        <v>138</v>
      </c>
      <c r="D373" s="9" t="s">
        <v>64</v>
      </c>
      <c r="E373" s="10">
        <v>14</v>
      </c>
      <c r="H373">
        <f t="shared" ref="H373:H415" si="60">A373</f>
        <v>282</v>
      </c>
      <c r="I373">
        <f t="shared" si="58"/>
        <v>138</v>
      </c>
      <c r="J373">
        <f t="shared" si="59"/>
        <v>14</v>
      </c>
      <c r="K373">
        <f t="shared" si="54"/>
        <v>420</v>
      </c>
      <c r="M373">
        <v>282</v>
      </c>
      <c r="N373">
        <v>138</v>
      </c>
      <c r="O373">
        <v>14</v>
      </c>
      <c r="Q373" t="b">
        <f t="shared" si="55"/>
        <v>1</v>
      </c>
      <c r="R373" t="b">
        <f t="shared" si="56"/>
        <v>1</v>
      </c>
      <c r="S373" t="b">
        <f t="shared" si="57"/>
        <v>1</v>
      </c>
    </row>
    <row r="374" spans="1:19" x14ac:dyDescent="0.2">
      <c r="A374" s="106">
        <f>_xlfn.XLOOKUP(B374,pratos!B:B,pratos!A:A,"não")</f>
        <v>282</v>
      </c>
      <c r="B374" s="52" t="s">
        <v>127</v>
      </c>
      <c r="C374" s="105">
        <f>_xlfn.XLOOKUP(D374,ingredientes!B:B,ingredientes!A:A,"não")</f>
        <v>177</v>
      </c>
      <c r="D374" s="138" t="s">
        <v>6</v>
      </c>
      <c r="E374" s="5">
        <v>160</v>
      </c>
      <c r="H374">
        <f t="shared" si="60"/>
        <v>282</v>
      </c>
      <c r="I374">
        <f t="shared" si="58"/>
        <v>177</v>
      </c>
      <c r="J374">
        <f t="shared" si="59"/>
        <v>160</v>
      </c>
      <c r="K374">
        <f t="shared" ref="K374:K416" si="61">H374+I374</f>
        <v>459</v>
      </c>
      <c r="M374">
        <v>282</v>
      </c>
      <c r="N374">
        <v>177</v>
      </c>
      <c r="O374">
        <v>160</v>
      </c>
      <c r="Q374" t="b">
        <f t="shared" si="55"/>
        <v>1</v>
      </c>
      <c r="R374" t="b">
        <f t="shared" si="56"/>
        <v>1</v>
      </c>
      <c r="S374" t="b">
        <f t="shared" si="57"/>
        <v>1</v>
      </c>
    </row>
    <row r="375" spans="1:19" x14ac:dyDescent="0.2">
      <c r="A375" s="106">
        <f>_xlfn.XLOOKUP(B375,pratos!B:B,pratos!A:A,"não")</f>
        <v>283</v>
      </c>
      <c r="B375" s="108" t="s">
        <v>221</v>
      </c>
      <c r="C375" s="105">
        <f>_xlfn.XLOOKUP(D375,ingredientes!B:B,ingredientes!A:A,"não")</f>
        <v>17</v>
      </c>
      <c r="D375" s="146" t="s">
        <v>7</v>
      </c>
      <c r="E375" s="10">
        <v>10</v>
      </c>
      <c r="H375">
        <f t="shared" si="60"/>
        <v>283</v>
      </c>
      <c r="I375">
        <f t="shared" si="58"/>
        <v>17</v>
      </c>
      <c r="J375">
        <f t="shared" si="59"/>
        <v>10</v>
      </c>
      <c r="K375">
        <f t="shared" si="61"/>
        <v>300</v>
      </c>
      <c r="M375">
        <v>283</v>
      </c>
      <c r="N375">
        <v>17</v>
      </c>
      <c r="O375">
        <v>10</v>
      </c>
      <c r="Q375" t="b">
        <f t="shared" si="55"/>
        <v>1</v>
      </c>
      <c r="R375" t="b">
        <f t="shared" si="56"/>
        <v>1</v>
      </c>
      <c r="S375" t="b">
        <f t="shared" si="57"/>
        <v>1</v>
      </c>
    </row>
    <row r="376" spans="1:19" x14ac:dyDescent="0.2">
      <c r="A376" s="106">
        <f>_xlfn.XLOOKUP(B376,pratos!B:B,pratos!A:A,"não")</f>
        <v>283</v>
      </c>
      <c r="B376" s="52" t="s">
        <v>221</v>
      </c>
      <c r="C376" s="105">
        <f>_xlfn.XLOOKUP(D376,ingredientes!B:B,ingredientes!A:A,"não")</f>
        <v>153</v>
      </c>
      <c r="D376" s="138" t="s">
        <v>584</v>
      </c>
      <c r="E376" s="10">
        <v>14</v>
      </c>
      <c r="H376">
        <f t="shared" si="60"/>
        <v>283</v>
      </c>
      <c r="I376">
        <f t="shared" si="58"/>
        <v>153</v>
      </c>
      <c r="J376">
        <f t="shared" si="59"/>
        <v>14</v>
      </c>
      <c r="K376">
        <f t="shared" si="61"/>
        <v>436</v>
      </c>
      <c r="M376">
        <v>283</v>
      </c>
      <c r="N376">
        <v>153</v>
      </c>
      <c r="O376">
        <v>14</v>
      </c>
      <c r="Q376" t="b">
        <f t="shared" si="55"/>
        <v>1</v>
      </c>
      <c r="R376" t="b">
        <f t="shared" si="56"/>
        <v>1</v>
      </c>
      <c r="S376" t="b">
        <f t="shared" si="57"/>
        <v>1</v>
      </c>
    </row>
    <row r="377" spans="1:19" x14ac:dyDescent="0.2">
      <c r="A377" s="106">
        <f>_xlfn.XLOOKUP(B377,pratos!B:B,pratos!A:A,"não")</f>
        <v>283</v>
      </c>
      <c r="B377" s="52" t="s">
        <v>221</v>
      </c>
      <c r="C377" s="105">
        <f>_xlfn.XLOOKUP(D377,ingredientes!B:B,ingredientes!A:A,"não")</f>
        <v>177</v>
      </c>
      <c r="D377" s="172" t="s">
        <v>6</v>
      </c>
      <c r="E377" s="5">
        <v>160</v>
      </c>
      <c r="H377">
        <f t="shared" si="60"/>
        <v>283</v>
      </c>
      <c r="I377">
        <f t="shared" si="58"/>
        <v>177</v>
      </c>
      <c r="J377">
        <f t="shared" si="59"/>
        <v>160</v>
      </c>
      <c r="K377">
        <f t="shared" si="61"/>
        <v>460</v>
      </c>
      <c r="M377">
        <v>283</v>
      </c>
      <c r="N377">
        <v>177</v>
      </c>
      <c r="O377">
        <v>160</v>
      </c>
      <c r="Q377" t="b">
        <f t="shared" si="55"/>
        <v>1</v>
      </c>
      <c r="R377" t="b">
        <f t="shared" si="56"/>
        <v>1</v>
      </c>
      <c r="S377" t="b">
        <f t="shared" si="57"/>
        <v>1</v>
      </c>
    </row>
    <row r="378" spans="1:19" x14ac:dyDescent="0.2">
      <c r="A378" s="106">
        <f>_xlfn.XLOOKUP(B378,pratos!B:B,pratos!A:A,"não")</f>
        <v>284</v>
      </c>
      <c r="B378" s="52" t="s">
        <v>293</v>
      </c>
      <c r="C378" s="105">
        <f>_xlfn.XLOOKUP(D378,ingredientes!B:B,ingredientes!A:A,"não")</f>
        <v>177</v>
      </c>
      <c r="D378" s="4" t="s">
        <v>6</v>
      </c>
      <c r="E378" s="5">
        <v>160</v>
      </c>
      <c r="H378">
        <f t="shared" si="60"/>
        <v>284</v>
      </c>
      <c r="I378">
        <f t="shared" si="58"/>
        <v>177</v>
      </c>
      <c r="J378">
        <f t="shared" si="59"/>
        <v>160</v>
      </c>
      <c r="K378">
        <f t="shared" si="61"/>
        <v>461</v>
      </c>
      <c r="M378">
        <v>284</v>
      </c>
      <c r="N378">
        <v>177</v>
      </c>
      <c r="O378">
        <v>160</v>
      </c>
      <c r="Q378" t="b">
        <f t="shared" si="55"/>
        <v>1</v>
      </c>
      <c r="R378" t="b">
        <f t="shared" si="56"/>
        <v>1</v>
      </c>
      <c r="S378" t="b">
        <f t="shared" si="57"/>
        <v>1</v>
      </c>
    </row>
    <row r="379" spans="1:19" x14ac:dyDescent="0.2">
      <c r="A379" s="106">
        <f>_xlfn.XLOOKUP(B379,pratos!B:B,pratos!A:A,"não")</f>
        <v>284</v>
      </c>
      <c r="B379" s="52" t="s">
        <v>293</v>
      </c>
      <c r="C379" s="105">
        <f>_xlfn.XLOOKUP(D379,ingredientes!B:B,ingredientes!A:A,"não")</f>
        <v>214</v>
      </c>
      <c r="D379" s="9" t="s">
        <v>294</v>
      </c>
      <c r="E379" s="10">
        <v>14</v>
      </c>
      <c r="H379">
        <f t="shared" si="60"/>
        <v>284</v>
      </c>
      <c r="I379">
        <f t="shared" si="58"/>
        <v>214</v>
      </c>
      <c r="J379">
        <f t="shared" si="59"/>
        <v>14</v>
      </c>
      <c r="K379">
        <f t="shared" si="61"/>
        <v>498</v>
      </c>
      <c r="M379">
        <v>284</v>
      </c>
      <c r="N379">
        <v>214</v>
      </c>
      <c r="O379">
        <v>14</v>
      </c>
      <c r="Q379" t="b">
        <f t="shared" si="55"/>
        <v>1</v>
      </c>
      <c r="R379" t="b">
        <f t="shared" si="56"/>
        <v>1</v>
      </c>
      <c r="S379" t="b">
        <f t="shared" si="57"/>
        <v>1</v>
      </c>
    </row>
    <row r="380" spans="1:19" x14ac:dyDescent="0.2">
      <c r="A380" s="106">
        <f>_xlfn.XLOOKUP(B380,pratos!B:B,pratos!A:A,"não")</f>
        <v>285</v>
      </c>
      <c r="B380" s="52" t="s">
        <v>123</v>
      </c>
      <c r="C380" s="105">
        <f>_xlfn.XLOOKUP(D380,ingredientes!B:B,ingredientes!A:A,"não")</f>
        <v>17</v>
      </c>
      <c r="D380" s="138" t="s">
        <v>7</v>
      </c>
      <c r="E380" s="17">
        <v>10</v>
      </c>
      <c r="H380">
        <f t="shared" si="60"/>
        <v>285</v>
      </c>
      <c r="I380">
        <f t="shared" si="58"/>
        <v>17</v>
      </c>
      <c r="J380">
        <f t="shared" si="59"/>
        <v>10</v>
      </c>
      <c r="K380">
        <f t="shared" si="61"/>
        <v>302</v>
      </c>
      <c r="M380">
        <v>285</v>
      </c>
      <c r="N380">
        <v>17</v>
      </c>
      <c r="O380">
        <v>10</v>
      </c>
      <c r="Q380" t="b">
        <f t="shared" si="55"/>
        <v>1</v>
      </c>
      <c r="R380" t="b">
        <f t="shared" si="56"/>
        <v>1</v>
      </c>
      <c r="S380" t="b">
        <f t="shared" si="57"/>
        <v>1</v>
      </c>
    </row>
    <row r="381" spans="1:19" x14ac:dyDescent="0.2">
      <c r="A381" s="106">
        <f>_xlfn.XLOOKUP(B381,pratos!B:B,pratos!A:A,"não")</f>
        <v>285</v>
      </c>
      <c r="B381" s="52" t="s">
        <v>123</v>
      </c>
      <c r="C381" s="105">
        <f>_xlfn.XLOOKUP(D381,ingredientes!B:B,ingredientes!A:A,"não")</f>
        <v>177</v>
      </c>
      <c r="D381" s="138" t="s">
        <v>6</v>
      </c>
      <c r="E381" s="26">
        <v>160</v>
      </c>
      <c r="H381">
        <f t="shared" si="60"/>
        <v>285</v>
      </c>
      <c r="I381">
        <f t="shared" si="58"/>
        <v>177</v>
      </c>
      <c r="J381">
        <f t="shared" si="59"/>
        <v>160</v>
      </c>
      <c r="K381">
        <f t="shared" si="61"/>
        <v>462</v>
      </c>
      <c r="M381">
        <v>285</v>
      </c>
      <c r="N381">
        <v>177</v>
      </c>
      <c r="O381">
        <v>160</v>
      </c>
      <c r="Q381" t="b">
        <f t="shared" si="55"/>
        <v>1</v>
      </c>
      <c r="R381" t="b">
        <f t="shared" si="56"/>
        <v>1</v>
      </c>
      <c r="S381" t="b">
        <f t="shared" si="57"/>
        <v>1</v>
      </c>
    </row>
    <row r="382" spans="1:19" x14ac:dyDescent="0.2">
      <c r="A382" s="106">
        <f>_xlfn.XLOOKUP(B382,pratos!B:B,pratos!A:A,"não")</f>
        <v>285</v>
      </c>
      <c r="B382" s="52" t="s">
        <v>123</v>
      </c>
      <c r="C382" s="105">
        <f>_xlfn.XLOOKUP(D382,ingredientes!B:B,ingredientes!A:A,"não")</f>
        <v>215</v>
      </c>
      <c r="D382" s="138" t="s">
        <v>124</v>
      </c>
      <c r="E382" s="17">
        <v>14</v>
      </c>
      <c r="H382">
        <f t="shared" si="60"/>
        <v>285</v>
      </c>
      <c r="I382">
        <f t="shared" si="58"/>
        <v>215</v>
      </c>
      <c r="J382">
        <f t="shared" si="59"/>
        <v>14</v>
      </c>
      <c r="K382">
        <f t="shared" si="61"/>
        <v>500</v>
      </c>
      <c r="M382">
        <v>285</v>
      </c>
      <c r="N382">
        <v>215</v>
      </c>
      <c r="O382">
        <v>14</v>
      </c>
      <c r="Q382" t="b">
        <f t="shared" si="55"/>
        <v>1</v>
      </c>
      <c r="R382" t="b">
        <f t="shared" si="56"/>
        <v>1</v>
      </c>
      <c r="S382" t="b">
        <f t="shared" si="57"/>
        <v>1</v>
      </c>
    </row>
    <row r="383" spans="1:19" x14ac:dyDescent="0.2">
      <c r="A383" s="106">
        <f>_xlfn.XLOOKUP(B383,pratos!B:B,pratos!A:A,"não")</f>
        <v>286</v>
      </c>
      <c r="B383" s="111" t="s">
        <v>296</v>
      </c>
      <c r="C383" s="105">
        <f>_xlfn.XLOOKUP(D383,ingredientes!B:B,ingredientes!A:A,"não")</f>
        <v>177</v>
      </c>
      <c r="D383" s="142" t="s">
        <v>6</v>
      </c>
      <c r="E383" s="57">
        <v>160</v>
      </c>
      <c r="H383">
        <f t="shared" si="60"/>
        <v>286</v>
      </c>
      <c r="I383">
        <f t="shared" si="58"/>
        <v>177</v>
      </c>
      <c r="J383">
        <f t="shared" si="59"/>
        <v>160</v>
      </c>
      <c r="K383">
        <f t="shared" si="61"/>
        <v>463</v>
      </c>
      <c r="M383">
        <v>286</v>
      </c>
      <c r="N383">
        <v>177</v>
      </c>
      <c r="O383">
        <v>160</v>
      </c>
      <c r="Q383" t="b">
        <f t="shared" si="55"/>
        <v>1</v>
      </c>
      <c r="R383" t="b">
        <f t="shared" si="56"/>
        <v>1</v>
      </c>
      <c r="S383" t="b">
        <f t="shared" si="57"/>
        <v>1</v>
      </c>
    </row>
    <row r="384" spans="1:19" x14ac:dyDescent="0.2">
      <c r="A384" s="106">
        <f>_xlfn.XLOOKUP(B384,pratos!B:B,pratos!A:A,"não")</f>
        <v>286</v>
      </c>
      <c r="B384" s="111" t="s">
        <v>296</v>
      </c>
      <c r="C384" s="105">
        <f>_xlfn.XLOOKUP(D384,ingredientes!B:B,ingredientes!A:A,"não")</f>
        <v>216</v>
      </c>
      <c r="D384" s="142" t="s">
        <v>291</v>
      </c>
      <c r="E384" s="5">
        <v>21</v>
      </c>
      <c r="H384">
        <f t="shared" si="60"/>
        <v>286</v>
      </c>
      <c r="I384">
        <f t="shared" si="58"/>
        <v>216</v>
      </c>
      <c r="J384">
        <f t="shared" si="59"/>
        <v>21</v>
      </c>
      <c r="K384">
        <f t="shared" si="61"/>
        <v>502</v>
      </c>
      <c r="M384">
        <v>286</v>
      </c>
      <c r="N384">
        <v>216</v>
      </c>
      <c r="O384">
        <v>21</v>
      </c>
      <c r="Q384" t="b">
        <f t="shared" si="55"/>
        <v>1</v>
      </c>
      <c r="R384" t="b">
        <f t="shared" si="56"/>
        <v>1</v>
      </c>
      <c r="S384" t="b">
        <f t="shared" si="57"/>
        <v>1</v>
      </c>
    </row>
    <row r="385" spans="1:19" x14ac:dyDescent="0.2">
      <c r="A385" s="106">
        <f>_xlfn.XLOOKUP(B385,pratos!B:B,pratos!A:A,"não")</f>
        <v>287</v>
      </c>
      <c r="B385" s="52" t="s">
        <v>33</v>
      </c>
      <c r="C385" s="105">
        <f>_xlfn.XLOOKUP(D385,ingredientes!B:B,ingredientes!A:A,"não")</f>
        <v>17</v>
      </c>
      <c r="D385" s="138" t="s">
        <v>7</v>
      </c>
      <c r="E385" s="10">
        <v>10</v>
      </c>
      <c r="H385">
        <f t="shared" si="60"/>
        <v>287</v>
      </c>
      <c r="I385">
        <f t="shared" si="58"/>
        <v>17</v>
      </c>
      <c r="J385">
        <f t="shared" si="59"/>
        <v>10</v>
      </c>
      <c r="K385">
        <f t="shared" si="61"/>
        <v>304</v>
      </c>
      <c r="M385">
        <v>287</v>
      </c>
      <c r="N385">
        <v>17</v>
      </c>
      <c r="O385">
        <v>10</v>
      </c>
      <c r="Q385" t="b">
        <f t="shared" si="55"/>
        <v>1</v>
      </c>
      <c r="R385" t="b">
        <f t="shared" si="56"/>
        <v>1</v>
      </c>
      <c r="S385" t="b">
        <f t="shared" si="57"/>
        <v>1</v>
      </c>
    </row>
    <row r="386" spans="1:19" x14ac:dyDescent="0.2">
      <c r="A386" s="106">
        <f>_xlfn.XLOOKUP(B386,pratos!B:B,pratos!A:A,"não")</f>
        <v>287</v>
      </c>
      <c r="B386" s="52" t="s">
        <v>33</v>
      </c>
      <c r="C386" s="105">
        <f>_xlfn.XLOOKUP(D386,ingredientes!B:B,ingredientes!A:A,"não")</f>
        <v>177</v>
      </c>
      <c r="D386" s="9" t="s">
        <v>6</v>
      </c>
      <c r="E386" s="5">
        <v>160</v>
      </c>
      <c r="H386">
        <f t="shared" si="60"/>
        <v>287</v>
      </c>
      <c r="I386">
        <f t="shared" si="58"/>
        <v>177</v>
      </c>
      <c r="J386">
        <f t="shared" si="59"/>
        <v>160</v>
      </c>
      <c r="K386">
        <f t="shared" si="61"/>
        <v>464</v>
      </c>
      <c r="M386">
        <v>287</v>
      </c>
      <c r="N386">
        <v>177</v>
      </c>
      <c r="O386">
        <v>160</v>
      </c>
      <c r="Q386" t="b">
        <f t="shared" si="55"/>
        <v>1</v>
      </c>
      <c r="R386" t="b">
        <f t="shared" si="56"/>
        <v>1</v>
      </c>
      <c r="S386" t="b">
        <f t="shared" si="57"/>
        <v>1</v>
      </c>
    </row>
    <row r="387" spans="1:19" x14ac:dyDescent="0.2">
      <c r="A387" s="106">
        <f>_xlfn.XLOOKUP(B387,pratos!B:B,pratos!A:A,"não")</f>
        <v>287</v>
      </c>
      <c r="B387" s="52" t="s">
        <v>33</v>
      </c>
      <c r="C387" s="105">
        <f>_xlfn.XLOOKUP(D387,ingredientes!B:B,ingredientes!A:A,"não")</f>
        <v>218</v>
      </c>
      <c r="D387" s="9" t="s">
        <v>34</v>
      </c>
      <c r="E387" s="10">
        <v>14</v>
      </c>
      <c r="H387">
        <f t="shared" si="60"/>
        <v>287</v>
      </c>
      <c r="I387">
        <f t="shared" si="58"/>
        <v>218</v>
      </c>
      <c r="J387">
        <f t="shared" si="59"/>
        <v>14</v>
      </c>
      <c r="K387">
        <f t="shared" si="61"/>
        <v>505</v>
      </c>
      <c r="M387">
        <v>287</v>
      </c>
      <c r="N387">
        <v>218</v>
      </c>
      <c r="O387">
        <v>14</v>
      </c>
      <c r="Q387" t="b">
        <f t="shared" si="55"/>
        <v>1</v>
      </c>
      <c r="R387" t="b">
        <f t="shared" si="56"/>
        <v>1</v>
      </c>
      <c r="S387" t="b">
        <f t="shared" si="57"/>
        <v>1</v>
      </c>
    </row>
    <row r="388" spans="1:19" x14ac:dyDescent="0.2">
      <c r="A388" s="106">
        <f>_xlfn.XLOOKUP(B388,pratos!B:B,pratos!A:A,"não")</f>
        <v>288</v>
      </c>
      <c r="B388" s="109" t="s">
        <v>410</v>
      </c>
      <c r="C388" s="105">
        <f>_xlfn.XLOOKUP(D388,ingredientes!B:B,ingredientes!A:A,"não")</f>
        <v>32</v>
      </c>
      <c r="D388" s="9" t="s">
        <v>483</v>
      </c>
      <c r="E388" s="10">
        <v>8</v>
      </c>
      <c r="H388">
        <f t="shared" si="60"/>
        <v>288</v>
      </c>
      <c r="I388">
        <f t="shared" si="58"/>
        <v>32</v>
      </c>
      <c r="J388">
        <f t="shared" si="59"/>
        <v>8</v>
      </c>
      <c r="K388">
        <f t="shared" si="61"/>
        <v>320</v>
      </c>
      <c r="M388">
        <v>288</v>
      </c>
      <c r="N388">
        <v>32</v>
      </c>
      <c r="O388">
        <v>8</v>
      </c>
      <c r="Q388" t="b">
        <f t="shared" si="55"/>
        <v>1</v>
      </c>
      <c r="R388" t="b">
        <f t="shared" si="56"/>
        <v>1</v>
      </c>
      <c r="S388" t="b">
        <f t="shared" si="57"/>
        <v>1</v>
      </c>
    </row>
    <row r="389" spans="1:19" x14ac:dyDescent="0.2">
      <c r="A389" s="106">
        <f>_xlfn.XLOOKUP(B389,pratos!B:B,pratos!A:A,"não")</f>
        <v>288</v>
      </c>
      <c r="B389" s="109" t="s">
        <v>410</v>
      </c>
      <c r="C389" s="105">
        <f>_xlfn.XLOOKUP(D389,ingredientes!B:B,ingredientes!A:A,"não")</f>
        <v>177</v>
      </c>
      <c r="D389" s="73" t="s">
        <v>6</v>
      </c>
      <c r="E389" s="10">
        <v>160</v>
      </c>
      <c r="H389">
        <f t="shared" si="60"/>
        <v>288</v>
      </c>
      <c r="I389">
        <f t="shared" si="58"/>
        <v>177</v>
      </c>
      <c r="J389">
        <f t="shared" si="59"/>
        <v>160</v>
      </c>
      <c r="K389">
        <f t="shared" si="61"/>
        <v>465</v>
      </c>
      <c r="M389">
        <v>288</v>
      </c>
      <c r="N389">
        <v>177</v>
      </c>
      <c r="O389">
        <v>160</v>
      </c>
      <c r="Q389" t="b">
        <f t="shared" si="55"/>
        <v>1</v>
      </c>
      <c r="R389" t="b">
        <f t="shared" si="56"/>
        <v>1</v>
      </c>
      <c r="S389" t="b">
        <f t="shared" si="57"/>
        <v>1</v>
      </c>
    </row>
    <row r="390" spans="1:19" x14ac:dyDescent="0.2">
      <c r="A390" s="106">
        <f>_xlfn.XLOOKUP(B390,pratos!B:B,pratos!A:A,"não")</f>
        <v>288</v>
      </c>
      <c r="B390" s="109" t="s">
        <v>410</v>
      </c>
      <c r="C390" s="105">
        <f>_xlfn.XLOOKUP(D390,ingredientes!B:B,ingredientes!A:A,"não")</f>
        <v>219</v>
      </c>
      <c r="D390" s="9" t="s">
        <v>411</v>
      </c>
      <c r="E390" s="10">
        <v>20</v>
      </c>
      <c r="H390">
        <f t="shared" si="60"/>
        <v>288</v>
      </c>
      <c r="I390">
        <f t="shared" si="58"/>
        <v>219</v>
      </c>
      <c r="J390">
        <f t="shared" si="59"/>
        <v>20</v>
      </c>
      <c r="K390">
        <f t="shared" si="61"/>
        <v>507</v>
      </c>
      <c r="M390">
        <v>288</v>
      </c>
      <c r="N390">
        <v>219</v>
      </c>
      <c r="O390">
        <v>20</v>
      </c>
      <c r="Q390" t="b">
        <f t="shared" si="55"/>
        <v>1</v>
      </c>
      <c r="R390" t="b">
        <f t="shared" si="56"/>
        <v>1</v>
      </c>
      <c r="S390" t="b">
        <f t="shared" si="57"/>
        <v>1</v>
      </c>
    </row>
    <row r="391" spans="1:19" x14ac:dyDescent="0.2">
      <c r="A391" s="106">
        <f>_xlfn.XLOOKUP(B391,pratos!B:B,pratos!A:A,"não")</f>
        <v>288</v>
      </c>
      <c r="B391" s="116" t="s">
        <v>410</v>
      </c>
      <c r="C391" s="105">
        <f>_xlfn.XLOOKUP(D391,ingredientes!B:B,ingredientes!A:A,"não")</f>
        <v>242</v>
      </c>
      <c r="D391" s="30" t="s">
        <v>276</v>
      </c>
      <c r="E391" s="10">
        <v>60</v>
      </c>
      <c r="H391">
        <f t="shared" si="60"/>
        <v>288</v>
      </c>
      <c r="I391">
        <f t="shared" si="58"/>
        <v>242</v>
      </c>
      <c r="J391">
        <f t="shared" si="59"/>
        <v>60</v>
      </c>
      <c r="K391">
        <f t="shared" si="61"/>
        <v>530</v>
      </c>
      <c r="M391">
        <v>288</v>
      </c>
      <c r="N391">
        <v>242</v>
      </c>
      <c r="O391">
        <v>60</v>
      </c>
      <c r="Q391" t="b">
        <f t="shared" si="55"/>
        <v>1</v>
      </c>
      <c r="R391" t="b">
        <f t="shared" si="56"/>
        <v>1</v>
      </c>
      <c r="S391" t="b">
        <f t="shared" si="57"/>
        <v>1</v>
      </c>
    </row>
    <row r="392" spans="1:19" x14ac:dyDescent="0.2">
      <c r="A392" s="106">
        <f>_xlfn.XLOOKUP(B392,pratos!B:B,pratos!A:A,"não")</f>
        <v>289</v>
      </c>
      <c r="B392" s="52" t="s">
        <v>295</v>
      </c>
      <c r="C392" s="105">
        <f>_xlfn.XLOOKUP(D392,ingredientes!B:B,ingredientes!A:A,"não")</f>
        <v>17</v>
      </c>
      <c r="D392" s="38" t="s">
        <v>7</v>
      </c>
      <c r="E392" s="87">
        <v>14</v>
      </c>
      <c r="H392">
        <f t="shared" si="60"/>
        <v>289</v>
      </c>
      <c r="I392">
        <f t="shared" si="58"/>
        <v>17</v>
      </c>
      <c r="J392">
        <f t="shared" si="59"/>
        <v>14</v>
      </c>
      <c r="K392">
        <f t="shared" si="61"/>
        <v>306</v>
      </c>
      <c r="M392">
        <v>289</v>
      </c>
      <c r="N392">
        <v>17</v>
      </c>
      <c r="O392">
        <v>14</v>
      </c>
      <c r="Q392" t="b">
        <f t="shared" si="55"/>
        <v>1</v>
      </c>
      <c r="R392" t="b">
        <f t="shared" si="56"/>
        <v>1</v>
      </c>
      <c r="S392" t="b">
        <f t="shared" si="57"/>
        <v>1</v>
      </c>
    </row>
    <row r="393" spans="1:19" x14ac:dyDescent="0.2">
      <c r="A393" s="106">
        <f>_xlfn.XLOOKUP(B393,pratos!B:B,pratos!A:A,"não")</f>
        <v>289</v>
      </c>
      <c r="B393" s="52" t="s">
        <v>295</v>
      </c>
      <c r="C393" s="105">
        <f>_xlfn.XLOOKUP(D393,ingredientes!B:B,ingredientes!A:A,"não")</f>
        <v>177</v>
      </c>
      <c r="D393" s="9" t="s">
        <v>6</v>
      </c>
      <c r="E393" s="5">
        <v>160</v>
      </c>
      <c r="H393">
        <f t="shared" si="60"/>
        <v>289</v>
      </c>
      <c r="I393">
        <f t="shared" si="58"/>
        <v>177</v>
      </c>
      <c r="J393">
        <f t="shared" si="59"/>
        <v>160</v>
      </c>
      <c r="K393">
        <f t="shared" si="61"/>
        <v>466</v>
      </c>
      <c r="M393">
        <v>289</v>
      </c>
      <c r="N393">
        <v>177</v>
      </c>
      <c r="O393">
        <v>160</v>
      </c>
      <c r="Q393" t="b">
        <f t="shared" si="55"/>
        <v>1</v>
      </c>
      <c r="R393" t="b">
        <f t="shared" si="56"/>
        <v>1</v>
      </c>
      <c r="S393" t="b">
        <f t="shared" si="57"/>
        <v>1</v>
      </c>
    </row>
    <row r="394" spans="1:19" x14ac:dyDescent="0.2">
      <c r="A394" s="106">
        <f>_xlfn.XLOOKUP(B394,pratos!B:B,pratos!A:A,"não")</f>
        <v>289</v>
      </c>
      <c r="B394" s="52" t="s">
        <v>295</v>
      </c>
      <c r="C394" s="105">
        <f>_xlfn.XLOOKUP(D394,ingredientes!B:B,ingredientes!A:A,"não")</f>
        <v>308</v>
      </c>
      <c r="D394" s="35" t="s">
        <v>200</v>
      </c>
      <c r="E394" s="10">
        <v>8</v>
      </c>
      <c r="H394">
        <f t="shared" si="60"/>
        <v>289</v>
      </c>
      <c r="I394">
        <f t="shared" si="58"/>
        <v>308</v>
      </c>
      <c r="J394">
        <f t="shared" si="59"/>
        <v>8</v>
      </c>
      <c r="K394">
        <f t="shared" si="61"/>
        <v>597</v>
      </c>
      <c r="M394">
        <v>289</v>
      </c>
      <c r="N394">
        <v>308</v>
      </c>
      <c r="O394">
        <v>8</v>
      </c>
      <c r="Q394" t="b">
        <f t="shared" si="55"/>
        <v>1</v>
      </c>
      <c r="R394" t="b">
        <f t="shared" si="56"/>
        <v>1</v>
      </c>
      <c r="S394" t="b">
        <f t="shared" si="57"/>
        <v>1</v>
      </c>
    </row>
    <row r="395" spans="1:19" x14ac:dyDescent="0.2">
      <c r="A395" s="106">
        <f>_xlfn.XLOOKUP(B395,pratos!B:B,pratos!A:A,"não")</f>
        <v>290</v>
      </c>
      <c r="B395" s="52" t="s">
        <v>199</v>
      </c>
      <c r="C395" s="105">
        <f>_xlfn.XLOOKUP(D395,ingredientes!B:B,ingredientes!A:A,"não")</f>
        <v>17</v>
      </c>
      <c r="D395" s="9" t="s">
        <v>7</v>
      </c>
      <c r="E395" s="10">
        <v>15</v>
      </c>
      <c r="H395">
        <f t="shared" si="60"/>
        <v>290</v>
      </c>
      <c r="I395">
        <f t="shared" si="58"/>
        <v>17</v>
      </c>
      <c r="J395">
        <f t="shared" si="59"/>
        <v>15</v>
      </c>
      <c r="K395">
        <f t="shared" si="61"/>
        <v>307</v>
      </c>
      <c r="M395">
        <v>290</v>
      </c>
      <c r="N395">
        <v>17</v>
      </c>
      <c r="O395">
        <v>15</v>
      </c>
      <c r="Q395" t="b">
        <f t="shared" si="55"/>
        <v>1</v>
      </c>
      <c r="R395" t="b">
        <f t="shared" si="56"/>
        <v>1</v>
      </c>
      <c r="S395" t="b">
        <f t="shared" si="57"/>
        <v>1</v>
      </c>
    </row>
    <row r="396" spans="1:19" x14ac:dyDescent="0.2">
      <c r="A396" s="106">
        <f>_xlfn.XLOOKUP(B396,pratos!B:B,pratos!A:A,"não")</f>
        <v>290</v>
      </c>
      <c r="B396" s="52" t="s">
        <v>199</v>
      </c>
      <c r="C396" s="105">
        <f>_xlfn.XLOOKUP(D396,ingredientes!B:B,ingredientes!A:A,"não")</f>
        <v>177</v>
      </c>
      <c r="D396" s="9" t="s">
        <v>6</v>
      </c>
      <c r="E396" s="5">
        <v>160</v>
      </c>
      <c r="H396">
        <f t="shared" si="60"/>
        <v>290</v>
      </c>
      <c r="I396">
        <f t="shared" si="58"/>
        <v>177</v>
      </c>
      <c r="J396">
        <f t="shared" si="59"/>
        <v>160</v>
      </c>
      <c r="K396">
        <f t="shared" si="61"/>
        <v>467</v>
      </c>
      <c r="M396">
        <v>290</v>
      </c>
      <c r="N396">
        <v>177</v>
      </c>
      <c r="O396">
        <v>160</v>
      </c>
      <c r="Q396" t="b">
        <f t="shared" si="55"/>
        <v>1</v>
      </c>
      <c r="R396" t="b">
        <f t="shared" si="56"/>
        <v>1</v>
      </c>
      <c r="S396" t="b">
        <f t="shared" si="57"/>
        <v>1</v>
      </c>
    </row>
    <row r="397" spans="1:19" x14ac:dyDescent="0.2">
      <c r="A397" s="106">
        <f>_xlfn.XLOOKUP(B397,pratos!B:B,pratos!A:A,"não")</f>
        <v>290</v>
      </c>
      <c r="B397" s="52" t="s">
        <v>199</v>
      </c>
      <c r="C397" s="105">
        <f>_xlfn.XLOOKUP(D397,ingredientes!B:B,ingredientes!A:A,"não")</f>
        <v>308</v>
      </c>
      <c r="D397" s="24" t="s">
        <v>200</v>
      </c>
      <c r="E397" s="10">
        <v>8</v>
      </c>
      <c r="H397">
        <f t="shared" si="60"/>
        <v>290</v>
      </c>
      <c r="I397">
        <f t="shared" si="58"/>
        <v>308</v>
      </c>
      <c r="J397">
        <f t="shared" si="59"/>
        <v>8</v>
      </c>
      <c r="K397">
        <f t="shared" si="61"/>
        <v>598</v>
      </c>
      <c r="M397">
        <v>290</v>
      </c>
      <c r="N397">
        <v>308</v>
      </c>
      <c r="O397">
        <v>8</v>
      </c>
      <c r="Q397" t="b">
        <f t="shared" si="55"/>
        <v>1</v>
      </c>
      <c r="R397" t="b">
        <f t="shared" si="56"/>
        <v>1</v>
      </c>
      <c r="S397" t="b">
        <f t="shared" si="57"/>
        <v>1</v>
      </c>
    </row>
    <row r="398" spans="1:19" x14ac:dyDescent="0.2">
      <c r="A398" s="106">
        <f>_xlfn.XLOOKUP(B398,pratos!B:B,pratos!A:A,"não")</f>
        <v>291</v>
      </c>
      <c r="B398" s="109" t="s">
        <v>10</v>
      </c>
      <c r="C398" s="105">
        <f>_xlfn.XLOOKUP(D398,ingredientes!B:B,ingredientes!A:A,"não")</f>
        <v>14</v>
      </c>
      <c r="D398" s="9" t="s">
        <v>13</v>
      </c>
      <c r="E398" s="10">
        <v>10</v>
      </c>
      <c r="H398">
        <f t="shared" si="60"/>
        <v>291</v>
      </c>
      <c r="I398">
        <f t="shared" si="58"/>
        <v>14</v>
      </c>
      <c r="J398">
        <f t="shared" si="59"/>
        <v>10</v>
      </c>
      <c r="K398">
        <f t="shared" si="61"/>
        <v>305</v>
      </c>
      <c r="M398">
        <v>291</v>
      </c>
      <c r="N398">
        <v>14</v>
      </c>
      <c r="O398">
        <v>10</v>
      </c>
      <c r="Q398" t="b">
        <f t="shared" si="55"/>
        <v>1</v>
      </c>
      <c r="R398" t="b">
        <f t="shared" si="56"/>
        <v>1</v>
      </c>
      <c r="S398" t="b">
        <f t="shared" si="57"/>
        <v>1</v>
      </c>
    </row>
    <row r="399" spans="1:19" x14ac:dyDescent="0.2">
      <c r="A399" s="106">
        <f>_xlfn.XLOOKUP(B399,pratos!B:B,pratos!A:A,"não")</f>
        <v>291</v>
      </c>
      <c r="B399" s="109" t="s">
        <v>10</v>
      </c>
      <c r="C399" s="105">
        <f>_xlfn.XLOOKUP(D399,ingredientes!B:B,ingredientes!A:A,"não")</f>
        <v>25</v>
      </c>
      <c r="D399" s="9" t="s">
        <v>11</v>
      </c>
      <c r="E399" s="10">
        <v>10</v>
      </c>
      <c r="H399">
        <f t="shared" si="60"/>
        <v>291</v>
      </c>
      <c r="I399">
        <f t="shared" si="58"/>
        <v>25</v>
      </c>
      <c r="J399">
        <f t="shared" si="59"/>
        <v>10</v>
      </c>
      <c r="K399">
        <f t="shared" si="61"/>
        <v>316</v>
      </c>
      <c r="M399">
        <v>291</v>
      </c>
      <c r="N399">
        <v>25</v>
      </c>
      <c r="O399">
        <v>10</v>
      </c>
      <c r="Q399" t="b">
        <f t="shared" ref="Q399:Q462" si="62">EXACT(H399,M399)</f>
        <v>1</v>
      </c>
      <c r="R399" t="b">
        <f t="shared" ref="R399:R462" si="63">EXACT(I399,N399)</f>
        <v>1</v>
      </c>
      <c r="S399" t="b">
        <f t="shared" ref="S399:S462" si="64">EXACT(J399,O399)</f>
        <v>1</v>
      </c>
    </row>
    <row r="400" spans="1:19" x14ac:dyDescent="0.2">
      <c r="A400" s="106">
        <f>_xlfn.XLOOKUP(B400,pratos!B:B,pratos!A:A,"não")</f>
        <v>291</v>
      </c>
      <c r="B400" s="109" t="s">
        <v>10</v>
      </c>
      <c r="C400" s="105">
        <f>_xlfn.XLOOKUP(D400,ingredientes!B:B,ingredientes!A:A,"não")</f>
        <v>114</v>
      </c>
      <c r="D400" s="9" t="s">
        <v>258</v>
      </c>
      <c r="E400" s="10">
        <v>10</v>
      </c>
      <c r="H400">
        <f t="shared" si="60"/>
        <v>291</v>
      </c>
      <c r="I400">
        <f t="shared" si="58"/>
        <v>114</v>
      </c>
      <c r="J400">
        <f t="shared" si="59"/>
        <v>10</v>
      </c>
      <c r="K400">
        <f t="shared" si="61"/>
        <v>405</v>
      </c>
      <c r="M400">
        <v>291</v>
      </c>
      <c r="N400">
        <v>114</v>
      </c>
      <c r="O400">
        <v>10</v>
      </c>
      <c r="Q400" t="b">
        <f t="shared" si="62"/>
        <v>1</v>
      </c>
      <c r="R400" t="b">
        <f t="shared" si="63"/>
        <v>1</v>
      </c>
      <c r="S400" t="b">
        <f t="shared" si="64"/>
        <v>1</v>
      </c>
    </row>
    <row r="401" spans="1:19" x14ac:dyDescent="0.2">
      <c r="A401" s="106">
        <f>_xlfn.XLOOKUP(B401,pratos!B:B,pratos!A:A,"não")</f>
        <v>292</v>
      </c>
      <c r="B401" s="52" t="s">
        <v>47</v>
      </c>
      <c r="C401" s="105">
        <f>_xlfn.XLOOKUP(D401,ingredientes!B:B,ingredientes!A:A,"não")</f>
        <v>75</v>
      </c>
      <c r="D401" s="11" t="s">
        <v>48</v>
      </c>
      <c r="E401" s="10">
        <v>150</v>
      </c>
      <c r="H401">
        <f t="shared" si="60"/>
        <v>292</v>
      </c>
      <c r="I401">
        <f t="shared" si="58"/>
        <v>75</v>
      </c>
      <c r="J401">
        <f t="shared" si="59"/>
        <v>150</v>
      </c>
      <c r="K401">
        <f t="shared" si="61"/>
        <v>367</v>
      </c>
      <c r="M401">
        <v>292</v>
      </c>
      <c r="N401">
        <v>75</v>
      </c>
      <c r="O401">
        <v>150</v>
      </c>
      <c r="Q401" t="b">
        <f t="shared" si="62"/>
        <v>1</v>
      </c>
      <c r="R401" t="b">
        <f t="shared" si="63"/>
        <v>1</v>
      </c>
      <c r="S401" t="b">
        <f t="shared" si="64"/>
        <v>1</v>
      </c>
    </row>
    <row r="402" spans="1:19" x14ac:dyDescent="0.2">
      <c r="A402" s="106">
        <f>_xlfn.XLOOKUP(B402,pratos!B:B,pratos!A:A,"não")</f>
        <v>293</v>
      </c>
      <c r="B402" s="52" t="s">
        <v>438</v>
      </c>
      <c r="C402" s="105">
        <f>_xlfn.XLOOKUP(D402,ingredientes!B:B,ingredientes!A:A,"não")</f>
        <v>213</v>
      </c>
      <c r="D402" s="9" t="s">
        <v>438</v>
      </c>
      <c r="E402" s="17">
        <v>80</v>
      </c>
      <c r="H402">
        <f t="shared" si="60"/>
        <v>293</v>
      </c>
      <c r="I402">
        <f t="shared" si="58"/>
        <v>213</v>
      </c>
      <c r="J402">
        <f t="shared" si="59"/>
        <v>80</v>
      </c>
      <c r="K402">
        <f t="shared" si="61"/>
        <v>506</v>
      </c>
      <c r="M402">
        <v>293</v>
      </c>
      <c r="N402">
        <v>213</v>
      </c>
      <c r="O402">
        <v>80</v>
      </c>
      <c r="Q402" t="b">
        <f t="shared" si="62"/>
        <v>1</v>
      </c>
      <c r="R402" t="b">
        <f t="shared" si="63"/>
        <v>1</v>
      </c>
      <c r="S402" t="b">
        <f t="shared" si="64"/>
        <v>1</v>
      </c>
    </row>
    <row r="403" spans="1:19" x14ac:dyDescent="0.2">
      <c r="A403" s="106">
        <f>_xlfn.XLOOKUP(B403,pratos!B:B,pratos!A:A,"não")</f>
        <v>294</v>
      </c>
      <c r="B403" s="52" t="s">
        <v>105</v>
      </c>
      <c r="C403" s="105">
        <f>_xlfn.XLOOKUP(D403,ingredientes!B:B,ingredientes!A:A,"não")</f>
        <v>220</v>
      </c>
      <c r="D403" s="9" t="s">
        <v>105</v>
      </c>
      <c r="E403" s="26">
        <v>200</v>
      </c>
      <c r="H403">
        <f t="shared" si="60"/>
        <v>294</v>
      </c>
      <c r="I403">
        <f t="shared" si="58"/>
        <v>220</v>
      </c>
      <c r="J403">
        <f t="shared" si="59"/>
        <v>200</v>
      </c>
      <c r="K403">
        <f t="shared" si="61"/>
        <v>514</v>
      </c>
      <c r="M403">
        <v>294</v>
      </c>
      <c r="N403">
        <v>220</v>
      </c>
      <c r="O403">
        <v>200</v>
      </c>
      <c r="Q403" t="b">
        <f t="shared" si="62"/>
        <v>1</v>
      </c>
      <c r="R403" t="b">
        <f t="shared" si="63"/>
        <v>1</v>
      </c>
      <c r="S403" t="b">
        <f t="shared" si="64"/>
        <v>1</v>
      </c>
    </row>
    <row r="404" spans="1:19" x14ac:dyDescent="0.2">
      <c r="A404" s="106">
        <f>_xlfn.XLOOKUP(B404,pratos!B:B,pratos!A:A,"não")</f>
        <v>295</v>
      </c>
      <c r="B404" s="135" t="s">
        <v>523</v>
      </c>
      <c r="C404" s="105">
        <f>_xlfn.XLOOKUP(D404,ingredientes!B:B,ingredientes!A:A,"não")</f>
        <v>112</v>
      </c>
      <c r="D404" s="94" t="s">
        <v>521</v>
      </c>
      <c r="E404" s="93">
        <v>100</v>
      </c>
      <c r="H404">
        <f t="shared" si="60"/>
        <v>295</v>
      </c>
      <c r="I404">
        <f t="shared" si="58"/>
        <v>112</v>
      </c>
      <c r="J404">
        <f t="shared" si="59"/>
        <v>100</v>
      </c>
      <c r="K404">
        <f t="shared" si="61"/>
        <v>407</v>
      </c>
      <c r="M404">
        <v>295</v>
      </c>
      <c r="N404">
        <v>112</v>
      </c>
      <c r="O404">
        <v>100</v>
      </c>
      <c r="Q404" t="b">
        <f t="shared" si="62"/>
        <v>1</v>
      </c>
      <c r="R404" t="b">
        <f t="shared" si="63"/>
        <v>1</v>
      </c>
      <c r="S404" t="b">
        <f t="shared" si="64"/>
        <v>1</v>
      </c>
    </row>
    <row r="405" spans="1:19" x14ac:dyDescent="0.2">
      <c r="A405" s="106">
        <f>_xlfn.XLOOKUP(B405,pratos!B:B,pratos!A:A,"não")</f>
        <v>295</v>
      </c>
      <c r="B405" s="135" t="s">
        <v>523</v>
      </c>
      <c r="C405" s="105">
        <f>_xlfn.XLOOKUP(D405,ingredientes!B:B,ingredientes!A:A,"não")</f>
        <v>291</v>
      </c>
      <c r="D405" s="30" t="s">
        <v>692</v>
      </c>
      <c r="E405" s="93">
        <v>30</v>
      </c>
      <c r="H405">
        <f t="shared" si="60"/>
        <v>295</v>
      </c>
      <c r="I405">
        <f t="shared" si="58"/>
        <v>291</v>
      </c>
      <c r="J405">
        <f t="shared" si="59"/>
        <v>30</v>
      </c>
      <c r="K405">
        <f t="shared" si="61"/>
        <v>586</v>
      </c>
      <c r="M405">
        <v>295</v>
      </c>
      <c r="N405">
        <v>291</v>
      </c>
      <c r="O405">
        <v>30</v>
      </c>
      <c r="Q405" t="b">
        <f t="shared" si="62"/>
        <v>1</v>
      </c>
      <c r="R405" t="b">
        <f t="shared" si="63"/>
        <v>1</v>
      </c>
      <c r="S405" t="b">
        <f t="shared" si="64"/>
        <v>1</v>
      </c>
    </row>
    <row r="406" spans="1:19" x14ac:dyDescent="0.2">
      <c r="A406" s="106">
        <f>_xlfn.XLOOKUP(B406,pratos!B:B,pratos!A:A,"não")</f>
        <v>296</v>
      </c>
      <c r="B406" s="52" t="s">
        <v>507</v>
      </c>
      <c r="C406" s="105">
        <f>_xlfn.XLOOKUP(D406,ingredientes!B:B,ingredientes!A:A,"não")</f>
        <v>33</v>
      </c>
      <c r="D406" s="38" t="s">
        <v>610</v>
      </c>
      <c r="E406" s="10">
        <v>15</v>
      </c>
      <c r="H406">
        <f t="shared" si="60"/>
        <v>296</v>
      </c>
      <c r="I406">
        <f t="shared" si="58"/>
        <v>33</v>
      </c>
      <c r="J406">
        <f t="shared" si="59"/>
        <v>15</v>
      </c>
      <c r="K406">
        <f t="shared" si="61"/>
        <v>329</v>
      </c>
      <c r="M406">
        <v>296</v>
      </c>
      <c r="N406">
        <v>33</v>
      </c>
      <c r="O406">
        <v>15</v>
      </c>
      <c r="Q406" t="b">
        <f t="shared" si="62"/>
        <v>1</v>
      </c>
      <c r="R406" t="b">
        <f t="shared" si="63"/>
        <v>1</v>
      </c>
      <c r="S406" t="b">
        <f t="shared" si="64"/>
        <v>1</v>
      </c>
    </row>
    <row r="407" spans="1:19" x14ac:dyDescent="0.2">
      <c r="A407" s="106">
        <f>_xlfn.XLOOKUP(B407,pratos!B:B,pratos!A:A,"não")</f>
        <v>296</v>
      </c>
      <c r="B407" s="52" t="s">
        <v>507</v>
      </c>
      <c r="C407" s="105">
        <f>_xlfn.XLOOKUP(D407,ingredientes!B:B,ingredientes!A:A,"não")</f>
        <v>100</v>
      </c>
      <c r="D407" s="38" t="s">
        <v>166</v>
      </c>
      <c r="E407" s="10">
        <v>25</v>
      </c>
      <c r="H407">
        <f t="shared" si="60"/>
        <v>296</v>
      </c>
      <c r="I407">
        <f t="shared" si="58"/>
        <v>100</v>
      </c>
      <c r="J407">
        <f t="shared" si="59"/>
        <v>25</v>
      </c>
      <c r="K407">
        <f t="shared" si="61"/>
        <v>396</v>
      </c>
      <c r="M407">
        <v>296</v>
      </c>
      <c r="N407">
        <v>100</v>
      </c>
      <c r="O407">
        <v>25</v>
      </c>
      <c r="Q407" t="b">
        <f t="shared" si="62"/>
        <v>1</v>
      </c>
      <c r="R407" t="b">
        <f t="shared" si="63"/>
        <v>1</v>
      </c>
      <c r="S407" t="b">
        <f t="shared" si="64"/>
        <v>1</v>
      </c>
    </row>
    <row r="408" spans="1:19" x14ac:dyDescent="0.2">
      <c r="A408" s="106">
        <f>_xlfn.XLOOKUP(B408,pratos!B:B,pratos!A:A,"não")</f>
        <v>296</v>
      </c>
      <c r="B408" s="52" t="s">
        <v>507</v>
      </c>
      <c r="C408" s="105">
        <f>_xlfn.XLOOKUP(D408,ingredientes!B:B,ingredientes!A:A,"não")</f>
        <v>223</v>
      </c>
      <c r="D408" s="29" t="s">
        <v>348</v>
      </c>
      <c r="E408" s="10">
        <v>90</v>
      </c>
      <c r="H408">
        <f t="shared" si="60"/>
        <v>296</v>
      </c>
      <c r="I408">
        <f t="shared" si="58"/>
        <v>223</v>
      </c>
      <c r="J408">
        <f t="shared" si="59"/>
        <v>90</v>
      </c>
      <c r="K408">
        <f t="shared" si="61"/>
        <v>519</v>
      </c>
      <c r="M408">
        <v>296</v>
      </c>
      <c r="N408">
        <v>223</v>
      </c>
      <c r="O408">
        <v>90</v>
      </c>
      <c r="Q408" t="b">
        <f t="shared" si="62"/>
        <v>1</v>
      </c>
      <c r="R408" t="b">
        <f t="shared" si="63"/>
        <v>1</v>
      </c>
      <c r="S408" t="b">
        <f t="shared" si="64"/>
        <v>1</v>
      </c>
    </row>
    <row r="409" spans="1:19" x14ac:dyDescent="0.2">
      <c r="A409" s="106">
        <f>_xlfn.XLOOKUP(B409,pratos!B:B,pratos!A:A,"não")</f>
        <v>296</v>
      </c>
      <c r="B409" s="52" t="s">
        <v>507</v>
      </c>
      <c r="C409" s="105">
        <f>_xlfn.XLOOKUP(D409,ingredientes!B:B,ingredientes!A:A,"não")</f>
        <v>278</v>
      </c>
      <c r="D409" s="38" t="s">
        <v>508</v>
      </c>
      <c r="E409" s="10">
        <v>20</v>
      </c>
      <c r="H409">
        <f t="shared" si="60"/>
        <v>296</v>
      </c>
      <c r="I409">
        <f t="shared" si="58"/>
        <v>278</v>
      </c>
      <c r="J409">
        <f t="shared" si="59"/>
        <v>20</v>
      </c>
      <c r="K409">
        <f t="shared" si="61"/>
        <v>574</v>
      </c>
      <c r="M409">
        <v>296</v>
      </c>
      <c r="N409">
        <v>278</v>
      </c>
      <c r="O409">
        <v>20</v>
      </c>
      <c r="Q409" t="b">
        <f t="shared" si="62"/>
        <v>1</v>
      </c>
      <c r="R409" t="b">
        <f t="shared" si="63"/>
        <v>1</v>
      </c>
      <c r="S409" t="b">
        <f t="shared" si="64"/>
        <v>1</v>
      </c>
    </row>
    <row r="410" spans="1:19" x14ac:dyDescent="0.2">
      <c r="A410" s="106">
        <f>_xlfn.XLOOKUP(B410,pratos!B:B,pratos!A:A,"não")</f>
        <v>297</v>
      </c>
      <c r="B410" s="116" t="s">
        <v>514</v>
      </c>
      <c r="C410" s="105">
        <f>_xlfn.XLOOKUP(D410,ingredientes!B:B,ingredientes!A:A,"não")</f>
        <v>223</v>
      </c>
      <c r="D410" s="29" t="s">
        <v>348</v>
      </c>
      <c r="E410" s="17">
        <v>100</v>
      </c>
      <c r="H410">
        <f t="shared" si="60"/>
        <v>297</v>
      </c>
      <c r="I410">
        <f t="shared" si="58"/>
        <v>223</v>
      </c>
      <c r="J410">
        <f t="shared" si="59"/>
        <v>100</v>
      </c>
      <c r="K410">
        <f t="shared" si="61"/>
        <v>520</v>
      </c>
      <c r="M410">
        <v>297</v>
      </c>
      <c r="N410">
        <v>223</v>
      </c>
      <c r="O410">
        <v>100</v>
      </c>
      <c r="Q410" t="b">
        <f t="shared" si="62"/>
        <v>1</v>
      </c>
      <c r="R410" t="b">
        <f t="shared" si="63"/>
        <v>1</v>
      </c>
      <c r="S410" t="b">
        <f t="shared" si="64"/>
        <v>1</v>
      </c>
    </row>
    <row r="411" spans="1:19" x14ac:dyDescent="0.2">
      <c r="A411" s="106">
        <f>_xlfn.XLOOKUP(B411,pratos!B:B,pratos!A:A,"não")</f>
        <v>297</v>
      </c>
      <c r="B411" s="116" t="s">
        <v>514</v>
      </c>
      <c r="C411" s="105">
        <f>_xlfn.XLOOKUP(D411,ingredientes!B:B,ingredientes!A:A,"não")</f>
        <v>291</v>
      </c>
      <c r="D411" s="30" t="s">
        <v>692</v>
      </c>
      <c r="E411" s="87">
        <v>25</v>
      </c>
      <c r="H411">
        <f t="shared" si="60"/>
        <v>297</v>
      </c>
      <c r="I411">
        <f t="shared" si="58"/>
        <v>291</v>
      </c>
      <c r="J411">
        <f t="shared" si="59"/>
        <v>25</v>
      </c>
      <c r="K411">
        <f t="shared" si="61"/>
        <v>588</v>
      </c>
      <c r="M411">
        <v>297</v>
      </c>
      <c r="N411">
        <v>291</v>
      </c>
      <c r="O411">
        <v>25</v>
      </c>
      <c r="Q411" t="b">
        <f t="shared" si="62"/>
        <v>1</v>
      </c>
      <c r="R411" t="b">
        <f t="shared" si="63"/>
        <v>1</v>
      </c>
      <c r="S411" t="b">
        <f t="shared" si="64"/>
        <v>1</v>
      </c>
    </row>
    <row r="412" spans="1:19" x14ac:dyDescent="0.2">
      <c r="A412" s="106">
        <f>_xlfn.XLOOKUP(B412,pratos!B:B,pratos!A:A,"não")</f>
        <v>298</v>
      </c>
      <c r="B412" s="52" t="s">
        <v>341</v>
      </c>
      <c r="C412" s="105">
        <f>_xlfn.XLOOKUP(D412,ingredientes!B:B,ingredientes!A:A,"não")</f>
        <v>226</v>
      </c>
      <c r="D412" s="12" t="s">
        <v>341</v>
      </c>
      <c r="E412" s="10">
        <v>18</v>
      </c>
      <c r="H412">
        <f t="shared" si="60"/>
        <v>298</v>
      </c>
      <c r="I412">
        <f t="shared" si="58"/>
        <v>226</v>
      </c>
      <c r="J412">
        <f t="shared" si="59"/>
        <v>18</v>
      </c>
      <c r="K412">
        <f t="shared" si="61"/>
        <v>524</v>
      </c>
      <c r="M412">
        <v>298</v>
      </c>
      <c r="N412">
        <v>226</v>
      </c>
      <c r="O412">
        <v>18</v>
      </c>
      <c r="Q412" t="b">
        <f t="shared" si="62"/>
        <v>1</v>
      </c>
      <c r="R412" t="b">
        <f t="shared" si="63"/>
        <v>1</v>
      </c>
      <c r="S412" t="b">
        <f t="shared" si="64"/>
        <v>1</v>
      </c>
    </row>
    <row r="413" spans="1:19" x14ac:dyDescent="0.2">
      <c r="A413" s="106">
        <f>_xlfn.XLOOKUP(B413,pratos!B:B,pratos!A:A,"não")</f>
        <v>299</v>
      </c>
      <c r="B413" s="52" t="s">
        <v>441</v>
      </c>
      <c r="C413" s="105">
        <f>_xlfn.XLOOKUP(D413,ingredientes!B:B,ingredientes!A:A,"não")</f>
        <v>137</v>
      </c>
      <c r="D413" s="9" t="s">
        <v>148</v>
      </c>
      <c r="E413" s="17">
        <v>30</v>
      </c>
      <c r="H413">
        <f t="shared" si="60"/>
        <v>299</v>
      </c>
      <c r="I413">
        <f t="shared" si="58"/>
        <v>137</v>
      </c>
      <c r="J413">
        <f t="shared" si="59"/>
        <v>30</v>
      </c>
      <c r="K413">
        <f t="shared" si="61"/>
        <v>436</v>
      </c>
      <c r="M413">
        <v>299</v>
      </c>
      <c r="N413">
        <v>137</v>
      </c>
      <c r="O413">
        <v>30</v>
      </c>
      <c r="Q413" t="b">
        <f t="shared" si="62"/>
        <v>1</v>
      </c>
      <c r="R413" t="b">
        <f t="shared" si="63"/>
        <v>1</v>
      </c>
      <c r="S413" t="b">
        <f t="shared" si="64"/>
        <v>1</v>
      </c>
    </row>
    <row r="414" spans="1:19" x14ac:dyDescent="0.2">
      <c r="A414" s="106">
        <f>_xlfn.XLOOKUP(B414,pratos!B:B,pratos!A:A,"não")</f>
        <v>299</v>
      </c>
      <c r="B414" s="52" t="s">
        <v>441</v>
      </c>
      <c r="C414" s="105">
        <f>_xlfn.XLOOKUP(D414,ingredientes!B:B,ingredientes!A:A,"não")</f>
        <v>177</v>
      </c>
      <c r="D414" s="77" t="s">
        <v>6</v>
      </c>
      <c r="E414" s="32">
        <v>60</v>
      </c>
      <c r="H414">
        <f t="shared" si="60"/>
        <v>299</v>
      </c>
      <c r="I414">
        <f t="shared" si="58"/>
        <v>177</v>
      </c>
      <c r="J414">
        <f t="shared" si="59"/>
        <v>60</v>
      </c>
      <c r="K414">
        <f t="shared" si="61"/>
        <v>476</v>
      </c>
      <c r="M414">
        <v>299</v>
      </c>
      <c r="N414">
        <v>177</v>
      </c>
      <c r="O414">
        <v>60</v>
      </c>
      <c r="Q414" t="b">
        <f t="shared" si="62"/>
        <v>1</v>
      </c>
      <c r="R414" t="b">
        <f t="shared" si="63"/>
        <v>1</v>
      </c>
      <c r="S414" t="b">
        <f t="shared" si="64"/>
        <v>1</v>
      </c>
    </row>
    <row r="415" spans="1:19" x14ac:dyDescent="0.2">
      <c r="A415" s="106">
        <f>_xlfn.XLOOKUP(B415,pratos!B:B,pratos!A:A,"não")</f>
        <v>299</v>
      </c>
      <c r="B415" s="52" t="s">
        <v>441</v>
      </c>
      <c r="C415" s="105">
        <f>_xlfn.XLOOKUP(D415,ingredientes!B:B,ingredientes!A:A,"não")</f>
        <v>221</v>
      </c>
      <c r="D415" s="9" t="s">
        <v>151</v>
      </c>
      <c r="E415" s="17">
        <v>6</v>
      </c>
      <c r="H415">
        <f t="shared" si="60"/>
        <v>299</v>
      </c>
      <c r="I415">
        <f t="shared" si="58"/>
        <v>221</v>
      </c>
      <c r="J415">
        <f t="shared" si="59"/>
        <v>6</v>
      </c>
      <c r="K415">
        <f t="shared" si="61"/>
        <v>520</v>
      </c>
      <c r="M415">
        <v>299</v>
      </c>
      <c r="N415">
        <v>221</v>
      </c>
      <c r="O415">
        <v>6</v>
      </c>
      <c r="Q415" t="b">
        <f t="shared" si="62"/>
        <v>1</v>
      </c>
      <c r="R415" t="b">
        <f t="shared" si="63"/>
        <v>1</v>
      </c>
      <c r="S415" t="b">
        <f t="shared" si="64"/>
        <v>1</v>
      </c>
    </row>
    <row r="416" spans="1:19" x14ac:dyDescent="0.2">
      <c r="A416" s="106">
        <f>_xlfn.XLOOKUP(B416,pratos!B:B,pratos!A:A,"não")</f>
        <v>299</v>
      </c>
      <c r="B416" s="52" t="s">
        <v>441</v>
      </c>
      <c r="C416" s="105">
        <f>_xlfn.XLOOKUP(D416,ingredientes!B:B,ingredientes!A:A,"não")</f>
        <v>223</v>
      </c>
      <c r="D416" s="22" t="s">
        <v>348</v>
      </c>
      <c r="E416" s="10">
        <v>9</v>
      </c>
      <c r="H416">
        <f t="shared" ref="H416:H460" si="65">A416</f>
        <v>299</v>
      </c>
      <c r="I416">
        <f t="shared" ref="I416:I460" si="66">C416</f>
        <v>223</v>
      </c>
      <c r="J416">
        <f t="shared" ref="J416:J460" si="67">E416</f>
        <v>9</v>
      </c>
      <c r="K416">
        <f t="shared" si="61"/>
        <v>522</v>
      </c>
      <c r="M416">
        <v>299</v>
      </c>
      <c r="N416">
        <v>223</v>
      </c>
      <c r="O416">
        <v>9</v>
      </c>
      <c r="Q416" t="b">
        <f t="shared" si="62"/>
        <v>1</v>
      </c>
      <c r="R416" t="b">
        <f t="shared" si="63"/>
        <v>1</v>
      </c>
      <c r="S416" t="b">
        <f t="shared" si="64"/>
        <v>1</v>
      </c>
    </row>
    <row r="417" spans="1:19" x14ac:dyDescent="0.2">
      <c r="A417" s="106">
        <f>_xlfn.XLOOKUP(B417,pratos!B:B,pratos!A:A,"não")</f>
        <v>299</v>
      </c>
      <c r="B417" s="52" t="s">
        <v>441</v>
      </c>
      <c r="C417" s="105">
        <f>_xlfn.XLOOKUP(D417,ingredientes!B:B,ingredientes!A:A,"não")</f>
        <v>242</v>
      </c>
      <c r="D417" s="30" t="s">
        <v>276</v>
      </c>
      <c r="E417" s="86">
        <v>30</v>
      </c>
      <c r="H417">
        <f t="shared" si="65"/>
        <v>299</v>
      </c>
      <c r="I417">
        <f t="shared" si="66"/>
        <v>242</v>
      </c>
      <c r="J417">
        <f t="shared" si="67"/>
        <v>30</v>
      </c>
      <c r="K417">
        <f t="shared" ref="K417:K461" si="68">H417+I417</f>
        <v>541</v>
      </c>
      <c r="M417">
        <v>299</v>
      </c>
      <c r="N417">
        <v>242</v>
      </c>
      <c r="O417">
        <v>30</v>
      </c>
      <c r="Q417" t="b">
        <f t="shared" si="62"/>
        <v>1</v>
      </c>
      <c r="R417" t="b">
        <f t="shared" si="63"/>
        <v>1</v>
      </c>
      <c r="S417" t="b">
        <f t="shared" si="64"/>
        <v>1</v>
      </c>
    </row>
    <row r="418" spans="1:19" x14ac:dyDescent="0.2">
      <c r="A418" s="106">
        <f>_xlfn.XLOOKUP(B418,pratos!B:B,pratos!A:A,"não")</f>
        <v>300</v>
      </c>
      <c r="B418" s="52" t="s">
        <v>158</v>
      </c>
      <c r="C418" s="105">
        <f>_xlfn.XLOOKUP(D418,ingredientes!B:B,ingredientes!A:A,"não")</f>
        <v>227</v>
      </c>
      <c r="D418" s="9" t="s">
        <v>40</v>
      </c>
      <c r="E418" s="10">
        <v>50</v>
      </c>
      <c r="H418">
        <f t="shared" si="65"/>
        <v>300</v>
      </c>
      <c r="I418">
        <f t="shared" si="66"/>
        <v>227</v>
      </c>
      <c r="J418">
        <f t="shared" si="67"/>
        <v>50</v>
      </c>
      <c r="K418">
        <f t="shared" si="68"/>
        <v>527</v>
      </c>
      <c r="M418">
        <v>300</v>
      </c>
      <c r="N418">
        <v>227</v>
      </c>
      <c r="O418">
        <v>50</v>
      </c>
      <c r="Q418" t="b">
        <f t="shared" si="62"/>
        <v>1</v>
      </c>
      <c r="R418" t="b">
        <f t="shared" si="63"/>
        <v>1</v>
      </c>
      <c r="S418" t="b">
        <f t="shared" si="64"/>
        <v>1</v>
      </c>
    </row>
    <row r="419" spans="1:19" x14ac:dyDescent="0.2">
      <c r="A419" s="106">
        <f>_xlfn.XLOOKUP(B419,pratos!B:B,pratos!A:A,"não")</f>
        <v>301</v>
      </c>
      <c r="B419" s="52" t="s">
        <v>39</v>
      </c>
      <c r="C419" s="105">
        <f>_xlfn.XLOOKUP(D419,ingredientes!B:B,ingredientes!A:A,"não")</f>
        <v>198</v>
      </c>
      <c r="D419" s="9" t="s">
        <v>4</v>
      </c>
      <c r="E419" s="5">
        <v>5</v>
      </c>
      <c r="H419">
        <f t="shared" si="65"/>
        <v>301</v>
      </c>
      <c r="I419">
        <f t="shared" si="66"/>
        <v>198</v>
      </c>
      <c r="J419">
        <f t="shared" si="67"/>
        <v>5</v>
      </c>
      <c r="K419">
        <f t="shared" si="68"/>
        <v>499</v>
      </c>
      <c r="M419">
        <v>301</v>
      </c>
      <c r="N419">
        <v>198</v>
      </c>
      <c r="O419">
        <v>5</v>
      </c>
      <c r="Q419" t="b">
        <f t="shared" si="62"/>
        <v>1</v>
      </c>
      <c r="R419" t="b">
        <f t="shared" si="63"/>
        <v>1</v>
      </c>
      <c r="S419" t="b">
        <f t="shared" si="64"/>
        <v>1</v>
      </c>
    </row>
    <row r="420" spans="1:19" x14ac:dyDescent="0.2">
      <c r="A420" s="106">
        <f>_xlfn.XLOOKUP(B420,pratos!B:B,pratos!A:A,"não")</f>
        <v>302</v>
      </c>
      <c r="B420" s="108" t="s">
        <v>53</v>
      </c>
      <c r="C420" s="105">
        <f>_xlfn.XLOOKUP(D420,ingredientes!B:B,ingredientes!A:A,"não")</f>
        <v>198</v>
      </c>
      <c r="D420" s="9" t="s">
        <v>4</v>
      </c>
      <c r="E420" s="5">
        <v>5</v>
      </c>
      <c r="H420">
        <f t="shared" si="65"/>
        <v>302</v>
      </c>
      <c r="I420">
        <f t="shared" si="66"/>
        <v>198</v>
      </c>
      <c r="J420">
        <f t="shared" si="67"/>
        <v>5</v>
      </c>
      <c r="K420">
        <f t="shared" si="68"/>
        <v>500</v>
      </c>
      <c r="M420">
        <v>302</v>
      </c>
      <c r="N420">
        <v>198</v>
      </c>
      <c r="O420">
        <v>5</v>
      </c>
      <c r="Q420" t="b">
        <f t="shared" si="62"/>
        <v>1</v>
      </c>
      <c r="R420" t="b">
        <f t="shared" si="63"/>
        <v>1</v>
      </c>
      <c r="S420" t="b">
        <f t="shared" si="64"/>
        <v>1</v>
      </c>
    </row>
    <row r="421" spans="1:19" x14ac:dyDescent="0.2">
      <c r="A421" s="106">
        <f>_xlfn.XLOOKUP(B421,pratos!B:B,pratos!A:A,"não")</f>
        <v>302</v>
      </c>
      <c r="B421" s="111" t="s">
        <v>53</v>
      </c>
      <c r="C421" s="105">
        <f>_xlfn.XLOOKUP(D421,ingredientes!B:B,ingredientes!A:A,"não")</f>
        <v>228</v>
      </c>
      <c r="D421" s="18" t="s">
        <v>53</v>
      </c>
      <c r="E421" s="19">
        <v>50</v>
      </c>
      <c r="H421">
        <f t="shared" si="65"/>
        <v>302</v>
      </c>
      <c r="I421">
        <f t="shared" si="66"/>
        <v>228</v>
      </c>
      <c r="J421">
        <f t="shared" si="67"/>
        <v>50</v>
      </c>
      <c r="K421">
        <f t="shared" si="68"/>
        <v>530</v>
      </c>
      <c r="M421">
        <v>302</v>
      </c>
      <c r="N421">
        <v>228</v>
      </c>
      <c r="O421">
        <v>50</v>
      </c>
      <c r="Q421" t="b">
        <f t="shared" si="62"/>
        <v>1</v>
      </c>
      <c r="R421" t="b">
        <f t="shared" si="63"/>
        <v>1</v>
      </c>
      <c r="S421" t="b">
        <f t="shared" si="64"/>
        <v>1</v>
      </c>
    </row>
    <row r="422" spans="1:19" x14ac:dyDescent="0.2">
      <c r="A422" s="106">
        <f>_xlfn.XLOOKUP(B422,pratos!B:B,pratos!A:A,"não")</f>
        <v>303</v>
      </c>
      <c r="B422" s="111" t="s">
        <v>88</v>
      </c>
      <c r="C422" s="105">
        <f>_xlfn.XLOOKUP(D422,ingredientes!B:B,ingredientes!A:A,"não")</f>
        <v>227</v>
      </c>
      <c r="D422" s="9" t="s">
        <v>40</v>
      </c>
      <c r="E422" s="10">
        <v>50</v>
      </c>
      <c r="H422">
        <f t="shared" si="65"/>
        <v>303</v>
      </c>
      <c r="I422">
        <f t="shared" si="66"/>
        <v>227</v>
      </c>
      <c r="J422">
        <f t="shared" si="67"/>
        <v>50</v>
      </c>
      <c r="K422">
        <f t="shared" si="68"/>
        <v>530</v>
      </c>
      <c r="M422">
        <v>303</v>
      </c>
      <c r="N422">
        <v>227</v>
      </c>
      <c r="O422">
        <v>50</v>
      </c>
      <c r="Q422" t="b">
        <f t="shared" si="62"/>
        <v>1</v>
      </c>
      <c r="R422" t="b">
        <f t="shared" si="63"/>
        <v>1</v>
      </c>
      <c r="S422" t="b">
        <f t="shared" si="64"/>
        <v>1</v>
      </c>
    </row>
    <row r="423" spans="1:19" x14ac:dyDescent="0.2">
      <c r="A423" s="106">
        <f>_xlfn.XLOOKUP(B423,pratos!B:B,pratos!A:A,"não")</f>
        <v>304</v>
      </c>
      <c r="B423" s="108" t="s">
        <v>3</v>
      </c>
      <c r="C423" s="105">
        <f>_xlfn.XLOOKUP(D423,ingredientes!B:B,ingredientes!A:A,"não")</f>
        <v>198</v>
      </c>
      <c r="D423" s="4" t="s">
        <v>4</v>
      </c>
      <c r="E423" s="5">
        <v>5</v>
      </c>
      <c r="H423">
        <f t="shared" si="65"/>
        <v>304</v>
      </c>
      <c r="I423">
        <f t="shared" si="66"/>
        <v>198</v>
      </c>
      <c r="J423">
        <f t="shared" si="67"/>
        <v>5</v>
      </c>
      <c r="K423">
        <f t="shared" si="68"/>
        <v>502</v>
      </c>
      <c r="M423">
        <v>304</v>
      </c>
      <c r="N423">
        <v>198</v>
      </c>
      <c r="O423">
        <v>5</v>
      </c>
      <c r="Q423" t="b">
        <f t="shared" si="62"/>
        <v>1</v>
      </c>
      <c r="R423" t="b">
        <f t="shared" si="63"/>
        <v>1</v>
      </c>
      <c r="S423" t="b">
        <f t="shared" si="64"/>
        <v>1</v>
      </c>
    </row>
    <row r="424" spans="1:19" x14ac:dyDescent="0.2">
      <c r="A424" s="106">
        <f>_xlfn.XLOOKUP(B424,pratos!B:B,pratos!A:A,"não")</f>
        <v>304</v>
      </c>
      <c r="B424" s="112" t="s">
        <v>3</v>
      </c>
      <c r="C424" s="105">
        <f>_xlfn.XLOOKUP(D424,ingredientes!B:B,ingredientes!A:A,"não")</f>
        <v>229</v>
      </c>
      <c r="D424" s="77" t="s">
        <v>539</v>
      </c>
      <c r="E424" s="63">
        <v>50</v>
      </c>
      <c r="H424">
        <f t="shared" si="65"/>
        <v>304</v>
      </c>
      <c r="I424">
        <f t="shared" si="66"/>
        <v>229</v>
      </c>
      <c r="J424">
        <f t="shared" si="67"/>
        <v>50</v>
      </c>
      <c r="K424">
        <f t="shared" si="68"/>
        <v>533</v>
      </c>
      <c r="M424">
        <v>304</v>
      </c>
      <c r="N424">
        <v>229</v>
      </c>
      <c r="O424">
        <v>50</v>
      </c>
      <c r="Q424" t="b">
        <f t="shared" si="62"/>
        <v>1</v>
      </c>
      <c r="R424" t="b">
        <f t="shared" si="63"/>
        <v>1</v>
      </c>
      <c r="S424" t="b">
        <f t="shared" si="64"/>
        <v>1</v>
      </c>
    </row>
    <row r="425" spans="1:19" x14ac:dyDescent="0.2">
      <c r="A425" s="106">
        <f>_xlfn.XLOOKUP(B425,pratos!B:B,pratos!A:A,"não")</f>
        <v>305</v>
      </c>
      <c r="B425" s="108" t="s">
        <v>44</v>
      </c>
      <c r="C425" s="105">
        <f>_xlfn.XLOOKUP(D425,ingredientes!B:B,ingredientes!A:A,"não")</f>
        <v>198</v>
      </c>
      <c r="D425" s="9" t="s">
        <v>4</v>
      </c>
      <c r="E425" s="5">
        <v>5</v>
      </c>
      <c r="H425">
        <f t="shared" si="65"/>
        <v>305</v>
      </c>
      <c r="I425">
        <f t="shared" si="66"/>
        <v>198</v>
      </c>
      <c r="J425">
        <f t="shared" si="67"/>
        <v>5</v>
      </c>
      <c r="K425">
        <f t="shared" si="68"/>
        <v>503</v>
      </c>
      <c r="M425">
        <v>305</v>
      </c>
      <c r="N425">
        <v>198</v>
      </c>
      <c r="O425">
        <v>5</v>
      </c>
      <c r="Q425" t="b">
        <f t="shared" si="62"/>
        <v>1</v>
      </c>
      <c r="R425" t="b">
        <f t="shared" si="63"/>
        <v>1</v>
      </c>
      <c r="S425" t="b">
        <f t="shared" si="64"/>
        <v>1</v>
      </c>
    </row>
    <row r="426" spans="1:19" x14ac:dyDescent="0.2">
      <c r="A426" s="106">
        <f>_xlfn.XLOOKUP(B426,pratos!B:B,pratos!A:A,"não")</f>
        <v>305</v>
      </c>
      <c r="B426" s="111" t="s">
        <v>44</v>
      </c>
      <c r="C426" s="105">
        <f>_xlfn.XLOOKUP(D426,ingredientes!B:B,ingredientes!A:A,"não")</f>
        <v>230</v>
      </c>
      <c r="D426" s="9" t="s">
        <v>45</v>
      </c>
      <c r="E426" s="19">
        <v>50</v>
      </c>
      <c r="H426">
        <f t="shared" si="65"/>
        <v>305</v>
      </c>
      <c r="I426">
        <f t="shared" si="66"/>
        <v>230</v>
      </c>
      <c r="J426">
        <f t="shared" si="67"/>
        <v>50</v>
      </c>
      <c r="K426">
        <f t="shared" si="68"/>
        <v>535</v>
      </c>
      <c r="M426">
        <v>305</v>
      </c>
      <c r="N426">
        <v>230</v>
      </c>
      <c r="O426">
        <v>50</v>
      </c>
      <c r="Q426" t="b">
        <f t="shared" si="62"/>
        <v>1</v>
      </c>
      <c r="R426" t="b">
        <f t="shared" si="63"/>
        <v>1</v>
      </c>
      <c r="S426" t="b">
        <f t="shared" si="64"/>
        <v>1</v>
      </c>
    </row>
    <row r="427" spans="1:19" x14ac:dyDescent="0.2">
      <c r="A427" s="106">
        <f>_xlfn.XLOOKUP(B427,pratos!B:B,pratos!A:A,"não")</f>
        <v>306</v>
      </c>
      <c r="B427" s="52" t="s">
        <v>99</v>
      </c>
      <c r="C427" s="105">
        <f>_xlfn.XLOOKUP(D427,ingredientes!B:B,ingredientes!A:A,"não")</f>
        <v>199</v>
      </c>
      <c r="D427" s="12" t="s">
        <v>95</v>
      </c>
      <c r="E427" s="26">
        <v>5</v>
      </c>
      <c r="H427">
        <f t="shared" si="65"/>
        <v>306</v>
      </c>
      <c r="I427">
        <f t="shared" si="66"/>
        <v>199</v>
      </c>
      <c r="J427">
        <f t="shared" si="67"/>
        <v>5</v>
      </c>
      <c r="K427">
        <f t="shared" si="68"/>
        <v>505</v>
      </c>
      <c r="M427">
        <v>306</v>
      </c>
      <c r="N427">
        <v>199</v>
      </c>
      <c r="O427">
        <v>5</v>
      </c>
      <c r="Q427" t="b">
        <f t="shared" si="62"/>
        <v>1</v>
      </c>
      <c r="R427" t="b">
        <f t="shared" si="63"/>
        <v>1</v>
      </c>
      <c r="S427" t="b">
        <f t="shared" si="64"/>
        <v>1</v>
      </c>
    </row>
    <row r="428" spans="1:19" x14ac:dyDescent="0.2">
      <c r="A428" s="106">
        <f>_xlfn.XLOOKUP(B428,pratos!B:B,pratos!A:A,"não")</f>
        <v>306</v>
      </c>
      <c r="B428" s="111" t="s">
        <v>99</v>
      </c>
      <c r="C428" s="105">
        <f>_xlfn.XLOOKUP(D428,ingredientes!B:B,ingredientes!A:A,"não")</f>
        <v>231</v>
      </c>
      <c r="D428" s="3" t="s">
        <v>94</v>
      </c>
      <c r="E428" s="5">
        <v>50</v>
      </c>
      <c r="H428">
        <f t="shared" si="65"/>
        <v>306</v>
      </c>
      <c r="I428">
        <f t="shared" si="66"/>
        <v>231</v>
      </c>
      <c r="J428">
        <f t="shared" si="67"/>
        <v>50</v>
      </c>
      <c r="K428">
        <f t="shared" si="68"/>
        <v>537</v>
      </c>
      <c r="M428">
        <v>306</v>
      </c>
      <c r="N428">
        <v>231</v>
      </c>
      <c r="O428">
        <v>50</v>
      </c>
      <c r="Q428" t="b">
        <f t="shared" si="62"/>
        <v>1</v>
      </c>
      <c r="R428" t="b">
        <f t="shared" si="63"/>
        <v>1</v>
      </c>
      <c r="S428" t="b">
        <f t="shared" si="64"/>
        <v>1</v>
      </c>
    </row>
    <row r="429" spans="1:19" x14ac:dyDescent="0.2">
      <c r="A429" s="106">
        <f>_xlfn.XLOOKUP(B429,pratos!B:B,pratos!A:A,"não")</f>
        <v>308</v>
      </c>
      <c r="B429" s="52" t="s">
        <v>28</v>
      </c>
      <c r="C429" s="105">
        <f>_xlfn.XLOOKUP(D429,ingredientes!B:B,ingredientes!A:A,"não")</f>
        <v>188</v>
      </c>
      <c r="D429" s="30" t="s">
        <v>671</v>
      </c>
      <c r="E429" s="10">
        <v>100</v>
      </c>
      <c r="H429">
        <f t="shared" si="65"/>
        <v>308</v>
      </c>
      <c r="I429">
        <f t="shared" si="66"/>
        <v>188</v>
      </c>
      <c r="J429">
        <f t="shared" si="67"/>
        <v>100</v>
      </c>
      <c r="K429">
        <f t="shared" si="68"/>
        <v>496</v>
      </c>
      <c r="M429">
        <v>308</v>
      </c>
      <c r="N429">
        <v>188</v>
      </c>
      <c r="O429">
        <v>100</v>
      </c>
      <c r="Q429" t="b">
        <f t="shared" si="62"/>
        <v>1</v>
      </c>
      <c r="R429" t="b">
        <f t="shared" si="63"/>
        <v>1</v>
      </c>
      <c r="S429" t="b">
        <f t="shared" si="64"/>
        <v>1</v>
      </c>
    </row>
    <row r="430" spans="1:19" x14ac:dyDescent="0.2">
      <c r="A430" s="106">
        <f>_xlfn.XLOOKUP(B430,pratos!B:B,pratos!A:A,"não")</f>
        <v>308</v>
      </c>
      <c r="B430" s="52" t="s">
        <v>28</v>
      </c>
      <c r="C430" s="105">
        <f>_xlfn.XLOOKUP(D430,ingredientes!B:B,ingredientes!A:A,"não")</f>
        <v>195</v>
      </c>
      <c r="D430" s="9" t="s">
        <v>30</v>
      </c>
      <c r="E430" s="10">
        <v>1</v>
      </c>
      <c r="H430">
        <f t="shared" si="65"/>
        <v>308</v>
      </c>
      <c r="I430">
        <f t="shared" si="66"/>
        <v>195</v>
      </c>
      <c r="J430">
        <f t="shared" si="67"/>
        <v>1</v>
      </c>
      <c r="K430">
        <f t="shared" si="68"/>
        <v>503</v>
      </c>
      <c r="M430">
        <v>308</v>
      </c>
      <c r="N430">
        <v>195</v>
      </c>
      <c r="O430">
        <v>1</v>
      </c>
      <c r="Q430" t="b">
        <f t="shared" si="62"/>
        <v>1</v>
      </c>
      <c r="R430" t="b">
        <f t="shared" si="63"/>
        <v>1</v>
      </c>
      <c r="S430" t="b">
        <f t="shared" si="64"/>
        <v>1</v>
      </c>
    </row>
    <row r="431" spans="1:19" x14ac:dyDescent="0.2">
      <c r="A431" s="106">
        <f>_xlfn.XLOOKUP(B431,pratos!B:B,pratos!A:A,"não")</f>
        <v>308</v>
      </c>
      <c r="B431" s="52" t="s">
        <v>28</v>
      </c>
      <c r="C431" s="105">
        <f>_xlfn.XLOOKUP(D431,ingredientes!B:B,ingredientes!A:A,"não")</f>
        <v>277</v>
      </c>
      <c r="D431" s="9" t="s">
        <v>29</v>
      </c>
      <c r="E431" s="10">
        <v>10</v>
      </c>
      <c r="H431">
        <f t="shared" si="65"/>
        <v>308</v>
      </c>
      <c r="I431">
        <f t="shared" si="66"/>
        <v>277</v>
      </c>
      <c r="J431">
        <f t="shared" si="67"/>
        <v>10</v>
      </c>
      <c r="K431">
        <f t="shared" si="68"/>
        <v>585</v>
      </c>
      <c r="M431">
        <v>308</v>
      </c>
      <c r="N431">
        <v>277</v>
      </c>
      <c r="O431">
        <v>10</v>
      </c>
      <c r="Q431" t="b">
        <f t="shared" si="62"/>
        <v>1</v>
      </c>
      <c r="R431" t="b">
        <f t="shared" si="63"/>
        <v>1</v>
      </c>
      <c r="S431" t="b">
        <f t="shared" si="64"/>
        <v>1</v>
      </c>
    </row>
    <row r="432" spans="1:19" x14ac:dyDescent="0.2">
      <c r="A432" s="106">
        <f>_xlfn.XLOOKUP(B432,pratos!B:B,pratos!A:A,"não")</f>
        <v>309</v>
      </c>
      <c r="B432" s="135" t="s">
        <v>524</v>
      </c>
      <c r="C432" s="105">
        <f>_xlfn.XLOOKUP(D432,ingredientes!B:B,ingredientes!A:A,"não")</f>
        <v>189</v>
      </c>
      <c r="D432" s="97" t="s">
        <v>84</v>
      </c>
      <c r="E432" s="88">
        <v>100</v>
      </c>
      <c r="H432">
        <f t="shared" si="65"/>
        <v>309</v>
      </c>
      <c r="I432">
        <f t="shared" si="66"/>
        <v>189</v>
      </c>
      <c r="J432">
        <f t="shared" si="67"/>
        <v>100</v>
      </c>
      <c r="K432">
        <f t="shared" si="68"/>
        <v>498</v>
      </c>
      <c r="M432">
        <v>309</v>
      </c>
      <c r="N432">
        <v>189</v>
      </c>
      <c r="O432">
        <v>100</v>
      </c>
      <c r="Q432" t="b">
        <f t="shared" si="62"/>
        <v>1</v>
      </c>
      <c r="R432" t="b">
        <f t="shared" si="63"/>
        <v>1</v>
      </c>
      <c r="S432" t="b">
        <f t="shared" si="64"/>
        <v>1</v>
      </c>
    </row>
    <row r="433" spans="1:19" x14ac:dyDescent="0.2">
      <c r="A433" s="106">
        <f>_xlfn.XLOOKUP(B433,pratos!B:B,pratos!A:A,"não")</f>
        <v>310</v>
      </c>
      <c r="B433" s="52" t="s">
        <v>58</v>
      </c>
      <c r="C433" s="105">
        <f>_xlfn.XLOOKUP(D433,ingredientes!B:B,ingredientes!A:A,"não")</f>
        <v>188</v>
      </c>
      <c r="D433" s="30" t="s">
        <v>671</v>
      </c>
      <c r="E433" s="10">
        <v>100</v>
      </c>
      <c r="H433">
        <f t="shared" si="65"/>
        <v>310</v>
      </c>
      <c r="I433">
        <f t="shared" si="66"/>
        <v>188</v>
      </c>
      <c r="J433">
        <f t="shared" si="67"/>
        <v>100</v>
      </c>
      <c r="K433">
        <f t="shared" si="68"/>
        <v>498</v>
      </c>
      <c r="M433">
        <v>310</v>
      </c>
      <c r="N433">
        <v>188</v>
      </c>
      <c r="O433">
        <v>100</v>
      </c>
      <c r="Q433" t="b">
        <f t="shared" si="62"/>
        <v>1</v>
      </c>
      <c r="R433" t="b">
        <f t="shared" si="63"/>
        <v>1</v>
      </c>
      <c r="S433" t="b">
        <f t="shared" si="64"/>
        <v>1</v>
      </c>
    </row>
    <row r="434" spans="1:19" x14ac:dyDescent="0.2">
      <c r="A434" s="106">
        <f>_xlfn.XLOOKUP(B434,pratos!B:B,pratos!A:A,"não")</f>
        <v>310</v>
      </c>
      <c r="B434" s="52" t="s">
        <v>58</v>
      </c>
      <c r="C434" s="105">
        <f>_xlfn.XLOOKUP(D434,ingredientes!B:B,ingredientes!A:A,"não")</f>
        <v>195</v>
      </c>
      <c r="D434" s="9" t="s">
        <v>30</v>
      </c>
      <c r="E434" s="10">
        <v>1</v>
      </c>
      <c r="H434">
        <f t="shared" si="65"/>
        <v>310</v>
      </c>
      <c r="I434">
        <f t="shared" si="66"/>
        <v>195</v>
      </c>
      <c r="J434">
        <f t="shared" si="67"/>
        <v>1</v>
      </c>
      <c r="K434">
        <f t="shared" si="68"/>
        <v>505</v>
      </c>
      <c r="M434">
        <v>310</v>
      </c>
      <c r="N434">
        <v>195</v>
      </c>
      <c r="O434">
        <v>1</v>
      </c>
      <c r="Q434" t="b">
        <f t="shared" si="62"/>
        <v>1</v>
      </c>
      <c r="R434" t="b">
        <f t="shared" si="63"/>
        <v>1</v>
      </c>
      <c r="S434" t="b">
        <f t="shared" si="64"/>
        <v>1</v>
      </c>
    </row>
    <row r="435" spans="1:19" x14ac:dyDescent="0.2">
      <c r="A435" s="106">
        <f>_xlfn.XLOOKUP(B435,pratos!B:B,pratos!A:A,"não")</f>
        <v>310</v>
      </c>
      <c r="B435" s="52" t="s">
        <v>58</v>
      </c>
      <c r="C435" s="105">
        <f>_xlfn.XLOOKUP(D435,ingredientes!B:B,ingredientes!A:A,"não")</f>
        <v>211</v>
      </c>
      <c r="D435" s="12" t="s">
        <v>60</v>
      </c>
      <c r="E435" s="13">
        <v>20</v>
      </c>
      <c r="H435">
        <f t="shared" si="65"/>
        <v>310</v>
      </c>
      <c r="I435">
        <f t="shared" si="66"/>
        <v>211</v>
      </c>
      <c r="J435">
        <f t="shared" si="67"/>
        <v>20</v>
      </c>
      <c r="K435">
        <f t="shared" si="68"/>
        <v>521</v>
      </c>
      <c r="M435">
        <v>310</v>
      </c>
      <c r="N435">
        <v>211</v>
      </c>
      <c r="O435">
        <v>20</v>
      </c>
      <c r="Q435" t="b">
        <f t="shared" si="62"/>
        <v>1</v>
      </c>
      <c r="R435" t="b">
        <f t="shared" si="63"/>
        <v>1</v>
      </c>
      <c r="S435" t="b">
        <f t="shared" si="64"/>
        <v>1</v>
      </c>
    </row>
    <row r="436" spans="1:19" x14ac:dyDescent="0.2">
      <c r="A436" s="106">
        <f>_xlfn.XLOOKUP(B436,pratos!B:B,pratos!A:A,"não")</f>
        <v>311</v>
      </c>
      <c r="B436" s="116" t="s">
        <v>518</v>
      </c>
      <c r="C436" s="105">
        <f>_xlfn.XLOOKUP(D436,ingredientes!B:B,ingredientes!A:A,"não")</f>
        <v>235</v>
      </c>
      <c r="D436" s="143" t="s">
        <v>519</v>
      </c>
      <c r="E436" s="93">
        <v>120</v>
      </c>
      <c r="H436">
        <f t="shared" si="65"/>
        <v>311</v>
      </c>
      <c r="I436">
        <f t="shared" si="66"/>
        <v>235</v>
      </c>
      <c r="J436">
        <f t="shared" si="67"/>
        <v>120</v>
      </c>
      <c r="K436">
        <f t="shared" si="68"/>
        <v>546</v>
      </c>
      <c r="M436">
        <v>311</v>
      </c>
      <c r="N436">
        <v>235</v>
      </c>
      <c r="O436">
        <v>120</v>
      </c>
      <c r="Q436" t="b">
        <f t="shared" si="62"/>
        <v>1</v>
      </c>
      <c r="R436" t="b">
        <f t="shared" si="63"/>
        <v>1</v>
      </c>
      <c r="S436" t="b">
        <f t="shared" si="64"/>
        <v>1</v>
      </c>
    </row>
    <row r="437" spans="1:19" x14ac:dyDescent="0.2">
      <c r="A437" s="106">
        <f>_xlfn.XLOOKUP(B437,pratos!B:B,pratos!A:A,"não")</f>
        <v>312</v>
      </c>
      <c r="B437" s="52" t="s">
        <v>409</v>
      </c>
      <c r="C437" s="105">
        <f>_xlfn.XLOOKUP(D437,ingredientes!B:B,ingredientes!A:A,"não")</f>
        <v>236</v>
      </c>
      <c r="D437" s="138" t="s">
        <v>409</v>
      </c>
      <c r="E437" s="10">
        <v>80</v>
      </c>
      <c r="H437">
        <f t="shared" si="65"/>
        <v>312</v>
      </c>
      <c r="I437">
        <f t="shared" si="66"/>
        <v>236</v>
      </c>
      <c r="J437">
        <f t="shared" si="67"/>
        <v>80</v>
      </c>
      <c r="K437">
        <f t="shared" si="68"/>
        <v>548</v>
      </c>
      <c r="M437">
        <v>312</v>
      </c>
      <c r="N437">
        <v>236</v>
      </c>
      <c r="O437">
        <v>80</v>
      </c>
      <c r="Q437" t="b">
        <f t="shared" si="62"/>
        <v>1</v>
      </c>
      <c r="R437" t="b">
        <f t="shared" si="63"/>
        <v>1</v>
      </c>
      <c r="S437" t="b">
        <f t="shared" si="64"/>
        <v>1</v>
      </c>
    </row>
    <row r="438" spans="1:19" x14ac:dyDescent="0.2">
      <c r="A438" s="106">
        <f>_xlfn.XLOOKUP(B438,pratos!B:B,pratos!A:A,"não")</f>
        <v>313</v>
      </c>
      <c r="B438" s="52" t="s">
        <v>21</v>
      </c>
      <c r="C438" s="105">
        <f>_xlfn.XLOOKUP(D438,ingredientes!B:B,ingredientes!A:A,"não")</f>
        <v>237</v>
      </c>
      <c r="D438" s="9" t="s">
        <v>22</v>
      </c>
      <c r="E438" s="10">
        <v>30</v>
      </c>
      <c r="H438">
        <f t="shared" si="65"/>
        <v>313</v>
      </c>
      <c r="I438">
        <f t="shared" si="66"/>
        <v>237</v>
      </c>
      <c r="J438">
        <f t="shared" si="67"/>
        <v>30</v>
      </c>
      <c r="K438">
        <f t="shared" si="68"/>
        <v>550</v>
      </c>
      <c r="M438">
        <v>313</v>
      </c>
      <c r="N438">
        <v>237</v>
      </c>
      <c r="O438">
        <v>30</v>
      </c>
      <c r="Q438" t="b">
        <f t="shared" si="62"/>
        <v>1</v>
      </c>
      <c r="R438" t="b">
        <f t="shared" si="63"/>
        <v>1</v>
      </c>
      <c r="S438" t="b">
        <f t="shared" si="64"/>
        <v>1</v>
      </c>
    </row>
    <row r="439" spans="1:19" x14ac:dyDescent="0.2">
      <c r="A439" s="106">
        <f>_xlfn.XLOOKUP(B439,pratos!B:B,pratos!A:A,"não")</f>
        <v>314</v>
      </c>
      <c r="B439" s="130" t="s">
        <v>580</v>
      </c>
      <c r="C439" s="105">
        <f>_xlfn.XLOOKUP(D439,ingredientes!B:B,ingredientes!A:A,"não")</f>
        <v>242</v>
      </c>
      <c r="D439" s="30" t="s">
        <v>276</v>
      </c>
      <c r="E439" s="103">
        <v>120</v>
      </c>
      <c r="H439">
        <f t="shared" si="65"/>
        <v>314</v>
      </c>
      <c r="I439">
        <f t="shared" si="66"/>
        <v>242</v>
      </c>
      <c r="J439">
        <f t="shared" si="67"/>
        <v>120</v>
      </c>
      <c r="K439">
        <f t="shared" si="68"/>
        <v>556</v>
      </c>
      <c r="M439">
        <v>314</v>
      </c>
      <c r="N439">
        <v>242</v>
      </c>
      <c r="O439">
        <v>120</v>
      </c>
      <c r="Q439" t="b">
        <f t="shared" si="62"/>
        <v>1</v>
      </c>
      <c r="R439" t="b">
        <f t="shared" si="63"/>
        <v>1</v>
      </c>
      <c r="S439" t="b">
        <f t="shared" si="64"/>
        <v>1</v>
      </c>
    </row>
    <row r="440" spans="1:19" x14ac:dyDescent="0.2">
      <c r="A440" s="106">
        <f>_xlfn.XLOOKUP(B440,pratos!B:B,pratos!A:A,"não")</f>
        <v>315</v>
      </c>
      <c r="B440" s="116" t="s">
        <v>492</v>
      </c>
      <c r="C440" s="105">
        <f>_xlfn.XLOOKUP(D440,ingredientes!B:B,ingredientes!A:A,"não")</f>
        <v>24</v>
      </c>
      <c r="D440" s="80" t="s">
        <v>102</v>
      </c>
      <c r="E440" s="10">
        <v>1</v>
      </c>
      <c r="H440">
        <f t="shared" si="65"/>
        <v>315</v>
      </c>
      <c r="I440">
        <f t="shared" si="66"/>
        <v>24</v>
      </c>
      <c r="J440">
        <f t="shared" si="67"/>
        <v>1</v>
      </c>
      <c r="K440">
        <f t="shared" si="68"/>
        <v>339</v>
      </c>
      <c r="M440">
        <v>315</v>
      </c>
      <c r="N440">
        <v>24</v>
      </c>
      <c r="O440">
        <v>1</v>
      </c>
      <c r="Q440" t="b">
        <f t="shared" si="62"/>
        <v>1</v>
      </c>
      <c r="R440" t="b">
        <f t="shared" si="63"/>
        <v>1</v>
      </c>
      <c r="S440" t="b">
        <f t="shared" si="64"/>
        <v>1</v>
      </c>
    </row>
    <row r="441" spans="1:19" x14ac:dyDescent="0.2">
      <c r="A441" s="106">
        <f>_xlfn.XLOOKUP(B441,pratos!B:B,pratos!A:A,"não")</f>
        <v>315</v>
      </c>
      <c r="B441" s="116" t="s">
        <v>492</v>
      </c>
      <c r="C441" s="105">
        <f>_xlfn.XLOOKUP(D441,ingredientes!B:B,ingredientes!A:A,"não")</f>
        <v>75</v>
      </c>
      <c r="D441" s="80" t="s">
        <v>48</v>
      </c>
      <c r="E441" s="10">
        <v>150</v>
      </c>
      <c r="H441">
        <f t="shared" si="65"/>
        <v>315</v>
      </c>
      <c r="I441">
        <f t="shared" si="66"/>
        <v>75</v>
      </c>
      <c r="J441">
        <f t="shared" si="67"/>
        <v>150</v>
      </c>
      <c r="K441">
        <f t="shared" si="68"/>
        <v>390</v>
      </c>
      <c r="M441">
        <v>315</v>
      </c>
      <c r="N441">
        <v>75</v>
      </c>
      <c r="O441">
        <v>150</v>
      </c>
      <c r="Q441" t="b">
        <f t="shared" si="62"/>
        <v>1</v>
      </c>
      <c r="R441" t="b">
        <f t="shared" si="63"/>
        <v>1</v>
      </c>
      <c r="S441" t="b">
        <f t="shared" si="64"/>
        <v>1</v>
      </c>
    </row>
    <row r="442" spans="1:19" x14ac:dyDescent="0.2">
      <c r="A442" s="106">
        <f>_xlfn.XLOOKUP(B442,pratos!B:B,pratos!A:A,"não")</f>
        <v>315</v>
      </c>
      <c r="B442" s="116" t="s">
        <v>492</v>
      </c>
      <c r="C442" s="105">
        <f>_xlfn.XLOOKUP(D442,ingredientes!B:B,ingredientes!A:A,"não")</f>
        <v>113</v>
      </c>
      <c r="D442" s="80" t="s">
        <v>368</v>
      </c>
      <c r="E442" s="10">
        <v>5</v>
      </c>
      <c r="H442">
        <f t="shared" si="65"/>
        <v>315</v>
      </c>
      <c r="I442">
        <f t="shared" si="66"/>
        <v>113</v>
      </c>
      <c r="J442">
        <f t="shared" si="67"/>
        <v>5</v>
      </c>
      <c r="K442">
        <f t="shared" si="68"/>
        <v>428</v>
      </c>
      <c r="M442">
        <v>315</v>
      </c>
      <c r="N442">
        <v>113</v>
      </c>
      <c r="O442">
        <v>5</v>
      </c>
      <c r="Q442" t="b">
        <f t="shared" si="62"/>
        <v>1</v>
      </c>
      <c r="R442" t="b">
        <f t="shared" si="63"/>
        <v>1</v>
      </c>
      <c r="S442" t="b">
        <f t="shared" si="64"/>
        <v>1</v>
      </c>
    </row>
    <row r="443" spans="1:19" x14ac:dyDescent="0.2">
      <c r="A443" s="106">
        <f>_xlfn.XLOOKUP(B443,pratos!B:B,pratos!A:A,"não")</f>
        <v>317</v>
      </c>
      <c r="B443" s="109" t="s">
        <v>415</v>
      </c>
      <c r="C443" s="105">
        <f>_xlfn.XLOOKUP(D443,ingredientes!B:B,ingredientes!A:A,"não")</f>
        <v>24</v>
      </c>
      <c r="D443" s="80" t="s">
        <v>102</v>
      </c>
      <c r="E443" s="10">
        <v>1</v>
      </c>
      <c r="H443">
        <f t="shared" si="65"/>
        <v>317</v>
      </c>
      <c r="I443">
        <f t="shared" si="66"/>
        <v>24</v>
      </c>
      <c r="J443">
        <f t="shared" si="67"/>
        <v>1</v>
      </c>
      <c r="K443">
        <f t="shared" si="68"/>
        <v>341</v>
      </c>
      <c r="M443">
        <v>317</v>
      </c>
      <c r="N443">
        <v>24</v>
      </c>
      <c r="O443">
        <v>1</v>
      </c>
      <c r="Q443" t="b">
        <f t="shared" si="62"/>
        <v>1</v>
      </c>
      <c r="R443" t="b">
        <f t="shared" si="63"/>
        <v>1</v>
      </c>
      <c r="S443" t="b">
        <f t="shared" si="64"/>
        <v>1</v>
      </c>
    </row>
    <row r="444" spans="1:19" x14ac:dyDescent="0.2">
      <c r="A444" s="106">
        <f>_xlfn.XLOOKUP(B444,pratos!B:B,pratos!A:A,"não")</f>
        <v>317</v>
      </c>
      <c r="B444" s="109" t="s">
        <v>415</v>
      </c>
      <c r="C444" s="105">
        <f>_xlfn.XLOOKUP(D444,ingredientes!B:B,ingredientes!A:A,"não")</f>
        <v>75</v>
      </c>
      <c r="D444" s="80" t="s">
        <v>48</v>
      </c>
      <c r="E444" s="10">
        <v>150</v>
      </c>
      <c r="H444">
        <f t="shared" si="65"/>
        <v>317</v>
      </c>
      <c r="I444">
        <f t="shared" si="66"/>
        <v>75</v>
      </c>
      <c r="J444">
        <f t="shared" si="67"/>
        <v>150</v>
      </c>
      <c r="K444">
        <f t="shared" si="68"/>
        <v>392</v>
      </c>
      <c r="M444">
        <v>317</v>
      </c>
      <c r="N444">
        <v>75</v>
      </c>
      <c r="O444">
        <v>150</v>
      </c>
      <c r="Q444" t="b">
        <f t="shared" si="62"/>
        <v>1</v>
      </c>
      <c r="R444" t="b">
        <f t="shared" si="63"/>
        <v>1</v>
      </c>
      <c r="S444" t="b">
        <f t="shared" si="64"/>
        <v>1</v>
      </c>
    </row>
    <row r="445" spans="1:19" x14ac:dyDescent="0.2">
      <c r="A445" s="106">
        <f>_xlfn.XLOOKUP(B445,pratos!B:B,pratos!A:A,"não")</f>
        <v>317</v>
      </c>
      <c r="B445" s="109" t="s">
        <v>415</v>
      </c>
      <c r="C445" s="105">
        <f>_xlfn.XLOOKUP(D445,ingredientes!B:B,ingredientes!A:A,"não")</f>
        <v>113</v>
      </c>
      <c r="D445" s="80" t="s">
        <v>368</v>
      </c>
      <c r="E445" s="10">
        <v>5</v>
      </c>
      <c r="H445">
        <f t="shared" si="65"/>
        <v>317</v>
      </c>
      <c r="I445">
        <f t="shared" si="66"/>
        <v>113</v>
      </c>
      <c r="J445">
        <f t="shared" si="67"/>
        <v>5</v>
      </c>
      <c r="K445">
        <f t="shared" si="68"/>
        <v>430</v>
      </c>
      <c r="M445">
        <v>317</v>
      </c>
      <c r="N445">
        <v>113</v>
      </c>
      <c r="O445">
        <v>5</v>
      </c>
      <c r="Q445" t="b">
        <f t="shared" si="62"/>
        <v>1</v>
      </c>
      <c r="R445" t="b">
        <f t="shared" si="63"/>
        <v>1</v>
      </c>
      <c r="S445" t="b">
        <f t="shared" si="64"/>
        <v>1</v>
      </c>
    </row>
    <row r="446" spans="1:19" x14ac:dyDescent="0.2">
      <c r="A446" s="106">
        <f>_xlfn.XLOOKUP(B446,pratos!B:B,pratos!A:A,"não")</f>
        <v>318</v>
      </c>
      <c r="B446" s="52" t="s">
        <v>474</v>
      </c>
      <c r="C446" s="105">
        <f>_xlfn.XLOOKUP(D446,ingredientes!B:B,ingredientes!A:A,"não")</f>
        <v>75</v>
      </c>
      <c r="D446" s="79" t="s">
        <v>48</v>
      </c>
      <c r="E446" s="10">
        <v>100</v>
      </c>
      <c r="H446">
        <f t="shared" si="65"/>
        <v>318</v>
      </c>
      <c r="I446">
        <f t="shared" si="66"/>
        <v>75</v>
      </c>
      <c r="J446">
        <f t="shared" si="67"/>
        <v>100</v>
      </c>
      <c r="K446">
        <f t="shared" si="68"/>
        <v>393</v>
      </c>
      <c r="M446">
        <v>318</v>
      </c>
      <c r="N446">
        <v>75</v>
      </c>
      <c r="O446">
        <v>100</v>
      </c>
      <c r="Q446" t="b">
        <f t="shared" si="62"/>
        <v>1</v>
      </c>
      <c r="R446" t="b">
        <f t="shared" si="63"/>
        <v>1</v>
      </c>
      <c r="S446" t="b">
        <f t="shared" si="64"/>
        <v>1</v>
      </c>
    </row>
    <row r="447" spans="1:19" x14ac:dyDescent="0.2">
      <c r="A447" s="106">
        <f>_xlfn.XLOOKUP(B447,pratos!B:B,pratos!A:A,"não")</f>
        <v>318</v>
      </c>
      <c r="B447" s="52" t="s">
        <v>474</v>
      </c>
      <c r="C447" s="105">
        <f>_xlfn.XLOOKUP(D447,ingredientes!B:B,ingredientes!A:A,"não")</f>
        <v>207</v>
      </c>
      <c r="D447" s="38" t="s">
        <v>475</v>
      </c>
      <c r="E447" s="10">
        <v>5</v>
      </c>
      <c r="H447">
        <f t="shared" si="65"/>
        <v>318</v>
      </c>
      <c r="I447">
        <f t="shared" si="66"/>
        <v>207</v>
      </c>
      <c r="J447">
        <f t="shared" si="67"/>
        <v>5</v>
      </c>
      <c r="K447">
        <f t="shared" si="68"/>
        <v>525</v>
      </c>
      <c r="M447">
        <v>318</v>
      </c>
      <c r="N447">
        <v>207</v>
      </c>
      <c r="O447">
        <v>5</v>
      </c>
      <c r="Q447" t="b">
        <f t="shared" si="62"/>
        <v>1</v>
      </c>
      <c r="R447" t="b">
        <f t="shared" si="63"/>
        <v>1</v>
      </c>
      <c r="S447" t="b">
        <f t="shared" si="64"/>
        <v>1</v>
      </c>
    </row>
    <row r="448" spans="1:19" x14ac:dyDescent="0.2">
      <c r="A448" s="106">
        <f>_xlfn.XLOOKUP(B448,pratos!B:B,pratos!A:A,"não")</f>
        <v>319</v>
      </c>
      <c r="B448" s="111" t="s">
        <v>101</v>
      </c>
      <c r="C448" s="105">
        <f>_xlfn.XLOOKUP(D448,ingredientes!B:B,ingredientes!A:A,"não")</f>
        <v>24</v>
      </c>
      <c r="D448" s="11" t="s">
        <v>102</v>
      </c>
      <c r="E448" s="17">
        <v>1</v>
      </c>
      <c r="H448">
        <f t="shared" si="65"/>
        <v>319</v>
      </c>
      <c r="I448">
        <f t="shared" si="66"/>
        <v>24</v>
      </c>
      <c r="J448">
        <f t="shared" si="67"/>
        <v>1</v>
      </c>
      <c r="K448">
        <f t="shared" si="68"/>
        <v>343</v>
      </c>
      <c r="M448">
        <v>319</v>
      </c>
      <c r="N448">
        <v>24</v>
      </c>
      <c r="O448">
        <v>1</v>
      </c>
      <c r="Q448" t="b">
        <f t="shared" si="62"/>
        <v>1</v>
      </c>
      <c r="R448" t="b">
        <f t="shared" si="63"/>
        <v>1</v>
      </c>
      <c r="S448" t="b">
        <f t="shared" si="64"/>
        <v>1</v>
      </c>
    </row>
    <row r="449" spans="1:19" x14ac:dyDescent="0.2">
      <c r="A449" s="106">
        <f>_xlfn.XLOOKUP(B449,pratos!B:B,pratos!A:A,"não")</f>
        <v>319</v>
      </c>
      <c r="B449" s="111" t="s">
        <v>101</v>
      </c>
      <c r="C449" s="105">
        <f>_xlfn.XLOOKUP(D449,ingredientes!B:B,ingredientes!A:A,"não")</f>
        <v>28</v>
      </c>
      <c r="D449" s="11" t="s">
        <v>104</v>
      </c>
      <c r="E449" s="17">
        <v>5</v>
      </c>
      <c r="H449">
        <f t="shared" si="65"/>
        <v>319</v>
      </c>
      <c r="I449">
        <f t="shared" si="66"/>
        <v>28</v>
      </c>
      <c r="J449">
        <f t="shared" si="67"/>
        <v>5</v>
      </c>
      <c r="K449">
        <f t="shared" si="68"/>
        <v>347</v>
      </c>
      <c r="M449">
        <v>319</v>
      </c>
      <c r="N449">
        <v>28</v>
      </c>
      <c r="O449">
        <v>5</v>
      </c>
      <c r="Q449" t="b">
        <f t="shared" si="62"/>
        <v>1</v>
      </c>
      <c r="R449" t="b">
        <f t="shared" si="63"/>
        <v>1</v>
      </c>
      <c r="S449" t="b">
        <f t="shared" si="64"/>
        <v>1</v>
      </c>
    </row>
    <row r="450" spans="1:19" x14ac:dyDescent="0.2">
      <c r="A450" s="106">
        <f>_xlfn.XLOOKUP(B450,pratos!B:B,pratos!A:A,"não")</f>
        <v>319</v>
      </c>
      <c r="B450" s="111" t="s">
        <v>101</v>
      </c>
      <c r="C450" s="105">
        <f>_xlfn.XLOOKUP(D450,ingredientes!B:B,ingredientes!A:A,"não")</f>
        <v>42</v>
      </c>
      <c r="D450" s="29" t="s">
        <v>103</v>
      </c>
      <c r="E450" s="17">
        <v>5</v>
      </c>
      <c r="H450">
        <f t="shared" si="65"/>
        <v>319</v>
      </c>
      <c r="I450">
        <f t="shared" si="66"/>
        <v>42</v>
      </c>
      <c r="J450">
        <f t="shared" si="67"/>
        <v>5</v>
      </c>
      <c r="K450">
        <f t="shared" si="68"/>
        <v>361</v>
      </c>
      <c r="M450">
        <v>319</v>
      </c>
      <c r="N450">
        <v>42</v>
      </c>
      <c r="O450">
        <v>5</v>
      </c>
      <c r="Q450" t="b">
        <f t="shared" si="62"/>
        <v>1</v>
      </c>
      <c r="R450" t="b">
        <f t="shared" si="63"/>
        <v>1</v>
      </c>
      <c r="S450" t="b">
        <f t="shared" si="64"/>
        <v>1</v>
      </c>
    </row>
    <row r="451" spans="1:19" x14ac:dyDescent="0.2">
      <c r="A451" s="106">
        <f>_xlfn.XLOOKUP(B451,pratos!B:B,pratos!A:A,"não")</f>
        <v>319</v>
      </c>
      <c r="B451" s="111" t="s">
        <v>101</v>
      </c>
      <c r="C451" s="105">
        <f>_xlfn.XLOOKUP(D451,ingredientes!B:B,ingredientes!A:A,"não")</f>
        <v>75</v>
      </c>
      <c r="D451" s="11" t="s">
        <v>48</v>
      </c>
      <c r="E451" s="10">
        <v>100</v>
      </c>
      <c r="H451">
        <f t="shared" si="65"/>
        <v>319</v>
      </c>
      <c r="I451">
        <f t="shared" si="66"/>
        <v>75</v>
      </c>
      <c r="J451">
        <f t="shared" si="67"/>
        <v>100</v>
      </c>
      <c r="K451">
        <f t="shared" si="68"/>
        <v>394</v>
      </c>
      <c r="M451">
        <v>319</v>
      </c>
      <c r="N451">
        <v>75</v>
      </c>
      <c r="O451">
        <v>100</v>
      </c>
      <c r="Q451" t="b">
        <f t="shared" si="62"/>
        <v>1</v>
      </c>
      <c r="R451" t="b">
        <f t="shared" si="63"/>
        <v>1</v>
      </c>
      <c r="S451" t="b">
        <f t="shared" si="64"/>
        <v>1</v>
      </c>
    </row>
    <row r="452" spans="1:19" x14ac:dyDescent="0.2">
      <c r="A452" s="106">
        <f>_xlfn.XLOOKUP(B452,pratos!B:B,pratos!A:A,"não")</f>
        <v>319</v>
      </c>
      <c r="B452" s="111" t="s">
        <v>101</v>
      </c>
      <c r="C452" s="105">
        <f>_xlfn.XLOOKUP(D452,ingredientes!B:B,ingredientes!A:A,"não")</f>
        <v>180</v>
      </c>
      <c r="D452" s="20" t="s">
        <v>76</v>
      </c>
      <c r="E452" s="27">
        <v>10</v>
      </c>
      <c r="H452">
        <f t="shared" si="65"/>
        <v>319</v>
      </c>
      <c r="I452">
        <f t="shared" si="66"/>
        <v>180</v>
      </c>
      <c r="J452">
        <f t="shared" si="67"/>
        <v>10</v>
      </c>
      <c r="K452">
        <f t="shared" si="68"/>
        <v>499</v>
      </c>
      <c r="M452">
        <v>319</v>
      </c>
      <c r="N452">
        <v>180</v>
      </c>
      <c r="O452">
        <v>10</v>
      </c>
      <c r="Q452" t="b">
        <f t="shared" si="62"/>
        <v>1</v>
      </c>
      <c r="R452" t="b">
        <f t="shared" si="63"/>
        <v>1</v>
      </c>
      <c r="S452" t="b">
        <f t="shared" si="64"/>
        <v>1</v>
      </c>
    </row>
    <row r="453" spans="1:19" x14ac:dyDescent="0.2">
      <c r="A453" s="106">
        <f>_xlfn.XLOOKUP(B453,pratos!B:B,pratos!A:A,"não")</f>
        <v>320</v>
      </c>
      <c r="B453" s="111" t="s">
        <v>111</v>
      </c>
      <c r="C453" s="105">
        <f>_xlfn.XLOOKUP(D453,ingredientes!B:B,ingredientes!A:A,"não")</f>
        <v>76</v>
      </c>
      <c r="D453" s="20" t="s">
        <v>112</v>
      </c>
      <c r="E453" s="19">
        <v>120</v>
      </c>
      <c r="H453">
        <f t="shared" si="65"/>
        <v>320</v>
      </c>
      <c r="I453">
        <f t="shared" si="66"/>
        <v>76</v>
      </c>
      <c r="J453">
        <f t="shared" si="67"/>
        <v>120</v>
      </c>
      <c r="K453">
        <f t="shared" si="68"/>
        <v>396</v>
      </c>
      <c r="M453">
        <v>320</v>
      </c>
      <c r="N453">
        <v>76</v>
      </c>
      <c r="O453">
        <v>120</v>
      </c>
      <c r="Q453" t="b">
        <f t="shared" si="62"/>
        <v>1</v>
      </c>
      <c r="R453" t="b">
        <f t="shared" si="63"/>
        <v>1</v>
      </c>
      <c r="S453" t="b">
        <f t="shared" si="64"/>
        <v>1</v>
      </c>
    </row>
    <row r="454" spans="1:19" x14ac:dyDescent="0.2">
      <c r="A454" s="106">
        <f>_xlfn.XLOOKUP(B454,pratos!B:B,pratos!A:A,"não")</f>
        <v>321</v>
      </c>
      <c r="B454" s="130" t="s">
        <v>420</v>
      </c>
      <c r="C454" s="105">
        <f>_xlfn.XLOOKUP(D454,ingredientes!B:B,ingredientes!A:A,"não")</f>
        <v>24</v>
      </c>
      <c r="D454" s="80" t="s">
        <v>102</v>
      </c>
      <c r="E454" s="10">
        <v>1</v>
      </c>
      <c r="H454">
        <f t="shared" si="65"/>
        <v>321</v>
      </c>
      <c r="I454">
        <f t="shared" si="66"/>
        <v>24</v>
      </c>
      <c r="J454">
        <f t="shared" si="67"/>
        <v>1</v>
      </c>
      <c r="K454">
        <f t="shared" si="68"/>
        <v>345</v>
      </c>
      <c r="M454">
        <v>321</v>
      </c>
      <c r="N454">
        <v>24</v>
      </c>
      <c r="O454">
        <v>1</v>
      </c>
      <c r="Q454" t="b">
        <f t="shared" si="62"/>
        <v>1</v>
      </c>
      <c r="R454" t="b">
        <f t="shared" si="63"/>
        <v>1</v>
      </c>
      <c r="S454" t="b">
        <f t="shared" si="64"/>
        <v>1</v>
      </c>
    </row>
    <row r="455" spans="1:19" x14ac:dyDescent="0.2">
      <c r="A455" s="106">
        <f>_xlfn.XLOOKUP(B455,pratos!B:B,pratos!A:A,"não")</f>
        <v>321</v>
      </c>
      <c r="B455" s="130" t="s">
        <v>420</v>
      </c>
      <c r="C455" s="105">
        <f>_xlfn.XLOOKUP(D455,ingredientes!B:B,ingredientes!A:A,"não")</f>
        <v>75</v>
      </c>
      <c r="D455" s="79" t="s">
        <v>48</v>
      </c>
      <c r="E455" s="10">
        <v>150</v>
      </c>
      <c r="H455">
        <f t="shared" si="65"/>
        <v>321</v>
      </c>
      <c r="I455">
        <f t="shared" si="66"/>
        <v>75</v>
      </c>
      <c r="J455">
        <f t="shared" si="67"/>
        <v>150</v>
      </c>
      <c r="K455">
        <f t="shared" si="68"/>
        <v>396</v>
      </c>
      <c r="M455">
        <v>321</v>
      </c>
      <c r="N455">
        <v>75</v>
      </c>
      <c r="O455">
        <v>150</v>
      </c>
      <c r="Q455" t="b">
        <f t="shared" si="62"/>
        <v>1</v>
      </c>
      <c r="R455" t="b">
        <f t="shared" si="63"/>
        <v>1</v>
      </c>
      <c r="S455" t="b">
        <f t="shared" si="64"/>
        <v>1</v>
      </c>
    </row>
    <row r="456" spans="1:19" x14ac:dyDescent="0.2">
      <c r="A456" s="106">
        <f>_xlfn.XLOOKUP(B456,pratos!B:B,pratos!A:A,"não")</f>
        <v>321</v>
      </c>
      <c r="B456" s="130" t="s">
        <v>420</v>
      </c>
      <c r="C456" s="105">
        <f>_xlfn.XLOOKUP(D456,ingredientes!B:B,ingredientes!A:A,"não")</f>
        <v>113</v>
      </c>
      <c r="D456" s="80" t="s">
        <v>368</v>
      </c>
      <c r="E456" s="10">
        <v>5</v>
      </c>
      <c r="H456">
        <f t="shared" si="65"/>
        <v>321</v>
      </c>
      <c r="I456">
        <f t="shared" si="66"/>
        <v>113</v>
      </c>
      <c r="J456">
        <f t="shared" si="67"/>
        <v>5</v>
      </c>
      <c r="K456">
        <f t="shared" si="68"/>
        <v>434</v>
      </c>
      <c r="M456">
        <v>321</v>
      </c>
      <c r="N456">
        <v>113</v>
      </c>
      <c r="O456">
        <v>5</v>
      </c>
      <c r="Q456" t="b">
        <f t="shared" si="62"/>
        <v>1</v>
      </c>
      <c r="R456" t="b">
        <f t="shared" si="63"/>
        <v>1</v>
      </c>
      <c r="S456" t="b">
        <f t="shared" si="64"/>
        <v>1</v>
      </c>
    </row>
    <row r="457" spans="1:19" x14ac:dyDescent="0.2">
      <c r="A457" s="106">
        <f>_xlfn.XLOOKUP(B457,pratos!B:B,pratos!A:A,"não")</f>
        <v>322</v>
      </c>
      <c r="B457" s="116" t="s">
        <v>570</v>
      </c>
      <c r="C457" s="105">
        <f>_xlfn.XLOOKUP(D457,ingredientes!B:B,ingredientes!A:A,"não")</f>
        <v>189</v>
      </c>
      <c r="D457" s="97" t="s">
        <v>84</v>
      </c>
      <c r="E457" s="82">
        <v>100</v>
      </c>
      <c r="H457">
        <f t="shared" si="65"/>
        <v>322</v>
      </c>
      <c r="I457">
        <f t="shared" si="66"/>
        <v>189</v>
      </c>
      <c r="J457">
        <f t="shared" si="67"/>
        <v>100</v>
      </c>
      <c r="K457">
        <f t="shared" si="68"/>
        <v>511</v>
      </c>
      <c r="M457">
        <v>322</v>
      </c>
      <c r="N457">
        <v>189</v>
      </c>
      <c r="O457">
        <v>100</v>
      </c>
      <c r="Q457" t="b">
        <f t="shared" si="62"/>
        <v>1</v>
      </c>
      <c r="R457" t="b">
        <f t="shared" si="63"/>
        <v>1</v>
      </c>
      <c r="S457" t="b">
        <f t="shared" si="64"/>
        <v>1</v>
      </c>
    </row>
    <row r="458" spans="1:19" x14ac:dyDescent="0.2">
      <c r="A458" s="106">
        <f>_xlfn.XLOOKUP(B458,pratos!B:B,pratos!A:A,"não")</f>
        <v>323</v>
      </c>
      <c r="B458" s="109" t="s">
        <v>432</v>
      </c>
      <c r="C458" s="105">
        <f>_xlfn.XLOOKUP(D458,ingredientes!B:B,ingredientes!A:A,"não")</f>
        <v>93</v>
      </c>
      <c r="D458" s="9" t="s">
        <v>435</v>
      </c>
      <c r="E458" s="10">
        <v>5</v>
      </c>
      <c r="H458">
        <f t="shared" si="65"/>
        <v>323</v>
      </c>
      <c r="I458">
        <f t="shared" si="66"/>
        <v>93</v>
      </c>
      <c r="J458">
        <f t="shared" si="67"/>
        <v>5</v>
      </c>
      <c r="K458">
        <f t="shared" si="68"/>
        <v>416</v>
      </c>
      <c r="M458">
        <v>323</v>
      </c>
      <c r="N458">
        <v>93</v>
      </c>
      <c r="O458">
        <v>5</v>
      </c>
      <c r="Q458" t="b">
        <f t="shared" si="62"/>
        <v>1</v>
      </c>
      <c r="R458" t="b">
        <f t="shared" si="63"/>
        <v>1</v>
      </c>
      <c r="S458" t="b">
        <f t="shared" si="64"/>
        <v>1</v>
      </c>
    </row>
    <row r="459" spans="1:19" x14ac:dyDescent="0.2">
      <c r="A459" s="106">
        <f>_xlfn.XLOOKUP(B459,pratos!B:B,pratos!A:A,"não")</f>
        <v>323</v>
      </c>
      <c r="B459" s="109" t="s">
        <v>432</v>
      </c>
      <c r="C459" s="105">
        <f>_xlfn.XLOOKUP(D459,ingredientes!B:B,ingredientes!A:A,"não")</f>
        <v>247</v>
      </c>
      <c r="D459" s="61" t="s">
        <v>433</v>
      </c>
      <c r="E459" s="88">
        <v>25</v>
      </c>
      <c r="H459">
        <f t="shared" si="65"/>
        <v>323</v>
      </c>
      <c r="I459">
        <f t="shared" si="66"/>
        <v>247</v>
      </c>
      <c r="J459">
        <f t="shared" si="67"/>
        <v>25</v>
      </c>
      <c r="K459">
        <f t="shared" si="68"/>
        <v>570</v>
      </c>
      <c r="M459">
        <v>323</v>
      </c>
      <c r="N459">
        <v>247</v>
      </c>
      <c r="O459">
        <v>25</v>
      </c>
      <c r="Q459" t="b">
        <f t="shared" si="62"/>
        <v>1</v>
      </c>
      <c r="R459" t="b">
        <f t="shared" si="63"/>
        <v>1</v>
      </c>
      <c r="S459" t="b">
        <f t="shared" si="64"/>
        <v>1</v>
      </c>
    </row>
    <row r="460" spans="1:19" x14ac:dyDescent="0.2">
      <c r="A460" s="106">
        <f>_xlfn.XLOOKUP(B460,pratos!B:B,pratos!A:A,"não")</f>
        <v>323</v>
      </c>
      <c r="B460" s="109" t="s">
        <v>432</v>
      </c>
      <c r="C460" s="105">
        <f>_xlfn.XLOOKUP(D460,ingredientes!B:B,ingredientes!A:A,"não")</f>
        <v>310</v>
      </c>
      <c r="D460" s="9" t="s">
        <v>150</v>
      </c>
      <c r="E460" s="82">
        <v>50</v>
      </c>
      <c r="H460">
        <f t="shared" si="65"/>
        <v>323</v>
      </c>
      <c r="I460">
        <f t="shared" si="66"/>
        <v>310</v>
      </c>
      <c r="J460">
        <f t="shared" si="67"/>
        <v>50</v>
      </c>
      <c r="K460">
        <f t="shared" si="68"/>
        <v>633</v>
      </c>
      <c r="M460">
        <v>323</v>
      </c>
      <c r="N460">
        <v>310</v>
      </c>
      <c r="O460">
        <v>50</v>
      </c>
      <c r="Q460" t="b">
        <f t="shared" si="62"/>
        <v>1</v>
      </c>
      <c r="R460" t="b">
        <f t="shared" si="63"/>
        <v>1</v>
      </c>
      <c r="S460" t="b">
        <f t="shared" si="64"/>
        <v>1</v>
      </c>
    </row>
    <row r="461" spans="1:19" x14ac:dyDescent="0.2">
      <c r="A461" s="106">
        <f>_xlfn.XLOOKUP(B461,pratos!B:B,pratos!A:A,"não")</f>
        <v>324</v>
      </c>
      <c r="B461" s="112" t="s">
        <v>55</v>
      </c>
      <c r="C461" s="105">
        <f>_xlfn.XLOOKUP(D461,ingredientes!B:B,ingredientes!A:A,"não")</f>
        <v>250</v>
      </c>
      <c r="D461" s="29" t="s">
        <v>517</v>
      </c>
      <c r="E461" s="95">
        <v>235</v>
      </c>
      <c r="H461">
        <f t="shared" ref="H461:H513" si="69">A461</f>
        <v>324</v>
      </c>
      <c r="I461">
        <f t="shared" ref="I461:I511" si="70">C461</f>
        <v>250</v>
      </c>
      <c r="J461">
        <f t="shared" ref="J461:J511" si="71">E461</f>
        <v>235</v>
      </c>
      <c r="K461">
        <f t="shared" si="68"/>
        <v>574</v>
      </c>
      <c r="M461">
        <v>324</v>
      </c>
      <c r="N461">
        <v>250</v>
      </c>
      <c r="O461">
        <v>235</v>
      </c>
      <c r="Q461" t="b">
        <f t="shared" si="62"/>
        <v>1</v>
      </c>
      <c r="R461" t="b">
        <f t="shared" si="63"/>
        <v>1</v>
      </c>
      <c r="S461" t="b">
        <f t="shared" si="64"/>
        <v>1</v>
      </c>
    </row>
    <row r="462" spans="1:19" x14ac:dyDescent="0.2">
      <c r="A462" s="106">
        <f>_xlfn.XLOOKUP(B462,pratos!B:B,pratos!A:A,"não")</f>
        <v>326</v>
      </c>
      <c r="B462" s="52" t="s">
        <v>98</v>
      </c>
      <c r="C462" s="105">
        <f>_xlfn.XLOOKUP(D462,ingredientes!B:B,ingredientes!A:A,"não")</f>
        <v>255</v>
      </c>
      <c r="D462" s="30" t="s">
        <v>682</v>
      </c>
      <c r="E462" s="17">
        <v>100</v>
      </c>
      <c r="H462">
        <f t="shared" si="69"/>
        <v>326</v>
      </c>
      <c r="I462">
        <f t="shared" si="70"/>
        <v>255</v>
      </c>
      <c r="J462">
        <f t="shared" si="71"/>
        <v>100</v>
      </c>
      <c r="K462">
        <f t="shared" ref="K462:K513" si="72">H462+I462</f>
        <v>581</v>
      </c>
      <c r="M462">
        <v>326</v>
      </c>
      <c r="N462">
        <v>255</v>
      </c>
      <c r="O462">
        <v>100</v>
      </c>
      <c r="Q462" t="b">
        <f t="shared" si="62"/>
        <v>1</v>
      </c>
      <c r="R462" t="b">
        <f t="shared" si="63"/>
        <v>1</v>
      </c>
      <c r="S462" t="b">
        <f t="shared" si="64"/>
        <v>1</v>
      </c>
    </row>
    <row r="463" spans="1:19" x14ac:dyDescent="0.2">
      <c r="A463" s="106">
        <f>_xlfn.XLOOKUP(B463,pratos!B:B,pratos!A:A,"não")</f>
        <v>327</v>
      </c>
      <c r="B463" s="52" t="s">
        <v>17</v>
      </c>
      <c r="C463" s="105">
        <f>_xlfn.XLOOKUP(D463,ingredientes!B:B,ingredientes!A:A,"não")</f>
        <v>255</v>
      </c>
      <c r="D463" s="30" t="s">
        <v>682</v>
      </c>
      <c r="E463" s="10">
        <v>100</v>
      </c>
      <c r="H463">
        <f t="shared" si="69"/>
        <v>327</v>
      </c>
      <c r="I463">
        <f t="shared" si="70"/>
        <v>255</v>
      </c>
      <c r="J463">
        <f t="shared" si="71"/>
        <v>100</v>
      </c>
      <c r="K463">
        <f t="shared" si="72"/>
        <v>582</v>
      </c>
      <c r="M463">
        <v>327</v>
      </c>
      <c r="N463">
        <v>255</v>
      </c>
      <c r="O463">
        <v>100</v>
      </c>
      <c r="Q463" t="b">
        <f t="shared" ref="Q463:Q526" si="73">EXACT(H463,M463)</f>
        <v>1</v>
      </c>
      <c r="R463" t="b">
        <f t="shared" ref="R463:R526" si="74">EXACT(I463,N463)</f>
        <v>1</v>
      </c>
      <c r="S463" t="b">
        <f t="shared" ref="S463:S526" si="75">EXACT(J463,O463)</f>
        <v>1</v>
      </c>
    </row>
    <row r="464" spans="1:19" x14ac:dyDescent="0.2">
      <c r="A464" s="106">
        <f>_xlfn.XLOOKUP(B464,pratos!B:B,pratos!A:A,"não")</f>
        <v>328</v>
      </c>
      <c r="B464" s="111" t="s">
        <v>192</v>
      </c>
      <c r="C464" s="105">
        <f>_xlfn.XLOOKUP(D464,ingredientes!B:B,ingredientes!A:A,"não")</f>
        <v>257</v>
      </c>
      <c r="D464" s="30" t="s">
        <v>684</v>
      </c>
      <c r="E464" s="19">
        <v>100</v>
      </c>
      <c r="H464">
        <f t="shared" si="69"/>
        <v>328</v>
      </c>
      <c r="I464">
        <f t="shared" si="70"/>
        <v>257</v>
      </c>
      <c r="J464">
        <f t="shared" si="71"/>
        <v>100</v>
      </c>
      <c r="K464">
        <f t="shared" si="72"/>
        <v>585</v>
      </c>
      <c r="M464">
        <v>328</v>
      </c>
      <c r="N464">
        <v>257</v>
      </c>
      <c r="O464">
        <v>100</v>
      </c>
      <c r="Q464" t="b">
        <f t="shared" si="73"/>
        <v>1</v>
      </c>
      <c r="R464" t="b">
        <f t="shared" si="74"/>
        <v>1</v>
      </c>
      <c r="S464" t="b">
        <f t="shared" si="75"/>
        <v>1</v>
      </c>
    </row>
    <row r="465" spans="1:19" x14ac:dyDescent="0.2">
      <c r="A465" s="106">
        <f>_xlfn.XLOOKUP(B465,pratos!B:B,pratos!A:A,"não")</f>
        <v>330</v>
      </c>
      <c r="B465" s="123" t="s">
        <v>376</v>
      </c>
      <c r="C465" s="105">
        <f>_xlfn.XLOOKUP(D465,ingredientes!B:B,ingredientes!A:A,"não")</f>
        <v>257</v>
      </c>
      <c r="D465" s="30" t="s">
        <v>684</v>
      </c>
      <c r="E465" s="65">
        <v>100</v>
      </c>
      <c r="H465">
        <f t="shared" si="69"/>
        <v>330</v>
      </c>
      <c r="I465">
        <f t="shared" si="70"/>
        <v>257</v>
      </c>
      <c r="J465">
        <f t="shared" si="71"/>
        <v>100</v>
      </c>
      <c r="K465">
        <f t="shared" si="72"/>
        <v>587</v>
      </c>
      <c r="M465">
        <v>330</v>
      </c>
      <c r="N465">
        <v>257</v>
      </c>
      <c r="O465">
        <v>100</v>
      </c>
      <c r="Q465" t="b">
        <f t="shared" si="73"/>
        <v>1</v>
      </c>
      <c r="R465" t="b">
        <f t="shared" si="74"/>
        <v>1</v>
      </c>
      <c r="S465" t="b">
        <f t="shared" si="75"/>
        <v>1</v>
      </c>
    </row>
    <row r="466" spans="1:19" x14ac:dyDescent="0.2">
      <c r="A466" s="106">
        <f>_xlfn.XLOOKUP(B466,pratos!B:B,pratos!A:A,"não")</f>
        <v>331</v>
      </c>
      <c r="B466" s="52" t="s">
        <v>257</v>
      </c>
      <c r="C466" s="105">
        <f>_xlfn.XLOOKUP(D466,ingredientes!B:B,ingredientes!A:A,"não")</f>
        <v>159</v>
      </c>
      <c r="D466" s="9" t="s">
        <v>67</v>
      </c>
      <c r="E466" s="41">
        <v>2</v>
      </c>
      <c r="H466">
        <f t="shared" si="69"/>
        <v>331</v>
      </c>
      <c r="I466">
        <f t="shared" si="70"/>
        <v>159</v>
      </c>
      <c r="J466">
        <f t="shared" si="71"/>
        <v>2</v>
      </c>
      <c r="K466">
        <f t="shared" si="72"/>
        <v>490</v>
      </c>
      <c r="M466">
        <v>331</v>
      </c>
      <c r="N466">
        <v>159</v>
      </c>
      <c r="O466">
        <v>2</v>
      </c>
      <c r="Q466" t="b">
        <f t="shared" si="73"/>
        <v>1</v>
      </c>
      <c r="R466" t="b">
        <f t="shared" si="74"/>
        <v>1</v>
      </c>
      <c r="S466" t="b">
        <f t="shared" si="75"/>
        <v>1</v>
      </c>
    </row>
    <row r="467" spans="1:19" x14ac:dyDescent="0.2">
      <c r="A467" s="106">
        <f>_xlfn.XLOOKUP(B467,pratos!B:B,pratos!A:A,"não")</f>
        <v>331</v>
      </c>
      <c r="B467" s="52" t="s">
        <v>257</v>
      </c>
      <c r="C467" s="105">
        <f>_xlfn.XLOOKUP(D467,ingredientes!B:B,ingredientes!A:A,"não")</f>
        <v>267</v>
      </c>
      <c r="D467" s="29" t="s">
        <v>142</v>
      </c>
      <c r="E467" s="41">
        <v>40</v>
      </c>
      <c r="H467">
        <f t="shared" si="69"/>
        <v>331</v>
      </c>
      <c r="I467">
        <f t="shared" si="70"/>
        <v>267</v>
      </c>
      <c r="J467">
        <f t="shared" si="71"/>
        <v>40</v>
      </c>
      <c r="K467">
        <f t="shared" si="72"/>
        <v>598</v>
      </c>
      <c r="M467">
        <v>331</v>
      </c>
      <c r="N467">
        <v>267</v>
      </c>
      <c r="O467">
        <v>40</v>
      </c>
      <c r="Q467" t="b">
        <f t="shared" si="73"/>
        <v>1</v>
      </c>
      <c r="R467" t="b">
        <f t="shared" si="74"/>
        <v>1</v>
      </c>
      <c r="S467" t="b">
        <f t="shared" si="75"/>
        <v>1</v>
      </c>
    </row>
    <row r="468" spans="1:19" x14ac:dyDescent="0.2">
      <c r="A468" s="106">
        <f>_xlfn.XLOOKUP(B468,pratos!B:B,pratos!A:A,"não")</f>
        <v>332</v>
      </c>
      <c r="B468" s="52" t="s">
        <v>142</v>
      </c>
      <c r="C468" s="105">
        <f>_xlfn.XLOOKUP(D468,ingredientes!B:B,ingredientes!A:A,"não")</f>
        <v>267</v>
      </c>
      <c r="D468" s="35" t="s">
        <v>142</v>
      </c>
      <c r="E468" s="41">
        <v>80</v>
      </c>
      <c r="H468">
        <f t="shared" si="69"/>
        <v>332</v>
      </c>
      <c r="I468">
        <f t="shared" si="70"/>
        <v>267</v>
      </c>
      <c r="J468">
        <f t="shared" si="71"/>
        <v>80</v>
      </c>
      <c r="K468">
        <f t="shared" si="72"/>
        <v>599</v>
      </c>
      <c r="M468">
        <v>332</v>
      </c>
      <c r="N468">
        <v>267</v>
      </c>
      <c r="O468">
        <v>80</v>
      </c>
      <c r="Q468" t="b">
        <f t="shared" si="73"/>
        <v>1</v>
      </c>
      <c r="R468" t="b">
        <f t="shared" si="74"/>
        <v>1</v>
      </c>
      <c r="S468" t="b">
        <f t="shared" si="75"/>
        <v>1</v>
      </c>
    </row>
    <row r="469" spans="1:19" x14ac:dyDescent="0.2">
      <c r="A469" s="106">
        <f>_xlfn.XLOOKUP(B469,pratos!B:B,pratos!A:A,"não")</f>
        <v>333</v>
      </c>
      <c r="B469" s="111" t="s">
        <v>201</v>
      </c>
      <c r="C469" s="105">
        <f>_xlfn.XLOOKUP(D469,ingredientes!B:B,ingredientes!A:A,"não")</f>
        <v>268</v>
      </c>
      <c r="D469" s="45" t="s">
        <v>202</v>
      </c>
      <c r="E469" s="19">
        <v>80</v>
      </c>
      <c r="H469">
        <f t="shared" si="69"/>
        <v>333</v>
      </c>
      <c r="I469">
        <f t="shared" si="70"/>
        <v>268</v>
      </c>
      <c r="J469">
        <f t="shared" si="71"/>
        <v>80</v>
      </c>
      <c r="K469">
        <f t="shared" si="72"/>
        <v>601</v>
      </c>
      <c r="M469">
        <v>333</v>
      </c>
      <c r="N469">
        <v>268</v>
      </c>
      <c r="O469">
        <v>80</v>
      </c>
      <c r="Q469" t="b">
        <f t="shared" si="73"/>
        <v>1</v>
      </c>
      <c r="R469" t="b">
        <f t="shared" si="74"/>
        <v>1</v>
      </c>
      <c r="S469" t="b">
        <f t="shared" si="75"/>
        <v>1</v>
      </c>
    </row>
    <row r="470" spans="1:19" x14ac:dyDescent="0.2">
      <c r="A470" s="106">
        <f>_xlfn.XLOOKUP(B470,pratos!B:B,pratos!A:A,"não")</f>
        <v>334</v>
      </c>
      <c r="B470" s="52" t="s">
        <v>267</v>
      </c>
      <c r="C470" s="105">
        <f>_xlfn.XLOOKUP(D470,ingredientes!B:B,ingredientes!A:A,"não")</f>
        <v>269</v>
      </c>
      <c r="D470" s="9" t="s">
        <v>267</v>
      </c>
      <c r="E470" s="19">
        <v>80</v>
      </c>
      <c r="H470">
        <f t="shared" si="69"/>
        <v>334</v>
      </c>
      <c r="I470">
        <f t="shared" si="70"/>
        <v>269</v>
      </c>
      <c r="J470">
        <f t="shared" si="71"/>
        <v>80</v>
      </c>
      <c r="K470">
        <f t="shared" si="72"/>
        <v>603</v>
      </c>
      <c r="M470">
        <v>334</v>
      </c>
      <c r="N470">
        <v>269</v>
      </c>
      <c r="O470">
        <v>80</v>
      </c>
      <c r="Q470" t="b">
        <f t="shared" si="73"/>
        <v>1</v>
      </c>
      <c r="R470" t="b">
        <f t="shared" si="74"/>
        <v>1</v>
      </c>
      <c r="S470" t="b">
        <f t="shared" si="75"/>
        <v>1</v>
      </c>
    </row>
    <row r="471" spans="1:19" x14ac:dyDescent="0.2">
      <c r="A471" s="106">
        <f>_xlfn.XLOOKUP(B471,pratos!B:B,pratos!A:A,"não")</f>
        <v>335</v>
      </c>
      <c r="B471" s="52" t="s">
        <v>477</v>
      </c>
      <c r="C471" s="105">
        <f>_xlfn.XLOOKUP(D471,ingredientes!B:B,ingredientes!A:A,"não")</f>
        <v>32</v>
      </c>
      <c r="D471" s="38" t="s">
        <v>483</v>
      </c>
      <c r="E471" s="10">
        <v>8</v>
      </c>
      <c r="H471">
        <f t="shared" si="69"/>
        <v>335</v>
      </c>
      <c r="I471">
        <f t="shared" si="70"/>
        <v>32</v>
      </c>
      <c r="J471">
        <f t="shared" si="71"/>
        <v>8</v>
      </c>
      <c r="K471">
        <f t="shared" si="72"/>
        <v>367</v>
      </c>
      <c r="M471">
        <v>335</v>
      </c>
      <c r="N471">
        <v>32</v>
      </c>
      <c r="O471">
        <v>8</v>
      </c>
      <c r="Q471" t="b">
        <f t="shared" si="73"/>
        <v>1</v>
      </c>
      <c r="R471" t="b">
        <f t="shared" si="74"/>
        <v>1</v>
      </c>
      <c r="S471" t="b">
        <f t="shared" si="75"/>
        <v>1</v>
      </c>
    </row>
    <row r="472" spans="1:19" x14ac:dyDescent="0.2">
      <c r="A472" s="106">
        <f>_xlfn.XLOOKUP(B472,pratos!B:B,pratos!A:A,"não")</f>
        <v>335</v>
      </c>
      <c r="B472" s="130" t="s">
        <v>477</v>
      </c>
      <c r="C472" s="105">
        <f>_xlfn.XLOOKUP(D472,ingredientes!B:B,ingredientes!A:A,"não")</f>
        <v>268</v>
      </c>
      <c r="D472" s="61" t="s">
        <v>202</v>
      </c>
      <c r="E472" s="65">
        <v>80</v>
      </c>
      <c r="H472">
        <f t="shared" si="69"/>
        <v>335</v>
      </c>
      <c r="I472">
        <f t="shared" si="70"/>
        <v>268</v>
      </c>
      <c r="J472">
        <f t="shared" si="71"/>
        <v>80</v>
      </c>
      <c r="K472">
        <f t="shared" si="72"/>
        <v>603</v>
      </c>
      <c r="M472">
        <v>335</v>
      </c>
      <c r="N472">
        <v>268</v>
      </c>
      <c r="O472">
        <v>80</v>
      </c>
      <c r="Q472" t="b">
        <f t="shared" si="73"/>
        <v>1</v>
      </c>
      <c r="R472" t="b">
        <f t="shared" si="74"/>
        <v>1</v>
      </c>
      <c r="S472" t="b">
        <f t="shared" si="75"/>
        <v>1</v>
      </c>
    </row>
    <row r="473" spans="1:19" x14ac:dyDescent="0.2">
      <c r="A473" s="106">
        <f>_xlfn.XLOOKUP(B473,pratos!B:B,pratos!A:A,"não")</f>
        <v>336</v>
      </c>
      <c r="B473" s="114" t="s">
        <v>163</v>
      </c>
      <c r="C473" s="105">
        <f>_xlfn.XLOOKUP(D473,ingredientes!B:B,ingredientes!A:A,"não")</f>
        <v>271</v>
      </c>
      <c r="D473" s="43" t="s">
        <v>164</v>
      </c>
      <c r="E473" s="44">
        <v>80</v>
      </c>
      <c r="H473">
        <f t="shared" si="69"/>
        <v>336</v>
      </c>
      <c r="I473">
        <f t="shared" si="70"/>
        <v>271</v>
      </c>
      <c r="J473">
        <f t="shared" si="71"/>
        <v>80</v>
      </c>
      <c r="K473">
        <f t="shared" si="72"/>
        <v>607</v>
      </c>
      <c r="M473">
        <v>336</v>
      </c>
      <c r="N473">
        <v>271</v>
      </c>
      <c r="O473">
        <v>80</v>
      </c>
      <c r="Q473" t="b">
        <f t="shared" si="73"/>
        <v>1</v>
      </c>
      <c r="R473" t="b">
        <f t="shared" si="74"/>
        <v>1</v>
      </c>
      <c r="S473" t="b">
        <f t="shared" si="75"/>
        <v>1</v>
      </c>
    </row>
    <row r="474" spans="1:19" x14ac:dyDescent="0.2">
      <c r="A474" s="106">
        <f>_xlfn.XLOOKUP(B474,pratos!B:B,pratos!A:A,"não")</f>
        <v>337</v>
      </c>
      <c r="B474" s="116" t="s">
        <v>559</v>
      </c>
      <c r="C474" s="105">
        <f>_xlfn.XLOOKUP(D474,ingredientes!B:B,ingredientes!A:A,"não")</f>
        <v>272</v>
      </c>
      <c r="D474" s="71" t="s">
        <v>559</v>
      </c>
      <c r="E474" s="10">
        <v>80</v>
      </c>
      <c r="H474">
        <f t="shared" si="69"/>
        <v>337</v>
      </c>
      <c r="I474">
        <f t="shared" si="70"/>
        <v>272</v>
      </c>
      <c r="J474">
        <f t="shared" si="71"/>
        <v>80</v>
      </c>
      <c r="K474">
        <f t="shared" si="72"/>
        <v>609</v>
      </c>
      <c r="M474">
        <v>337</v>
      </c>
      <c r="N474">
        <v>272</v>
      </c>
      <c r="O474">
        <v>80</v>
      </c>
      <c r="Q474" t="b">
        <f t="shared" si="73"/>
        <v>1</v>
      </c>
      <c r="R474" t="b">
        <f t="shared" si="74"/>
        <v>1</v>
      </c>
      <c r="S474" t="b">
        <f t="shared" si="75"/>
        <v>1</v>
      </c>
    </row>
    <row r="475" spans="1:19" x14ac:dyDescent="0.2">
      <c r="A475" s="106">
        <f>_xlfn.XLOOKUP(B475,pratos!B:B,pratos!A:A,"não")</f>
        <v>338</v>
      </c>
      <c r="B475" s="52" t="s">
        <v>481</v>
      </c>
      <c r="C475" s="105">
        <f>_xlfn.XLOOKUP(D475,ingredientes!B:B,ingredientes!A:A,"não")</f>
        <v>273</v>
      </c>
      <c r="D475" s="9" t="s">
        <v>482</v>
      </c>
      <c r="E475" s="10">
        <v>80</v>
      </c>
      <c r="H475">
        <f t="shared" si="69"/>
        <v>338</v>
      </c>
      <c r="I475">
        <f t="shared" si="70"/>
        <v>273</v>
      </c>
      <c r="J475">
        <f t="shared" si="71"/>
        <v>80</v>
      </c>
      <c r="K475">
        <f t="shared" si="72"/>
        <v>611</v>
      </c>
      <c r="M475">
        <v>338</v>
      </c>
      <c r="N475">
        <v>273</v>
      </c>
      <c r="O475">
        <v>80</v>
      </c>
      <c r="Q475" t="b">
        <f t="shared" si="73"/>
        <v>1</v>
      </c>
      <c r="R475" t="b">
        <f t="shared" si="74"/>
        <v>1</v>
      </c>
      <c r="S475" t="b">
        <f t="shared" si="75"/>
        <v>1</v>
      </c>
    </row>
    <row r="476" spans="1:19" x14ac:dyDescent="0.2">
      <c r="A476" s="106">
        <f>_xlfn.XLOOKUP(B476,pratos!B:B,pratos!A:A,"não")</f>
        <v>339</v>
      </c>
      <c r="B476" s="117" t="s">
        <v>277</v>
      </c>
      <c r="C476" s="105">
        <f>_xlfn.XLOOKUP(D476,ingredientes!B:B,ingredientes!A:A,"não")</f>
        <v>58</v>
      </c>
      <c r="D476" s="30" t="s">
        <v>618</v>
      </c>
      <c r="E476" s="19">
        <v>100</v>
      </c>
      <c r="H476">
        <f t="shared" si="69"/>
        <v>339</v>
      </c>
      <c r="I476">
        <f t="shared" si="70"/>
        <v>58</v>
      </c>
      <c r="J476">
        <f t="shared" si="71"/>
        <v>100</v>
      </c>
      <c r="K476">
        <f t="shared" si="72"/>
        <v>397</v>
      </c>
      <c r="M476">
        <v>339</v>
      </c>
      <c r="N476">
        <v>58</v>
      </c>
      <c r="O476">
        <v>100</v>
      </c>
      <c r="Q476" t="b">
        <f t="shared" si="73"/>
        <v>1</v>
      </c>
      <c r="R476" t="b">
        <f t="shared" si="74"/>
        <v>1</v>
      </c>
      <c r="S476" t="b">
        <f t="shared" si="75"/>
        <v>1</v>
      </c>
    </row>
    <row r="477" spans="1:19" x14ac:dyDescent="0.2">
      <c r="A477" s="106">
        <f>_xlfn.XLOOKUP(B477,pratos!B:B,pratos!A:A,"não")</f>
        <v>340</v>
      </c>
      <c r="B477" s="111" t="s">
        <v>121</v>
      </c>
      <c r="C477" s="105">
        <f>_xlfn.XLOOKUP(D477,ingredientes!B:B,ingredientes!A:A,"não")</f>
        <v>6</v>
      </c>
      <c r="D477" s="30" t="s">
        <v>606</v>
      </c>
      <c r="E477" s="27">
        <v>65</v>
      </c>
      <c r="H477">
        <f t="shared" si="69"/>
        <v>340</v>
      </c>
      <c r="I477">
        <f t="shared" si="70"/>
        <v>6</v>
      </c>
      <c r="J477">
        <f t="shared" si="71"/>
        <v>65</v>
      </c>
      <c r="K477">
        <f t="shared" si="72"/>
        <v>346</v>
      </c>
      <c r="M477">
        <v>340</v>
      </c>
      <c r="N477">
        <v>6</v>
      </c>
      <c r="O477">
        <v>65</v>
      </c>
      <c r="Q477" t="b">
        <f t="shared" si="73"/>
        <v>1</v>
      </c>
      <c r="R477" t="b">
        <f t="shared" si="74"/>
        <v>1</v>
      </c>
      <c r="S477" t="b">
        <f t="shared" si="75"/>
        <v>1</v>
      </c>
    </row>
    <row r="478" spans="1:19" x14ac:dyDescent="0.2">
      <c r="A478" s="106">
        <f>_xlfn.XLOOKUP(B478,pratos!B:B,pratos!A:A,"não")</f>
        <v>340</v>
      </c>
      <c r="B478" s="111" t="s">
        <v>121</v>
      </c>
      <c r="C478" s="105">
        <f>_xlfn.XLOOKUP(D478,ingredientes!B:B,ingredientes!A:A,"não")</f>
        <v>177</v>
      </c>
      <c r="D478" s="16" t="s">
        <v>6</v>
      </c>
      <c r="E478" s="26">
        <v>20</v>
      </c>
      <c r="H478">
        <f t="shared" si="69"/>
        <v>340</v>
      </c>
      <c r="I478">
        <f t="shared" si="70"/>
        <v>177</v>
      </c>
      <c r="J478">
        <f t="shared" si="71"/>
        <v>20</v>
      </c>
      <c r="K478">
        <f t="shared" si="72"/>
        <v>517</v>
      </c>
      <c r="M478">
        <v>340</v>
      </c>
      <c r="N478">
        <v>177</v>
      </c>
      <c r="O478">
        <v>20</v>
      </c>
      <c r="Q478" t="b">
        <f t="shared" si="73"/>
        <v>1</v>
      </c>
      <c r="R478" t="b">
        <f t="shared" si="74"/>
        <v>1</v>
      </c>
      <c r="S478" t="b">
        <f t="shared" si="75"/>
        <v>1</v>
      </c>
    </row>
    <row r="479" spans="1:19" x14ac:dyDescent="0.2">
      <c r="A479" s="106">
        <f>_xlfn.XLOOKUP(B479,pratos!B:B,pratos!A:A,"não")</f>
        <v>340</v>
      </c>
      <c r="B479" s="111" t="s">
        <v>121</v>
      </c>
      <c r="C479" s="105">
        <f>_xlfn.XLOOKUP(D479,ingredientes!B:B,ingredientes!A:A,"não")</f>
        <v>198</v>
      </c>
      <c r="D479" s="9" t="s">
        <v>4</v>
      </c>
      <c r="E479" s="26">
        <v>5</v>
      </c>
      <c r="H479">
        <f t="shared" si="69"/>
        <v>340</v>
      </c>
      <c r="I479">
        <f t="shared" si="70"/>
        <v>198</v>
      </c>
      <c r="J479">
        <f t="shared" si="71"/>
        <v>5</v>
      </c>
      <c r="K479">
        <f t="shared" si="72"/>
        <v>538</v>
      </c>
      <c r="M479">
        <v>340</v>
      </c>
      <c r="N479">
        <v>198</v>
      </c>
      <c r="O479">
        <v>5</v>
      </c>
      <c r="Q479" t="b">
        <f t="shared" si="73"/>
        <v>1</v>
      </c>
      <c r="R479" t="b">
        <f t="shared" si="74"/>
        <v>1</v>
      </c>
      <c r="S479" t="b">
        <f t="shared" si="75"/>
        <v>1</v>
      </c>
    </row>
    <row r="480" spans="1:19" x14ac:dyDescent="0.2">
      <c r="A480" s="106">
        <f>_xlfn.XLOOKUP(B480,pratos!B:B,pratos!A:A,"não")</f>
        <v>341</v>
      </c>
      <c r="B480" s="116" t="s">
        <v>563</v>
      </c>
      <c r="C480" s="105">
        <f>_xlfn.XLOOKUP(D480,ingredientes!B:B,ingredientes!A:A,"não")</f>
        <v>23</v>
      </c>
      <c r="D480" s="30" t="s">
        <v>608</v>
      </c>
      <c r="E480" s="87">
        <v>65</v>
      </c>
      <c r="H480">
        <f t="shared" si="69"/>
        <v>341</v>
      </c>
      <c r="I480">
        <f t="shared" si="70"/>
        <v>23</v>
      </c>
      <c r="J480">
        <f t="shared" si="71"/>
        <v>65</v>
      </c>
      <c r="K480">
        <f t="shared" si="72"/>
        <v>364</v>
      </c>
      <c r="M480">
        <v>341</v>
      </c>
      <c r="N480">
        <v>23</v>
      </c>
      <c r="O480">
        <v>65</v>
      </c>
      <c r="Q480" t="b">
        <f t="shared" si="73"/>
        <v>1</v>
      </c>
      <c r="R480" t="b">
        <f t="shared" si="74"/>
        <v>1</v>
      </c>
      <c r="S480" t="b">
        <f t="shared" si="75"/>
        <v>1</v>
      </c>
    </row>
    <row r="481" spans="1:19" x14ac:dyDescent="0.2">
      <c r="A481" s="106">
        <f>_xlfn.XLOOKUP(B481,pratos!B:B,pratos!A:A,"não")</f>
        <v>342</v>
      </c>
      <c r="B481" s="52" t="s">
        <v>160</v>
      </c>
      <c r="C481" s="105">
        <f>_xlfn.XLOOKUP(D481,ingredientes!B:B,ingredientes!A:A,"não")</f>
        <v>177</v>
      </c>
      <c r="D481" s="177" t="s">
        <v>6</v>
      </c>
      <c r="E481" s="5">
        <v>20</v>
      </c>
      <c r="H481">
        <f t="shared" si="69"/>
        <v>342</v>
      </c>
      <c r="I481">
        <f t="shared" si="70"/>
        <v>177</v>
      </c>
      <c r="J481">
        <f t="shared" si="71"/>
        <v>20</v>
      </c>
      <c r="K481">
        <f t="shared" si="72"/>
        <v>519</v>
      </c>
      <c r="M481">
        <v>342</v>
      </c>
      <c r="N481">
        <v>177</v>
      </c>
      <c r="O481">
        <v>20</v>
      </c>
      <c r="Q481" t="b">
        <f t="shared" si="73"/>
        <v>1</v>
      </c>
      <c r="R481" t="b">
        <f t="shared" si="74"/>
        <v>1</v>
      </c>
      <c r="S481" t="b">
        <f t="shared" si="75"/>
        <v>1</v>
      </c>
    </row>
    <row r="482" spans="1:19" x14ac:dyDescent="0.2">
      <c r="A482" s="106">
        <f>_xlfn.XLOOKUP(B482,pratos!B:B,pratos!A:A,"não")</f>
        <v>342</v>
      </c>
      <c r="B482" s="52" t="s">
        <v>160</v>
      </c>
      <c r="C482" s="105">
        <f>_xlfn.XLOOKUP(D482,ingredientes!B:B,ingredientes!A:A,"não")</f>
        <v>198</v>
      </c>
      <c r="D482" s="177" t="s">
        <v>4</v>
      </c>
      <c r="E482" s="5">
        <v>5</v>
      </c>
      <c r="H482">
        <f t="shared" si="69"/>
        <v>342</v>
      </c>
      <c r="I482">
        <f t="shared" si="70"/>
        <v>198</v>
      </c>
      <c r="J482">
        <f t="shared" si="71"/>
        <v>5</v>
      </c>
      <c r="K482">
        <f t="shared" si="72"/>
        <v>540</v>
      </c>
      <c r="M482">
        <v>342</v>
      </c>
      <c r="N482">
        <v>198</v>
      </c>
      <c r="O482">
        <v>5</v>
      </c>
      <c r="Q482" t="b">
        <f t="shared" si="73"/>
        <v>1</v>
      </c>
      <c r="R482" t="b">
        <f t="shared" si="74"/>
        <v>1</v>
      </c>
      <c r="S482" t="b">
        <f t="shared" si="75"/>
        <v>1</v>
      </c>
    </row>
    <row r="483" spans="1:19" x14ac:dyDescent="0.2">
      <c r="A483" s="106">
        <f>_xlfn.XLOOKUP(B483,pratos!B:B,pratos!A:A,"não")</f>
        <v>343</v>
      </c>
      <c r="B483" s="52" t="s">
        <v>152</v>
      </c>
      <c r="C483" s="105">
        <f>_xlfn.XLOOKUP(D483,ingredientes!B:B,ingredientes!A:A,"não")</f>
        <v>23</v>
      </c>
      <c r="D483" s="30" t="s">
        <v>608</v>
      </c>
      <c r="E483" s="10">
        <v>65</v>
      </c>
      <c r="H483">
        <f t="shared" si="69"/>
        <v>343</v>
      </c>
      <c r="I483">
        <f t="shared" si="70"/>
        <v>23</v>
      </c>
      <c r="J483">
        <f t="shared" si="71"/>
        <v>65</v>
      </c>
      <c r="K483">
        <f t="shared" si="72"/>
        <v>366</v>
      </c>
      <c r="M483">
        <v>343</v>
      </c>
      <c r="N483">
        <v>23</v>
      </c>
      <c r="O483">
        <v>65</v>
      </c>
      <c r="Q483" t="b">
        <f t="shared" si="73"/>
        <v>1</v>
      </c>
      <c r="R483" t="b">
        <f t="shared" si="74"/>
        <v>1</v>
      </c>
      <c r="S483" t="b">
        <f t="shared" si="75"/>
        <v>1</v>
      </c>
    </row>
    <row r="484" spans="1:19" x14ac:dyDescent="0.2">
      <c r="A484" s="106">
        <f>_xlfn.XLOOKUP(B484,pratos!B:B,pratos!A:A,"não")</f>
        <v>343</v>
      </c>
      <c r="B484" s="52" t="s">
        <v>152</v>
      </c>
      <c r="C484" s="105">
        <f>_xlfn.XLOOKUP(D484,ingredientes!B:B,ingredientes!A:A,"não")</f>
        <v>177</v>
      </c>
      <c r="D484" s="42" t="s">
        <v>6</v>
      </c>
      <c r="E484" s="5">
        <v>20</v>
      </c>
      <c r="H484">
        <f t="shared" si="69"/>
        <v>343</v>
      </c>
      <c r="I484">
        <f t="shared" si="70"/>
        <v>177</v>
      </c>
      <c r="J484">
        <f t="shared" si="71"/>
        <v>20</v>
      </c>
      <c r="K484">
        <f t="shared" si="72"/>
        <v>520</v>
      </c>
      <c r="M484">
        <v>343</v>
      </c>
      <c r="N484">
        <v>177</v>
      </c>
      <c r="O484">
        <v>20</v>
      </c>
      <c r="Q484" t="b">
        <f t="shared" si="73"/>
        <v>1</v>
      </c>
      <c r="R484" t="b">
        <f t="shared" si="74"/>
        <v>1</v>
      </c>
      <c r="S484" t="b">
        <f t="shared" si="75"/>
        <v>1</v>
      </c>
    </row>
    <row r="485" spans="1:19" x14ac:dyDescent="0.2">
      <c r="A485" s="106">
        <f>_xlfn.XLOOKUP(B485,pratos!B:B,pratos!A:A,"não")</f>
        <v>343</v>
      </c>
      <c r="B485" s="52" t="s">
        <v>152</v>
      </c>
      <c r="C485" s="105">
        <f>_xlfn.XLOOKUP(D485,ingredientes!B:B,ingredientes!A:A,"não")</f>
        <v>198</v>
      </c>
      <c r="D485" s="42" t="s">
        <v>4</v>
      </c>
      <c r="E485" s="5">
        <v>5</v>
      </c>
      <c r="H485">
        <f t="shared" si="69"/>
        <v>343</v>
      </c>
      <c r="I485">
        <f t="shared" si="70"/>
        <v>198</v>
      </c>
      <c r="J485">
        <f t="shared" si="71"/>
        <v>5</v>
      </c>
      <c r="K485">
        <f t="shared" si="72"/>
        <v>541</v>
      </c>
      <c r="M485">
        <v>343</v>
      </c>
      <c r="N485">
        <v>198</v>
      </c>
      <c r="O485">
        <v>5</v>
      </c>
      <c r="Q485" t="b">
        <f t="shared" si="73"/>
        <v>1</v>
      </c>
      <c r="R485" t="b">
        <f t="shared" si="74"/>
        <v>1</v>
      </c>
      <c r="S485" t="b">
        <f t="shared" si="75"/>
        <v>1</v>
      </c>
    </row>
    <row r="486" spans="1:19" x14ac:dyDescent="0.2">
      <c r="A486" s="106">
        <f>_xlfn.XLOOKUP(B486,pratos!B:B,pratos!A:A,"não")</f>
        <v>343</v>
      </c>
      <c r="B486" s="52" t="s">
        <v>152</v>
      </c>
      <c r="C486" s="105">
        <f>_xlfn.XLOOKUP(D486,ingredientes!B:B,ingredientes!A:A,"não")</f>
        <v>277</v>
      </c>
      <c r="D486" s="20" t="s">
        <v>29</v>
      </c>
      <c r="E486" s="10">
        <v>10</v>
      </c>
      <c r="H486">
        <f t="shared" si="69"/>
        <v>343</v>
      </c>
      <c r="I486">
        <f t="shared" si="70"/>
        <v>277</v>
      </c>
      <c r="J486">
        <f t="shared" si="71"/>
        <v>10</v>
      </c>
      <c r="K486">
        <f t="shared" si="72"/>
        <v>620</v>
      </c>
      <c r="M486">
        <v>343</v>
      </c>
      <c r="N486">
        <v>277</v>
      </c>
      <c r="O486">
        <v>10</v>
      </c>
      <c r="Q486" t="b">
        <f t="shared" si="73"/>
        <v>1</v>
      </c>
      <c r="R486" t="b">
        <f t="shared" si="74"/>
        <v>1</v>
      </c>
      <c r="S486" t="b">
        <f t="shared" si="75"/>
        <v>1</v>
      </c>
    </row>
    <row r="487" spans="1:19" x14ac:dyDescent="0.2">
      <c r="A487" s="106">
        <f>_xlfn.XLOOKUP(B487,pratos!B:B,pratos!A:A,"não")</f>
        <v>344</v>
      </c>
      <c r="B487" s="116" t="s">
        <v>566</v>
      </c>
      <c r="C487" s="105">
        <f>_xlfn.XLOOKUP(D487,ingredientes!B:B,ingredientes!A:A,"não")</f>
        <v>23</v>
      </c>
      <c r="D487" s="30" t="s">
        <v>608</v>
      </c>
      <c r="E487" s="93">
        <v>65</v>
      </c>
      <c r="H487">
        <f t="shared" si="69"/>
        <v>344</v>
      </c>
      <c r="I487">
        <f t="shared" si="70"/>
        <v>23</v>
      </c>
      <c r="J487">
        <f t="shared" si="71"/>
        <v>65</v>
      </c>
      <c r="K487">
        <f t="shared" si="72"/>
        <v>367</v>
      </c>
      <c r="M487">
        <v>344</v>
      </c>
      <c r="N487">
        <v>23</v>
      </c>
      <c r="O487">
        <v>65</v>
      </c>
      <c r="Q487" t="b">
        <f t="shared" si="73"/>
        <v>1</v>
      </c>
      <c r="R487" t="b">
        <f t="shared" si="74"/>
        <v>1</v>
      </c>
      <c r="S487" t="b">
        <f t="shared" si="75"/>
        <v>1</v>
      </c>
    </row>
    <row r="488" spans="1:19" x14ac:dyDescent="0.2">
      <c r="A488" s="106">
        <f>_xlfn.XLOOKUP(B488,pratos!B:B,pratos!A:A,"não")</f>
        <v>345</v>
      </c>
      <c r="B488" s="116" t="s">
        <v>246</v>
      </c>
      <c r="C488" s="105">
        <f>_xlfn.XLOOKUP(D488,ingredientes!B:B,ingredientes!A:A,"não")</f>
        <v>177</v>
      </c>
      <c r="D488" s="72" t="s">
        <v>6</v>
      </c>
      <c r="E488" s="65">
        <v>20</v>
      </c>
      <c r="H488">
        <f t="shared" si="69"/>
        <v>345</v>
      </c>
      <c r="I488">
        <f t="shared" si="70"/>
        <v>177</v>
      </c>
      <c r="J488">
        <f t="shared" si="71"/>
        <v>20</v>
      </c>
      <c r="K488">
        <f t="shared" si="72"/>
        <v>522</v>
      </c>
      <c r="M488">
        <v>345</v>
      </c>
      <c r="N488">
        <v>177</v>
      </c>
      <c r="O488">
        <v>20</v>
      </c>
      <c r="Q488" t="b">
        <f t="shared" si="73"/>
        <v>1</v>
      </c>
      <c r="R488" t="b">
        <f t="shared" si="74"/>
        <v>1</v>
      </c>
      <c r="S488" t="b">
        <f t="shared" si="75"/>
        <v>1</v>
      </c>
    </row>
    <row r="489" spans="1:19" x14ac:dyDescent="0.2">
      <c r="A489" s="106">
        <f>_xlfn.XLOOKUP(B489,pratos!B:B,pratos!A:A,"não")</f>
        <v>345</v>
      </c>
      <c r="B489" s="111" t="s">
        <v>246</v>
      </c>
      <c r="C489" s="105">
        <f>_xlfn.XLOOKUP(D489,ingredientes!B:B,ingredientes!A:A,"não")</f>
        <v>275</v>
      </c>
      <c r="D489" s="30" t="s">
        <v>686</v>
      </c>
      <c r="E489" s="19">
        <v>100</v>
      </c>
      <c r="H489">
        <f t="shared" si="69"/>
        <v>345</v>
      </c>
      <c r="I489">
        <f t="shared" si="70"/>
        <v>275</v>
      </c>
      <c r="J489">
        <f t="shared" si="71"/>
        <v>100</v>
      </c>
      <c r="K489">
        <f t="shared" si="72"/>
        <v>620</v>
      </c>
      <c r="M489">
        <v>345</v>
      </c>
      <c r="N489">
        <v>275</v>
      </c>
      <c r="O489">
        <v>100</v>
      </c>
      <c r="Q489" t="b">
        <f t="shared" si="73"/>
        <v>1</v>
      </c>
      <c r="R489" t="b">
        <f t="shared" si="74"/>
        <v>1</v>
      </c>
      <c r="S489" t="b">
        <f t="shared" si="75"/>
        <v>1</v>
      </c>
    </row>
    <row r="490" spans="1:19" x14ac:dyDescent="0.2">
      <c r="A490" s="106">
        <f>_xlfn.XLOOKUP(B490,pratos!B:B,pratos!A:A,"não")</f>
        <v>346</v>
      </c>
      <c r="B490" s="116" t="s">
        <v>194</v>
      </c>
      <c r="C490" s="105">
        <f>_xlfn.XLOOKUP(D490,ingredientes!B:B,ingredientes!A:A,"não")</f>
        <v>276</v>
      </c>
      <c r="D490" s="71" t="s">
        <v>194</v>
      </c>
      <c r="E490" s="81">
        <v>65</v>
      </c>
      <c r="H490">
        <f t="shared" si="69"/>
        <v>346</v>
      </c>
      <c r="I490">
        <f t="shared" si="70"/>
        <v>276</v>
      </c>
      <c r="J490">
        <f t="shared" si="71"/>
        <v>65</v>
      </c>
      <c r="K490">
        <f t="shared" si="72"/>
        <v>622</v>
      </c>
      <c r="M490">
        <v>346</v>
      </c>
      <c r="N490">
        <v>276</v>
      </c>
      <c r="O490">
        <v>65</v>
      </c>
      <c r="Q490" t="b">
        <f t="shared" si="73"/>
        <v>1</v>
      </c>
      <c r="R490" t="b">
        <f t="shared" si="74"/>
        <v>1</v>
      </c>
      <c r="S490" t="b">
        <f t="shared" si="75"/>
        <v>1</v>
      </c>
    </row>
    <row r="491" spans="1:19" x14ac:dyDescent="0.2">
      <c r="A491" s="106">
        <f>_xlfn.XLOOKUP(B491,pratos!B:B,pratos!A:A,"não")</f>
        <v>347</v>
      </c>
      <c r="B491" s="116" t="s">
        <v>499</v>
      </c>
      <c r="C491" s="105">
        <f>_xlfn.XLOOKUP(D491,ingredientes!B:B,ingredientes!A:A,"não")</f>
        <v>54</v>
      </c>
      <c r="D491" s="92" t="s">
        <v>500</v>
      </c>
      <c r="E491" s="87">
        <v>65</v>
      </c>
      <c r="H491">
        <f t="shared" si="69"/>
        <v>347</v>
      </c>
      <c r="I491">
        <f t="shared" si="70"/>
        <v>54</v>
      </c>
      <c r="J491">
        <f t="shared" si="71"/>
        <v>65</v>
      </c>
      <c r="K491">
        <f t="shared" si="72"/>
        <v>401</v>
      </c>
      <c r="M491">
        <v>347</v>
      </c>
      <c r="N491">
        <v>54</v>
      </c>
      <c r="O491">
        <v>65</v>
      </c>
      <c r="Q491" t="b">
        <f t="shared" si="73"/>
        <v>1</v>
      </c>
      <c r="R491" t="b">
        <f t="shared" si="74"/>
        <v>1</v>
      </c>
      <c r="S491" t="b">
        <f t="shared" si="75"/>
        <v>1</v>
      </c>
    </row>
    <row r="492" spans="1:19" x14ac:dyDescent="0.2">
      <c r="A492" s="106">
        <f>_xlfn.XLOOKUP(B492,pratos!B:B,pratos!A:A,"não")</f>
        <v>348</v>
      </c>
      <c r="B492" s="116" t="s">
        <v>178</v>
      </c>
      <c r="C492" s="105">
        <f>_xlfn.XLOOKUP(D492,ingredientes!B:B,ingredientes!A:A,"não")</f>
        <v>58</v>
      </c>
      <c r="D492" s="30" t="s">
        <v>618</v>
      </c>
      <c r="E492" s="65">
        <v>100</v>
      </c>
      <c r="H492">
        <f t="shared" si="69"/>
        <v>348</v>
      </c>
      <c r="I492">
        <f t="shared" si="70"/>
        <v>58</v>
      </c>
      <c r="J492">
        <f t="shared" si="71"/>
        <v>100</v>
      </c>
      <c r="K492">
        <f t="shared" si="72"/>
        <v>406</v>
      </c>
      <c r="M492">
        <v>348</v>
      </c>
      <c r="N492">
        <v>58</v>
      </c>
      <c r="O492">
        <v>100</v>
      </c>
      <c r="Q492" t="b">
        <f t="shared" si="73"/>
        <v>1</v>
      </c>
      <c r="R492" t="b">
        <f t="shared" si="74"/>
        <v>1</v>
      </c>
      <c r="S492" t="b">
        <f t="shared" si="75"/>
        <v>1</v>
      </c>
    </row>
    <row r="493" spans="1:19" x14ac:dyDescent="0.2">
      <c r="A493" s="106">
        <f>_xlfn.XLOOKUP(B493,pratos!B:B,pratos!A:A,"não")</f>
        <v>349</v>
      </c>
      <c r="B493" s="111" t="s">
        <v>116</v>
      </c>
      <c r="C493" s="105">
        <f>_xlfn.XLOOKUP(D493,ingredientes!B:B,ingredientes!A:A,"não")</f>
        <v>96</v>
      </c>
      <c r="D493" s="30" t="s">
        <v>641</v>
      </c>
      <c r="E493" s="19">
        <v>65</v>
      </c>
      <c r="H493">
        <f t="shared" si="69"/>
        <v>349</v>
      </c>
      <c r="I493">
        <f t="shared" si="70"/>
        <v>96</v>
      </c>
      <c r="J493">
        <f t="shared" si="71"/>
        <v>65</v>
      </c>
      <c r="K493">
        <f t="shared" si="72"/>
        <v>445</v>
      </c>
      <c r="M493">
        <v>349</v>
      </c>
      <c r="N493">
        <v>96</v>
      </c>
      <c r="O493">
        <v>65</v>
      </c>
      <c r="Q493" t="b">
        <f t="shared" si="73"/>
        <v>1</v>
      </c>
      <c r="R493" t="b">
        <f t="shared" si="74"/>
        <v>1</v>
      </c>
      <c r="S493" t="b">
        <f t="shared" si="75"/>
        <v>1</v>
      </c>
    </row>
    <row r="494" spans="1:19" x14ac:dyDescent="0.2">
      <c r="A494" s="106">
        <f>_xlfn.XLOOKUP(B494,pratos!B:B,pratos!A:A,"não")</f>
        <v>349</v>
      </c>
      <c r="B494" s="111" t="s">
        <v>116</v>
      </c>
      <c r="C494" s="105">
        <f>_xlfn.XLOOKUP(D494,ingredientes!B:B,ingredientes!A:A,"não")</f>
        <v>177</v>
      </c>
      <c r="D494" s="16" t="s">
        <v>6</v>
      </c>
      <c r="E494" s="5">
        <v>20</v>
      </c>
      <c r="H494">
        <f t="shared" si="69"/>
        <v>349</v>
      </c>
      <c r="I494">
        <f t="shared" si="70"/>
        <v>177</v>
      </c>
      <c r="J494">
        <f t="shared" si="71"/>
        <v>20</v>
      </c>
      <c r="K494">
        <f t="shared" si="72"/>
        <v>526</v>
      </c>
      <c r="M494">
        <v>349</v>
      </c>
      <c r="N494">
        <v>177</v>
      </c>
      <c r="O494">
        <v>20</v>
      </c>
      <c r="Q494" t="b">
        <f t="shared" si="73"/>
        <v>1</v>
      </c>
      <c r="R494" t="b">
        <f t="shared" si="74"/>
        <v>1</v>
      </c>
      <c r="S494" t="b">
        <f t="shared" si="75"/>
        <v>1</v>
      </c>
    </row>
    <row r="495" spans="1:19" x14ac:dyDescent="0.2">
      <c r="A495" s="106">
        <f>_xlfn.XLOOKUP(B495,pratos!B:B,pratos!A:A,"não")</f>
        <v>349</v>
      </c>
      <c r="B495" s="111" t="s">
        <v>116</v>
      </c>
      <c r="C495" s="105">
        <f>_xlfn.XLOOKUP(D495,ingredientes!B:B,ingredientes!A:A,"não")</f>
        <v>198</v>
      </c>
      <c r="D495" s="9" t="s">
        <v>4</v>
      </c>
      <c r="E495" s="5">
        <v>5</v>
      </c>
      <c r="H495">
        <f t="shared" si="69"/>
        <v>349</v>
      </c>
      <c r="I495">
        <f t="shared" si="70"/>
        <v>198</v>
      </c>
      <c r="J495">
        <f t="shared" si="71"/>
        <v>5</v>
      </c>
      <c r="K495">
        <f t="shared" si="72"/>
        <v>547</v>
      </c>
      <c r="M495">
        <v>349</v>
      </c>
      <c r="N495">
        <v>198</v>
      </c>
      <c r="O495">
        <v>5</v>
      </c>
      <c r="Q495" t="b">
        <f t="shared" si="73"/>
        <v>1</v>
      </c>
      <c r="R495" t="b">
        <f t="shared" si="74"/>
        <v>1</v>
      </c>
      <c r="S495" t="b">
        <f t="shared" si="75"/>
        <v>1</v>
      </c>
    </row>
    <row r="496" spans="1:19" x14ac:dyDescent="0.2">
      <c r="A496" s="106">
        <f>_xlfn.XLOOKUP(B496,pratos!B:B,pratos!A:A,"não")</f>
        <v>350</v>
      </c>
      <c r="B496" s="111" t="s">
        <v>372</v>
      </c>
      <c r="C496" s="105">
        <f>_xlfn.XLOOKUP(D496,ingredientes!B:B,ingredientes!A:A,"não")</f>
        <v>169</v>
      </c>
      <c r="D496" s="30" t="s">
        <v>666</v>
      </c>
      <c r="E496" s="19">
        <v>65</v>
      </c>
      <c r="H496">
        <f t="shared" si="69"/>
        <v>350</v>
      </c>
      <c r="I496">
        <f t="shared" si="70"/>
        <v>169</v>
      </c>
      <c r="J496">
        <f t="shared" si="71"/>
        <v>65</v>
      </c>
      <c r="K496">
        <f t="shared" si="72"/>
        <v>519</v>
      </c>
      <c r="M496">
        <v>350</v>
      </c>
      <c r="N496">
        <v>169</v>
      </c>
      <c r="O496">
        <v>65</v>
      </c>
      <c r="Q496" t="b">
        <f t="shared" si="73"/>
        <v>1</v>
      </c>
      <c r="R496" t="b">
        <f t="shared" si="74"/>
        <v>1</v>
      </c>
      <c r="S496" t="b">
        <f t="shared" si="75"/>
        <v>1</v>
      </c>
    </row>
    <row r="497" spans="1:19" x14ac:dyDescent="0.2">
      <c r="A497" s="106">
        <f>_xlfn.XLOOKUP(B497,pratos!B:B,pratos!A:A,"não")</f>
        <v>351</v>
      </c>
      <c r="B497" s="128" t="s">
        <v>427</v>
      </c>
      <c r="C497" s="105">
        <f>_xlfn.XLOOKUP(D497,ingredientes!B:B,ingredientes!A:A,"não")</f>
        <v>58</v>
      </c>
      <c r="D497" s="30" t="s">
        <v>618</v>
      </c>
      <c r="E497" s="31">
        <v>35</v>
      </c>
      <c r="H497">
        <f t="shared" si="69"/>
        <v>351</v>
      </c>
      <c r="I497">
        <f t="shared" si="70"/>
        <v>58</v>
      </c>
      <c r="J497">
        <f t="shared" si="71"/>
        <v>35</v>
      </c>
      <c r="K497">
        <f t="shared" si="72"/>
        <v>409</v>
      </c>
      <c r="M497">
        <v>351</v>
      </c>
      <c r="N497">
        <v>58</v>
      </c>
      <c r="O497">
        <v>35</v>
      </c>
      <c r="Q497" t="b">
        <f t="shared" si="73"/>
        <v>1</v>
      </c>
      <c r="R497" t="b">
        <f t="shared" si="74"/>
        <v>1</v>
      </c>
      <c r="S497" t="b">
        <f t="shared" si="75"/>
        <v>1</v>
      </c>
    </row>
    <row r="498" spans="1:19" x14ac:dyDescent="0.2">
      <c r="A498" s="106">
        <f>_xlfn.XLOOKUP(B498,pratos!B:B,pratos!A:A,"não")</f>
        <v>351</v>
      </c>
      <c r="B498" s="128" t="s">
        <v>427</v>
      </c>
      <c r="C498" s="105">
        <f>_xlfn.XLOOKUP(D498,ingredientes!B:B,ingredientes!A:A,"não")</f>
        <v>64</v>
      </c>
      <c r="D498" s="30" t="s">
        <v>624</v>
      </c>
      <c r="E498" s="17">
        <v>35</v>
      </c>
      <c r="H498">
        <f t="shared" si="69"/>
        <v>351</v>
      </c>
      <c r="I498">
        <f t="shared" si="70"/>
        <v>64</v>
      </c>
      <c r="J498">
        <f t="shared" si="71"/>
        <v>35</v>
      </c>
      <c r="K498">
        <f t="shared" si="72"/>
        <v>415</v>
      </c>
      <c r="M498">
        <v>351</v>
      </c>
      <c r="N498">
        <v>64</v>
      </c>
      <c r="O498">
        <v>35</v>
      </c>
      <c r="Q498" t="b">
        <f t="shared" si="73"/>
        <v>1</v>
      </c>
      <c r="R498" t="b">
        <f t="shared" si="74"/>
        <v>1</v>
      </c>
      <c r="S498" t="b">
        <f t="shared" si="75"/>
        <v>1</v>
      </c>
    </row>
    <row r="499" spans="1:19" x14ac:dyDescent="0.2">
      <c r="A499" s="106">
        <f>_xlfn.XLOOKUP(B499,pratos!B:B,pratos!A:A,"não")</f>
        <v>352</v>
      </c>
      <c r="B499" s="116" t="s">
        <v>484</v>
      </c>
      <c r="C499" s="105">
        <f>_xlfn.XLOOKUP(D499,ingredientes!B:B,ingredientes!A:A,"não")</f>
        <v>3</v>
      </c>
      <c r="D499" s="30" t="s">
        <v>604</v>
      </c>
      <c r="E499" s="10">
        <v>50</v>
      </c>
      <c r="H499">
        <f t="shared" si="69"/>
        <v>352</v>
      </c>
      <c r="I499">
        <f t="shared" si="70"/>
        <v>3</v>
      </c>
      <c r="J499">
        <f t="shared" si="71"/>
        <v>50</v>
      </c>
      <c r="K499">
        <f t="shared" si="72"/>
        <v>355</v>
      </c>
      <c r="M499">
        <v>352</v>
      </c>
      <c r="N499">
        <v>3</v>
      </c>
      <c r="O499">
        <v>50</v>
      </c>
      <c r="Q499" t="b">
        <f t="shared" si="73"/>
        <v>1</v>
      </c>
      <c r="R499" t="b">
        <f t="shared" si="74"/>
        <v>1</v>
      </c>
      <c r="S499" t="b">
        <f t="shared" si="75"/>
        <v>1</v>
      </c>
    </row>
    <row r="500" spans="1:19" x14ac:dyDescent="0.2">
      <c r="A500" s="106">
        <f>_xlfn.XLOOKUP(B500,pratos!B:B,pratos!A:A,"não")</f>
        <v>352</v>
      </c>
      <c r="B500" s="116" t="s">
        <v>484</v>
      </c>
      <c r="C500" s="105">
        <f>_xlfn.XLOOKUP(D500,ingredientes!B:B,ingredientes!A:A,"não")</f>
        <v>281</v>
      </c>
      <c r="D500" s="30" t="s">
        <v>688</v>
      </c>
      <c r="E500" s="10">
        <v>50</v>
      </c>
      <c r="H500">
        <f t="shared" si="69"/>
        <v>352</v>
      </c>
      <c r="I500">
        <f t="shared" si="70"/>
        <v>281</v>
      </c>
      <c r="J500">
        <f t="shared" si="71"/>
        <v>50</v>
      </c>
      <c r="K500">
        <f t="shared" si="72"/>
        <v>633</v>
      </c>
      <c r="M500">
        <v>352</v>
      </c>
      <c r="N500">
        <v>281</v>
      </c>
      <c r="O500">
        <v>50</v>
      </c>
      <c r="Q500" t="b">
        <f t="shared" si="73"/>
        <v>1</v>
      </c>
      <c r="R500" t="b">
        <f t="shared" si="74"/>
        <v>1</v>
      </c>
      <c r="S500" t="b">
        <f t="shared" si="75"/>
        <v>1</v>
      </c>
    </row>
    <row r="501" spans="1:19" x14ac:dyDescent="0.2">
      <c r="A501" s="106">
        <f>_xlfn.XLOOKUP(B501,pratos!B:B,pratos!A:A,"não")</f>
        <v>353</v>
      </c>
      <c r="B501" s="52" t="s">
        <v>165</v>
      </c>
      <c r="C501" s="105">
        <f>_xlfn.XLOOKUP(D501,ingredientes!B:B,ingredientes!A:A,"não")</f>
        <v>283</v>
      </c>
      <c r="D501" s="30" t="s">
        <v>690</v>
      </c>
      <c r="E501" s="10">
        <v>100</v>
      </c>
      <c r="H501">
        <f t="shared" si="69"/>
        <v>353</v>
      </c>
      <c r="I501">
        <f t="shared" si="70"/>
        <v>283</v>
      </c>
      <c r="J501">
        <f t="shared" si="71"/>
        <v>100</v>
      </c>
      <c r="K501">
        <f t="shared" si="72"/>
        <v>636</v>
      </c>
      <c r="M501">
        <v>353</v>
      </c>
      <c r="N501">
        <v>283</v>
      </c>
      <c r="O501">
        <v>100</v>
      </c>
      <c r="Q501" t="b">
        <f t="shared" si="73"/>
        <v>1</v>
      </c>
      <c r="R501" t="b">
        <f t="shared" si="74"/>
        <v>1</v>
      </c>
      <c r="S501" t="b">
        <f t="shared" si="75"/>
        <v>1</v>
      </c>
    </row>
    <row r="502" spans="1:19" x14ac:dyDescent="0.2">
      <c r="A502" s="106">
        <f>_xlfn.XLOOKUP(B502,pratos!B:B,pratos!A:A,"não")</f>
        <v>354</v>
      </c>
      <c r="B502" s="109" t="s">
        <v>479</v>
      </c>
      <c r="C502" s="105">
        <f>_xlfn.XLOOKUP(D502,ingredientes!B:B,ingredientes!A:A,"não")</f>
        <v>284</v>
      </c>
      <c r="D502" s="8" t="s">
        <v>479</v>
      </c>
      <c r="E502" s="68">
        <v>100</v>
      </c>
      <c r="H502">
        <f t="shared" si="69"/>
        <v>354</v>
      </c>
      <c r="I502">
        <f t="shared" si="70"/>
        <v>284</v>
      </c>
      <c r="J502">
        <f t="shared" si="71"/>
        <v>100</v>
      </c>
      <c r="K502">
        <f t="shared" si="72"/>
        <v>638</v>
      </c>
      <c r="M502">
        <v>354</v>
      </c>
      <c r="N502">
        <v>284</v>
      </c>
      <c r="O502">
        <v>100</v>
      </c>
      <c r="Q502" t="b">
        <f t="shared" si="73"/>
        <v>1</v>
      </c>
      <c r="R502" t="b">
        <f t="shared" si="74"/>
        <v>1</v>
      </c>
      <c r="S502" t="b">
        <f t="shared" si="75"/>
        <v>1</v>
      </c>
    </row>
    <row r="503" spans="1:19" x14ac:dyDescent="0.2">
      <c r="A503" s="106">
        <f>_xlfn.XLOOKUP(B503,pratos!B:B,pratos!A:A,"não")</f>
        <v>355</v>
      </c>
      <c r="B503" s="52" t="s">
        <v>219</v>
      </c>
      <c r="C503" s="105">
        <f>_xlfn.XLOOKUP(D503,ingredientes!B:B,ingredientes!A:A,"não")</f>
        <v>285</v>
      </c>
      <c r="D503" s="9" t="s">
        <v>220</v>
      </c>
      <c r="E503" s="10">
        <v>100</v>
      </c>
      <c r="H503">
        <f t="shared" si="69"/>
        <v>355</v>
      </c>
      <c r="I503">
        <f t="shared" si="70"/>
        <v>285</v>
      </c>
      <c r="J503">
        <f t="shared" si="71"/>
        <v>100</v>
      </c>
      <c r="K503">
        <f t="shared" si="72"/>
        <v>640</v>
      </c>
      <c r="M503">
        <v>355</v>
      </c>
      <c r="N503">
        <v>285</v>
      </c>
      <c r="O503">
        <v>100</v>
      </c>
      <c r="Q503" t="b">
        <f t="shared" si="73"/>
        <v>1</v>
      </c>
      <c r="R503" t="b">
        <f t="shared" si="74"/>
        <v>1</v>
      </c>
      <c r="S503" t="b">
        <f t="shared" si="75"/>
        <v>1</v>
      </c>
    </row>
    <row r="504" spans="1:19" x14ac:dyDescent="0.2">
      <c r="A504" s="106">
        <f>_xlfn.XLOOKUP(B504,pratos!B:B,pratos!A:A,"não")</f>
        <v>356</v>
      </c>
      <c r="B504" s="109" t="s">
        <v>439</v>
      </c>
      <c r="C504" s="105">
        <f>_xlfn.XLOOKUP(D504,ingredientes!B:B,ingredientes!A:A,"não")</f>
        <v>174</v>
      </c>
      <c r="D504" s="9" t="s">
        <v>137</v>
      </c>
      <c r="E504" s="17">
        <v>40</v>
      </c>
      <c r="H504">
        <f t="shared" si="69"/>
        <v>356</v>
      </c>
      <c r="I504">
        <f t="shared" si="70"/>
        <v>174</v>
      </c>
      <c r="J504">
        <f t="shared" si="71"/>
        <v>40</v>
      </c>
      <c r="K504">
        <f t="shared" si="72"/>
        <v>530</v>
      </c>
      <c r="M504">
        <v>356</v>
      </c>
      <c r="N504">
        <v>174</v>
      </c>
      <c r="O504">
        <v>40</v>
      </c>
      <c r="Q504" t="b">
        <f t="shared" si="73"/>
        <v>1</v>
      </c>
      <c r="R504" t="b">
        <f t="shared" si="74"/>
        <v>1</v>
      </c>
      <c r="S504" t="b">
        <f t="shared" si="75"/>
        <v>1</v>
      </c>
    </row>
    <row r="505" spans="1:19" x14ac:dyDescent="0.2">
      <c r="A505" s="106">
        <f>_xlfn.XLOOKUP(B505,pratos!B:B,pratos!A:A,"não")</f>
        <v>356</v>
      </c>
      <c r="B505" s="109" t="s">
        <v>439</v>
      </c>
      <c r="C505" s="105">
        <f>_xlfn.XLOOKUP(D505,ingredientes!B:B,ingredientes!A:A,"não")</f>
        <v>287</v>
      </c>
      <c r="D505" s="69" t="s">
        <v>440</v>
      </c>
      <c r="E505" s="10">
        <v>50</v>
      </c>
      <c r="H505">
        <f t="shared" si="69"/>
        <v>356</v>
      </c>
      <c r="I505">
        <f t="shared" si="70"/>
        <v>287</v>
      </c>
      <c r="J505">
        <f t="shared" si="71"/>
        <v>50</v>
      </c>
      <c r="K505">
        <f t="shared" si="72"/>
        <v>643</v>
      </c>
      <c r="M505">
        <v>356</v>
      </c>
      <c r="N505">
        <v>287</v>
      </c>
      <c r="O505">
        <v>50</v>
      </c>
      <c r="Q505" t="b">
        <f t="shared" si="73"/>
        <v>1</v>
      </c>
      <c r="R505" t="b">
        <f t="shared" si="74"/>
        <v>1</v>
      </c>
      <c r="S505" t="b">
        <f t="shared" si="75"/>
        <v>1</v>
      </c>
    </row>
    <row r="506" spans="1:19" x14ac:dyDescent="0.2">
      <c r="A506" s="106">
        <f>_xlfn.XLOOKUP(B506,pratos!B:B,pratos!A:A,"não")</f>
        <v>357</v>
      </c>
      <c r="B506" s="128" t="s">
        <v>456</v>
      </c>
      <c r="C506" s="105">
        <f>_xlfn.XLOOKUP(D506,ingredientes!B:B,ingredientes!A:A,"não")</f>
        <v>287</v>
      </c>
      <c r="D506" s="61" t="s">
        <v>440</v>
      </c>
      <c r="E506" s="10">
        <v>25</v>
      </c>
      <c r="H506">
        <f t="shared" si="69"/>
        <v>357</v>
      </c>
      <c r="I506">
        <f t="shared" si="70"/>
        <v>287</v>
      </c>
      <c r="J506">
        <f t="shared" si="71"/>
        <v>25</v>
      </c>
      <c r="K506">
        <f t="shared" si="72"/>
        <v>644</v>
      </c>
      <c r="M506">
        <v>357</v>
      </c>
      <c r="N506">
        <v>287</v>
      </c>
      <c r="O506">
        <v>25</v>
      </c>
      <c r="Q506" t="b">
        <f t="shared" si="73"/>
        <v>1</v>
      </c>
      <c r="R506" t="b">
        <f t="shared" si="74"/>
        <v>1</v>
      </c>
      <c r="S506" t="b">
        <f t="shared" si="75"/>
        <v>1</v>
      </c>
    </row>
    <row r="507" spans="1:19" x14ac:dyDescent="0.2">
      <c r="A507" s="106">
        <f>_xlfn.XLOOKUP(B507,pratos!B:B,pratos!A:A,"não")</f>
        <v>357</v>
      </c>
      <c r="B507" s="128" t="s">
        <v>456</v>
      </c>
      <c r="C507" s="105">
        <f>_xlfn.XLOOKUP(D507,ingredientes!B:B,ingredientes!A:A,"não")</f>
        <v>310</v>
      </c>
      <c r="D507" s="61" t="s">
        <v>150</v>
      </c>
      <c r="E507" s="82">
        <v>25</v>
      </c>
      <c r="H507">
        <f t="shared" si="69"/>
        <v>357</v>
      </c>
      <c r="I507">
        <f t="shared" si="70"/>
        <v>310</v>
      </c>
      <c r="J507">
        <f t="shared" si="71"/>
        <v>25</v>
      </c>
      <c r="K507">
        <f t="shared" si="72"/>
        <v>667</v>
      </c>
      <c r="M507">
        <v>357</v>
      </c>
      <c r="N507">
        <v>310</v>
      </c>
      <c r="O507">
        <v>25</v>
      </c>
      <c r="Q507" t="b">
        <f t="shared" si="73"/>
        <v>1</v>
      </c>
      <c r="R507" t="b">
        <f t="shared" si="74"/>
        <v>1</v>
      </c>
      <c r="S507" t="b">
        <f t="shared" si="75"/>
        <v>1</v>
      </c>
    </row>
    <row r="508" spans="1:19" x14ac:dyDescent="0.2">
      <c r="A508" s="106">
        <f>_xlfn.XLOOKUP(B508,pratos!B:B,pratos!A:A,"não")</f>
        <v>358</v>
      </c>
      <c r="B508" s="52" t="s">
        <v>56</v>
      </c>
      <c r="C508" s="105">
        <f>_xlfn.XLOOKUP(D508,ingredientes!B:B,ingredientes!A:A,"não")</f>
        <v>288</v>
      </c>
      <c r="D508" s="9" t="s">
        <v>57</v>
      </c>
      <c r="E508" s="10">
        <v>100</v>
      </c>
      <c r="H508">
        <f t="shared" si="69"/>
        <v>358</v>
      </c>
      <c r="I508">
        <f t="shared" si="70"/>
        <v>288</v>
      </c>
      <c r="J508">
        <f t="shared" si="71"/>
        <v>100</v>
      </c>
      <c r="K508">
        <f t="shared" si="72"/>
        <v>646</v>
      </c>
      <c r="M508">
        <v>358</v>
      </c>
      <c r="N508">
        <v>288</v>
      </c>
      <c r="O508">
        <v>100</v>
      </c>
      <c r="Q508" t="b">
        <f t="shared" si="73"/>
        <v>1</v>
      </c>
      <c r="R508" t="b">
        <f t="shared" si="74"/>
        <v>1</v>
      </c>
      <c r="S508" t="b">
        <f t="shared" si="75"/>
        <v>1</v>
      </c>
    </row>
    <row r="509" spans="1:19" x14ac:dyDescent="0.2">
      <c r="A509" s="106">
        <f>_xlfn.XLOOKUP(B509,pratos!B:B,pratos!A:A,"não")</f>
        <v>359</v>
      </c>
      <c r="B509" s="108" t="s">
        <v>226</v>
      </c>
      <c r="C509" s="105">
        <f>_xlfn.XLOOKUP(D509,ingredientes!B:B,ingredientes!A:A,"não")</f>
        <v>290</v>
      </c>
      <c r="D509" s="50" t="s">
        <v>209</v>
      </c>
      <c r="E509" s="10">
        <v>50</v>
      </c>
      <c r="H509">
        <f t="shared" si="69"/>
        <v>359</v>
      </c>
      <c r="I509">
        <f t="shared" si="70"/>
        <v>290</v>
      </c>
      <c r="J509">
        <f t="shared" si="71"/>
        <v>50</v>
      </c>
      <c r="K509">
        <f t="shared" si="72"/>
        <v>649</v>
      </c>
      <c r="M509">
        <v>359</v>
      </c>
      <c r="N509">
        <v>290</v>
      </c>
      <c r="O509">
        <v>50</v>
      </c>
      <c r="Q509" t="b">
        <f t="shared" si="73"/>
        <v>1</v>
      </c>
      <c r="R509" t="b">
        <f t="shared" si="74"/>
        <v>1</v>
      </c>
      <c r="S509" t="b">
        <f t="shared" si="75"/>
        <v>1</v>
      </c>
    </row>
    <row r="510" spans="1:19" x14ac:dyDescent="0.2">
      <c r="A510" s="106">
        <f>_xlfn.XLOOKUP(B510,pratos!B:B,pratos!A:A,"não")</f>
        <v>360</v>
      </c>
      <c r="B510" s="123" t="s">
        <v>374</v>
      </c>
      <c r="C510" s="105">
        <f>_xlfn.XLOOKUP(D510,ingredientes!B:B,ingredientes!A:A,"não")</f>
        <v>289</v>
      </c>
      <c r="D510" s="9" t="s">
        <v>226</v>
      </c>
      <c r="E510" s="10">
        <v>50</v>
      </c>
      <c r="H510">
        <f t="shared" si="69"/>
        <v>360</v>
      </c>
      <c r="I510">
        <f t="shared" si="70"/>
        <v>289</v>
      </c>
      <c r="J510">
        <f t="shared" si="71"/>
        <v>50</v>
      </c>
      <c r="K510">
        <f t="shared" si="72"/>
        <v>649</v>
      </c>
      <c r="M510">
        <v>360</v>
      </c>
      <c r="N510">
        <v>289</v>
      </c>
      <c r="O510">
        <v>50</v>
      </c>
      <c r="Q510" t="b">
        <f t="shared" si="73"/>
        <v>1</v>
      </c>
      <c r="R510" t="b">
        <f t="shared" si="74"/>
        <v>1</v>
      </c>
      <c r="S510" t="b">
        <f t="shared" si="75"/>
        <v>1</v>
      </c>
    </row>
    <row r="511" spans="1:19" x14ac:dyDescent="0.2">
      <c r="A511" s="106">
        <f>_xlfn.XLOOKUP(B511,pratos!B:B,pratos!A:A,"não")</f>
        <v>360</v>
      </c>
      <c r="B511" s="123" t="s">
        <v>374</v>
      </c>
      <c r="C511" s="105">
        <f>_xlfn.XLOOKUP(D511,ingredientes!B:B,ingredientes!A:A,"não")</f>
        <v>313</v>
      </c>
      <c r="D511" s="64" t="s">
        <v>25</v>
      </c>
      <c r="E511" s="51">
        <v>50</v>
      </c>
      <c r="H511">
        <f t="shared" si="69"/>
        <v>360</v>
      </c>
      <c r="I511">
        <f t="shared" si="70"/>
        <v>313</v>
      </c>
      <c r="J511">
        <f t="shared" si="71"/>
        <v>50</v>
      </c>
      <c r="K511">
        <f t="shared" si="72"/>
        <v>673</v>
      </c>
      <c r="M511">
        <v>360</v>
      </c>
      <c r="N511">
        <v>313</v>
      </c>
      <c r="O511">
        <v>50</v>
      </c>
      <c r="Q511" t="b">
        <f t="shared" si="73"/>
        <v>1</v>
      </c>
      <c r="R511" t="b">
        <f t="shared" si="74"/>
        <v>1</v>
      </c>
      <c r="S511" t="b">
        <f t="shared" si="75"/>
        <v>1</v>
      </c>
    </row>
    <row r="512" spans="1:19" x14ac:dyDescent="0.2">
      <c r="A512" s="106">
        <f>_xlfn.XLOOKUP(B512,pratos!B:B,pratos!A:A,"não")</f>
        <v>361</v>
      </c>
      <c r="B512" s="52" t="s">
        <v>188</v>
      </c>
      <c r="C512" s="105">
        <f>_xlfn.XLOOKUP(D512,ingredientes!B:B,ingredientes!A:A,"não")</f>
        <v>293</v>
      </c>
      <c r="D512" s="38" t="s">
        <v>144</v>
      </c>
      <c r="E512" s="10">
        <v>30</v>
      </c>
      <c r="H512">
        <f t="shared" si="69"/>
        <v>361</v>
      </c>
      <c r="I512">
        <f t="shared" ref="I512:I547" si="76">C512</f>
        <v>293</v>
      </c>
      <c r="J512">
        <f t="shared" ref="J512:J547" si="77">E512</f>
        <v>30</v>
      </c>
      <c r="K512">
        <f t="shared" si="72"/>
        <v>654</v>
      </c>
      <c r="M512">
        <v>361</v>
      </c>
      <c r="N512">
        <v>293</v>
      </c>
      <c r="O512">
        <v>30</v>
      </c>
      <c r="Q512" t="b">
        <f t="shared" si="73"/>
        <v>1</v>
      </c>
      <c r="R512" t="b">
        <f t="shared" si="74"/>
        <v>1</v>
      </c>
      <c r="S512" t="b">
        <f t="shared" si="75"/>
        <v>1</v>
      </c>
    </row>
    <row r="513" spans="1:19" x14ac:dyDescent="0.2">
      <c r="A513" s="106">
        <f>_xlfn.XLOOKUP(B513,pratos!B:B,pratos!A:A,"não")</f>
        <v>362</v>
      </c>
      <c r="B513" s="111" t="s">
        <v>143</v>
      </c>
      <c r="C513" s="105">
        <f>_xlfn.XLOOKUP(D513,ingredientes!B:B,ingredientes!A:A,"não")</f>
        <v>193</v>
      </c>
      <c r="D513" s="29" t="s">
        <v>145</v>
      </c>
      <c r="E513" s="10">
        <v>70</v>
      </c>
      <c r="H513">
        <f t="shared" si="69"/>
        <v>362</v>
      </c>
      <c r="I513">
        <f t="shared" si="76"/>
        <v>193</v>
      </c>
      <c r="J513">
        <f t="shared" si="77"/>
        <v>70</v>
      </c>
      <c r="K513">
        <f t="shared" si="72"/>
        <v>555</v>
      </c>
      <c r="M513">
        <v>362</v>
      </c>
      <c r="N513">
        <v>193</v>
      </c>
      <c r="O513">
        <v>70</v>
      </c>
      <c r="Q513" t="b">
        <f t="shared" si="73"/>
        <v>1</v>
      </c>
      <c r="R513" t="b">
        <f t="shared" si="74"/>
        <v>1</v>
      </c>
      <c r="S513" t="b">
        <f t="shared" si="75"/>
        <v>1</v>
      </c>
    </row>
    <row r="514" spans="1:19" x14ac:dyDescent="0.2">
      <c r="A514" s="106">
        <f>_xlfn.XLOOKUP(B514,pratos!B:B,pratos!A:A,"não")</f>
        <v>362</v>
      </c>
      <c r="B514" s="52" t="s">
        <v>143</v>
      </c>
      <c r="C514" s="105">
        <f>_xlfn.XLOOKUP(D514,ingredientes!B:B,ingredientes!A:A,"não")</f>
        <v>293</v>
      </c>
      <c r="D514" s="38" t="s">
        <v>144</v>
      </c>
      <c r="E514" s="10">
        <v>30</v>
      </c>
      <c r="H514">
        <f t="shared" ref="H514:H547" si="78">A514</f>
        <v>362</v>
      </c>
      <c r="I514">
        <f t="shared" si="76"/>
        <v>293</v>
      </c>
      <c r="J514">
        <f t="shared" si="77"/>
        <v>30</v>
      </c>
      <c r="K514">
        <f t="shared" ref="K514:K547" si="79">H514+I514</f>
        <v>655</v>
      </c>
      <c r="M514">
        <v>362</v>
      </c>
      <c r="N514">
        <v>293</v>
      </c>
      <c r="O514">
        <v>30</v>
      </c>
      <c r="Q514" t="b">
        <f t="shared" si="73"/>
        <v>1</v>
      </c>
      <c r="R514" t="b">
        <f t="shared" si="74"/>
        <v>1</v>
      </c>
      <c r="S514" t="b">
        <f t="shared" si="75"/>
        <v>1</v>
      </c>
    </row>
    <row r="515" spans="1:19" x14ac:dyDescent="0.2">
      <c r="A515" s="106">
        <f>_xlfn.XLOOKUP(B515,pratos!B:B,pratos!A:A,"não")</f>
        <v>363</v>
      </c>
      <c r="B515" s="52" t="s">
        <v>43</v>
      </c>
      <c r="C515" s="105">
        <f>_xlfn.XLOOKUP(D515,ingredientes!B:B,ingredientes!A:A,"não")</f>
        <v>294</v>
      </c>
      <c r="D515" s="9" t="s">
        <v>43</v>
      </c>
      <c r="E515" s="10">
        <v>2</v>
      </c>
      <c r="H515">
        <f t="shared" si="78"/>
        <v>363</v>
      </c>
      <c r="I515">
        <f t="shared" si="76"/>
        <v>294</v>
      </c>
      <c r="J515">
        <f t="shared" si="77"/>
        <v>2</v>
      </c>
      <c r="K515">
        <f t="shared" si="79"/>
        <v>657</v>
      </c>
      <c r="M515">
        <v>363</v>
      </c>
      <c r="N515">
        <v>294</v>
      </c>
      <c r="O515">
        <v>2</v>
      </c>
      <c r="Q515" t="b">
        <f t="shared" si="73"/>
        <v>1</v>
      </c>
      <c r="R515" t="b">
        <f t="shared" si="74"/>
        <v>1</v>
      </c>
      <c r="S515" t="b">
        <f t="shared" si="75"/>
        <v>1</v>
      </c>
    </row>
    <row r="516" spans="1:19" x14ac:dyDescent="0.2">
      <c r="A516" s="106">
        <f>_xlfn.XLOOKUP(B516,pratos!B:B,pratos!A:A,"não")</f>
        <v>364</v>
      </c>
      <c r="B516" s="111" t="s">
        <v>272</v>
      </c>
      <c r="C516" s="105">
        <f>_xlfn.XLOOKUP(D516,ingredientes!B:B,ingredientes!A:A,"não")</f>
        <v>6</v>
      </c>
      <c r="D516" s="30" t="s">
        <v>606</v>
      </c>
      <c r="E516" s="17">
        <v>100</v>
      </c>
      <c r="H516">
        <f t="shared" si="78"/>
        <v>364</v>
      </c>
      <c r="I516">
        <f t="shared" si="76"/>
        <v>6</v>
      </c>
      <c r="J516">
        <f t="shared" si="77"/>
        <v>100</v>
      </c>
      <c r="K516">
        <f t="shared" si="79"/>
        <v>370</v>
      </c>
      <c r="M516">
        <v>364</v>
      </c>
      <c r="N516">
        <v>6</v>
      </c>
      <c r="O516">
        <v>100</v>
      </c>
      <c r="Q516" t="b">
        <f t="shared" si="73"/>
        <v>1</v>
      </c>
      <c r="R516" t="b">
        <f t="shared" si="74"/>
        <v>1</v>
      </c>
      <c r="S516" t="b">
        <f t="shared" si="75"/>
        <v>1</v>
      </c>
    </row>
    <row r="517" spans="1:19" x14ac:dyDescent="0.2">
      <c r="A517" s="106">
        <f>_xlfn.XLOOKUP(B517,pratos!B:B,pratos!A:A,"não")</f>
        <v>365</v>
      </c>
      <c r="B517" s="111" t="s">
        <v>353</v>
      </c>
      <c r="C517" s="105">
        <f>_xlfn.XLOOKUP(D517,ingredientes!B:B,ingredientes!A:A,"não")</f>
        <v>96</v>
      </c>
      <c r="D517" s="30" t="s">
        <v>641</v>
      </c>
      <c r="E517" s="17">
        <v>50</v>
      </c>
      <c r="H517">
        <f t="shared" si="78"/>
        <v>365</v>
      </c>
      <c r="I517">
        <f t="shared" si="76"/>
        <v>96</v>
      </c>
      <c r="J517">
        <f t="shared" si="77"/>
        <v>50</v>
      </c>
      <c r="K517">
        <f t="shared" si="79"/>
        <v>461</v>
      </c>
      <c r="M517">
        <v>365</v>
      </c>
      <c r="N517">
        <v>96</v>
      </c>
      <c r="O517">
        <v>50</v>
      </c>
      <c r="Q517" t="b">
        <f t="shared" si="73"/>
        <v>1</v>
      </c>
      <c r="R517" t="b">
        <f t="shared" si="74"/>
        <v>1</v>
      </c>
      <c r="S517" t="b">
        <f t="shared" si="75"/>
        <v>1</v>
      </c>
    </row>
    <row r="518" spans="1:19" x14ac:dyDescent="0.2">
      <c r="A518" s="106">
        <f>_xlfn.XLOOKUP(B518,pratos!B:B,pratos!A:A,"não")</f>
        <v>365</v>
      </c>
      <c r="B518" s="111" t="s">
        <v>353</v>
      </c>
      <c r="C518" s="105">
        <f>_xlfn.XLOOKUP(D518,ingredientes!B:B,ingredientes!A:A,"não")</f>
        <v>320</v>
      </c>
      <c r="D518" s="30" t="s">
        <v>705</v>
      </c>
      <c r="E518" s="17">
        <v>50</v>
      </c>
      <c r="H518">
        <f t="shared" si="78"/>
        <v>365</v>
      </c>
      <c r="I518">
        <f t="shared" si="76"/>
        <v>320</v>
      </c>
      <c r="J518">
        <f t="shared" si="77"/>
        <v>50</v>
      </c>
      <c r="K518">
        <f t="shared" si="79"/>
        <v>685</v>
      </c>
      <c r="M518">
        <v>365</v>
      </c>
      <c r="N518">
        <v>320</v>
      </c>
      <c r="O518">
        <v>50</v>
      </c>
      <c r="Q518" t="b">
        <f t="shared" si="73"/>
        <v>1</v>
      </c>
      <c r="R518" t="b">
        <f t="shared" si="74"/>
        <v>1</v>
      </c>
      <c r="S518" t="b">
        <f t="shared" si="75"/>
        <v>1</v>
      </c>
    </row>
    <row r="519" spans="1:19" x14ac:dyDescent="0.2">
      <c r="A519" s="106">
        <f>_xlfn.XLOOKUP(B519,pratos!B:B,pratos!A:A,"não")</f>
        <v>367</v>
      </c>
      <c r="B519" s="52" t="s">
        <v>553</v>
      </c>
      <c r="C519" s="105">
        <f>_xlfn.XLOOKUP(D519,ingredientes!B:B,ingredientes!A:A,"não")</f>
        <v>49</v>
      </c>
      <c r="D519" s="143" t="s">
        <v>554</v>
      </c>
      <c r="E519" s="10">
        <v>40</v>
      </c>
      <c r="H519">
        <f t="shared" si="78"/>
        <v>367</v>
      </c>
      <c r="I519">
        <f t="shared" si="76"/>
        <v>49</v>
      </c>
      <c r="J519">
        <f t="shared" si="77"/>
        <v>40</v>
      </c>
      <c r="K519">
        <f t="shared" si="79"/>
        <v>416</v>
      </c>
      <c r="M519">
        <v>367</v>
      </c>
      <c r="N519">
        <v>49</v>
      </c>
      <c r="O519">
        <v>40</v>
      </c>
      <c r="Q519" t="b">
        <f t="shared" si="73"/>
        <v>1</v>
      </c>
      <c r="R519" t="b">
        <f t="shared" si="74"/>
        <v>1</v>
      </c>
      <c r="S519" t="b">
        <f t="shared" si="75"/>
        <v>1</v>
      </c>
    </row>
    <row r="520" spans="1:19" x14ac:dyDescent="0.2">
      <c r="A520" s="106">
        <f>_xlfn.XLOOKUP(B520,pratos!B:B,pratos!A:A,"não")</f>
        <v>367</v>
      </c>
      <c r="B520" s="52" t="s">
        <v>553</v>
      </c>
      <c r="C520" s="105">
        <f>_xlfn.XLOOKUP(D520,ingredientes!B:B,ingredientes!A:A,"não")</f>
        <v>174</v>
      </c>
      <c r="D520" s="143" t="s">
        <v>137</v>
      </c>
      <c r="E520" s="10">
        <v>30</v>
      </c>
      <c r="H520">
        <f t="shared" si="78"/>
        <v>367</v>
      </c>
      <c r="I520">
        <f t="shared" si="76"/>
        <v>174</v>
      </c>
      <c r="J520">
        <f t="shared" si="77"/>
        <v>30</v>
      </c>
      <c r="K520">
        <f t="shared" si="79"/>
        <v>541</v>
      </c>
      <c r="M520">
        <v>367</v>
      </c>
      <c r="N520">
        <v>174</v>
      </c>
      <c r="O520">
        <v>30</v>
      </c>
      <c r="Q520" t="b">
        <f t="shared" si="73"/>
        <v>1</v>
      </c>
      <c r="R520" t="b">
        <f t="shared" si="74"/>
        <v>1</v>
      </c>
      <c r="S520" t="b">
        <f t="shared" si="75"/>
        <v>1</v>
      </c>
    </row>
    <row r="521" spans="1:19" x14ac:dyDescent="0.2">
      <c r="A521" s="106">
        <f>_xlfn.XLOOKUP(B521,pratos!B:B,pratos!A:A,"não")</f>
        <v>367</v>
      </c>
      <c r="B521" s="52" t="s">
        <v>553</v>
      </c>
      <c r="C521" s="105">
        <f>_xlfn.XLOOKUP(D521,ingredientes!B:B,ingredientes!A:A,"não")</f>
        <v>184</v>
      </c>
      <c r="D521" s="155" t="s">
        <v>512</v>
      </c>
      <c r="E521" s="10">
        <v>40</v>
      </c>
      <c r="H521">
        <f t="shared" si="78"/>
        <v>367</v>
      </c>
      <c r="I521">
        <f t="shared" si="76"/>
        <v>184</v>
      </c>
      <c r="J521">
        <f t="shared" si="77"/>
        <v>40</v>
      </c>
      <c r="K521">
        <f t="shared" si="79"/>
        <v>551</v>
      </c>
      <c r="M521">
        <v>367</v>
      </c>
      <c r="N521">
        <v>184</v>
      </c>
      <c r="O521">
        <v>40</v>
      </c>
      <c r="Q521" t="b">
        <f t="shared" si="73"/>
        <v>1</v>
      </c>
      <c r="R521" t="b">
        <f t="shared" si="74"/>
        <v>1</v>
      </c>
      <c r="S521" t="b">
        <f t="shared" si="75"/>
        <v>1</v>
      </c>
    </row>
    <row r="522" spans="1:19" x14ac:dyDescent="0.2">
      <c r="A522" s="106">
        <f>_xlfn.XLOOKUP(B522,pratos!B:B,pratos!A:A,"não")</f>
        <v>367</v>
      </c>
      <c r="B522" s="52" t="s">
        <v>553</v>
      </c>
      <c r="C522" s="105">
        <f>_xlfn.XLOOKUP(D522,ingredientes!B:B,ingredientes!A:A,"não")</f>
        <v>191</v>
      </c>
      <c r="D522" s="38" t="s">
        <v>205</v>
      </c>
      <c r="E522" s="10">
        <v>40</v>
      </c>
      <c r="H522">
        <f t="shared" si="78"/>
        <v>367</v>
      </c>
      <c r="I522">
        <f t="shared" si="76"/>
        <v>191</v>
      </c>
      <c r="J522">
        <f t="shared" si="77"/>
        <v>40</v>
      </c>
      <c r="K522">
        <f t="shared" si="79"/>
        <v>558</v>
      </c>
      <c r="M522">
        <v>367</v>
      </c>
      <c r="N522">
        <v>191</v>
      </c>
      <c r="O522">
        <v>40</v>
      </c>
      <c r="Q522" t="b">
        <f t="shared" si="73"/>
        <v>1</v>
      </c>
      <c r="R522" t="b">
        <f t="shared" si="74"/>
        <v>1</v>
      </c>
      <c r="S522" t="b">
        <f t="shared" si="75"/>
        <v>1</v>
      </c>
    </row>
    <row r="523" spans="1:19" x14ac:dyDescent="0.2">
      <c r="A523" s="106">
        <f>_xlfn.XLOOKUP(B523,pratos!B:B,pratos!A:A,"não")</f>
        <v>367</v>
      </c>
      <c r="B523" s="52" t="s">
        <v>553</v>
      </c>
      <c r="C523" s="105">
        <f>_xlfn.XLOOKUP(D523,ingredientes!B:B,ingredientes!A:A,"não")</f>
        <v>263</v>
      </c>
      <c r="D523" s="9" t="s">
        <v>338</v>
      </c>
      <c r="E523" s="68">
        <v>40</v>
      </c>
      <c r="H523">
        <f t="shared" si="78"/>
        <v>367</v>
      </c>
      <c r="I523">
        <f t="shared" si="76"/>
        <v>263</v>
      </c>
      <c r="J523">
        <f t="shared" si="77"/>
        <v>40</v>
      </c>
      <c r="K523">
        <f t="shared" si="79"/>
        <v>630</v>
      </c>
      <c r="M523">
        <v>367</v>
      </c>
      <c r="N523">
        <v>263</v>
      </c>
      <c r="O523">
        <v>40</v>
      </c>
      <c r="Q523" t="b">
        <f t="shared" si="73"/>
        <v>1</v>
      </c>
      <c r="R523" t="b">
        <f t="shared" si="74"/>
        <v>1</v>
      </c>
      <c r="S523" t="b">
        <f t="shared" si="75"/>
        <v>1</v>
      </c>
    </row>
    <row r="524" spans="1:19" x14ac:dyDescent="0.2">
      <c r="A524" s="106">
        <f>_xlfn.XLOOKUP(B524,pratos!B:B,pratos!A:A,"não")</f>
        <v>368</v>
      </c>
      <c r="B524" s="111" t="s">
        <v>100</v>
      </c>
      <c r="C524" s="105">
        <f>_xlfn.XLOOKUP(D524,ingredientes!B:B,ingredientes!A:A,"não")</f>
        <v>313</v>
      </c>
      <c r="D524" s="28" t="s">
        <v>25</v>
      </c>
      <c r="E524" s="27">
        <v>50</v>
      </c>
      <c r="H524">
        <f t="shared" si="78"/>
        <v>368</v>
      </c>
      <c r="I524">
        <f t="shared" si="76"/>
        <v>313</v>
      </c>
      <c r="J524">
        <f t="shared" si="77"/>
        <v>50</v>
      </c>
      <c r="K524">
        <f t="shared" si="79"/>
        <v>681</v>
      </c>
      <c r="M524">
        <v>368</v>
      </c>
      <c r="N524">
        <v>313</v>
      </c>
      <c r="O524">
        <v>50</v>
      </c>
      <c r="Q524" t="b">
        <f t="shared" si="73"/>
        <v>1</v>
      </c>
      <c r="R524" t="b">
        <f t="shared" si="74"/>
        <v>1</v>
      </c>
      <c r="S524" t="b">
        <f t="shared" si="75"/>
        <v>1</v>
      </c>
    </row>
    <row r="525" spans="1:19" x14ac:dyDescent="0.2">
      <c r="A525" s="106">
        <f>_xlfn.XLOOKUP(B525,pratos!B:B,pratos!A:A,"não")</f>
        <v>369</v>
      </c>
      <c r="B525" s="111" t="s">
        <v>302</v>
      </c>
      <c r="C525" s="105">
        <f>_xlfn.XLOOKUP(D525,ingredientes!B:B,ingredientes!A:A,"não")</f>
        <v>296</v>
      </c>
      <c r="D525" s="30" t="s">
        <v>694</v>
      </c>
      <c r="E525" s="17">
        <v>100</v>
      </c>
      <c r="H525">
        <f t="shared" si="78"/>
        <v>369</v>
      </c>
      <c r="I525">
        <f t="shared" si="76"/>
        <v>296</v>
      </c>
      <c r="J525">
        <f t="shared" si="77"/>
        <v>100</v>
      </c>
      <c r="K525">
        <f t="shared" si="79"/>
        <v>665</v>
      </c>
      <c r="M525">
        <v>369</v>
      </c>
      <c r="N525">
        <v>296</v>
      </c>
      <c r="O525">
        <v>100</v>
      </c>
      <c r="Q525" t="b">
        <f t="shared" si="73"/>
        <v>1</v>
      </c>
      <c r="R525" t="b">
        <f t="shared" si="74"/>
        <v>1</v>
      </c>
      <c r="S525" t="b">
        <f t="shared" si="75"/>
        <v>1</v>
      </c>
    </row>
    <row r="526" spans="1:19" x14ac:dyDescent="0.2">
      <c r="A526" s="106">
        <f>_xlfn.XLOOKUP(B526,pratos!B:B,pratos!A:A,"não")</f>
        <v>370</v>
      </c>
      <c r="B526" s="117" t="s">
        <v>240</v>
      </c>
      <c r="C526" s="105">
        <f>_xlfn.XLOOKUP(D526,ingredientes!B:B,ingredientes!A:A,"não")</f>
        <v>297</v>
      </c>
      <c r="D526" t="s">
        <v>387</v>
      </c>
      <c r="E526" s="10">
        <v>150</v>
      </c>
      <c r="H526">
        <f t="shared" si="78"/>
        <v>370</v>
      </c>
      <c r="I526">
        <f t="shared" si="76"/>
        <v>297</v>
      </c>
      <c r="J526">
        <f t="shared" si="77"/>
        <v>150</v>
      </c>
      <c r="K526">
        <f t="shared" si="79"/>
        <v>667</v>
      </c>
      <c r="M526">
        <v>370</v>
      </c>
      <c r="N526">
        <v>297</v>
      </c>
      <c r="O526">
        <v>150</v>
      </c>
      <c r="Q526" t="b">
        <f t="shared" si="73"/>
        <v>1</v>
      </c>
      <c r="R526" t="b">
        <f t="shared" si="74"/>
        <v>1</v>
      </c>
      <c r="S526" t="b">
        <f t="shared" si="75"/>
        <v>1</v>
      </c>
    </row>
    <row r="527" spans="1:19" x14ac:dyDescent="0.2">
      <c r="A527" s="106">
        <f>_xlfn.XLOOKUP(B527,pratos!B:B,pratos!A:A,"não")</f>
        <v>371</v>
      </c>
      <c r="B527" s="116" t="s">
        <v>469</v>
      </c>
      <c r="C527" s="105">
        <f>_xlfn.XLOOKUP(D527,ingredientes!B:B,ingredientes!A:A,"não")</f>
        <v>203</v>
      </c>
      <c r="D527" s="143" t="s">
        <v>344</v>
      </c>
      <c r="E527" s="10">
        <v>5</v>
      </c>
      <c r="H527">
        <f t="shared" si="78"/>
        <v>371</v>
      </c>
      <c r="I527">
        <f t="shared" si="76"/>
        <v>203</v>
      </c>
      <c r="J527">
        <f t="shared" si="77"/>
        <v>5</v>
      </c>
      <c r="K527">
        <f t="shared" si="79"/>
        <v>574</v>
      </c>
      <c r="M527">
        <v>371</v>
      </c>
      <c r="N527">
        <v>203</v>
      </c>
      <c r="O527">
        <v>5</v>
      </c>
      <c r="Q527" t="b">
        <f t="shared" ref="Q527:Q590" si="80">EXACT(H527,M527)</f>
        <v>1</v>
      </c>
      <c r="R527" t="b">
        <f t="shared" ref="R527:R590" si="81">EXACT(I527,N527)</f>
        <v>1</v>
      </c>
      <c r="S527" t="b">
        <f t="shared" ref="S527:S590" si="82">EXACT(J527,O527)</f>
        <v>1</v>
      </c>
    </row>
    <row r="528" spans="1:19" x14ac:dyDescent="0.2">
      <c r="A528" s="106">
        <f>_xlfn.XLOOKUP(B528,pratos!B:B,pratos!A:A,"não")</f>
        <v>371</v>
      </c>
      <c r="B528" s="109" t="s">
        <v>469</v>
      </c>
      <c r="C528" s="105">
        <f>_xlfn.XLOOKUP(D528,ingredientes!B:B,ingredientes!A:A,"não")</f>
        <v>252</v>
      </c>
      <c r="D528" s="143" t="s">
        <v>312</v>
      </c>
      <c r="E528" s="10">
        <v>10</v>
      </c>
      <c r="H528">
        <f t="shared" si="78"/>
        <v>371</v>
      </c>
      <c r="I528">
        <f t="shared" si="76"/>
        <v>252</v>
      </c>
      <c r="J528">
        <f t="shared" si="77"/>
        <v>10</v>
      </c>
      <c r="K528">
        <f t="shared" si="79"/>
        <v>623</v>
      </c>
      <c r="M528">
        <v>371</v>
      </c>
      <c r="N528">
        <v>252</v>
      </c>
      <c r="O528">
        <v>10</v>
      </c>
      <c r="Q528" t="b">
        <f t="shared" si="80"/>
        <v>1</v>
      </c>
      <c r="R528" t="b">
        <f t="shared" si="81"/>
        <v>1</v>
      </c>
      <c r="S528" t="b">
        <f t="shared" si="82"/>
        <v>1</v>
      </c>
    </row>
    <row r="529" spans="1:19" x14ac:dyDescent="0.2">
      <c r="A529" s="106">
        <f>_xlfn.XLOOKUP(B529,pratos!B:B,pratos!A:A,"não")</f>
        <v>371</v>
      </c>
      <c r="B529" s="109" t="s">
        <v>469</v>
      </c>
      <c r="C529" s="105">
        <f>_xlfn.XLOOKUP(D529,ingredientes!B:B,ingredientes!A:A,"não")</f>
        <v>297</v>
      </c>
      <c r="D529" t="s">
        <v>387</v>
      </c>
      <c r="E529" s="17">
        <v>150</v>
      </c>
      <c r="H529">
        <f t="shared" si="78"/>
        <v>371</v>
      </c>
      <c r="I529">
        <f t="shared" si="76"/>
        <v>297</v>
      </c>
      <c r="J529">
        <f t="shared" si="77"/>
        <v>150</v>
      </c>
      <c r="K529">
        <f t="shared" si="79"/>
        <v>668</v>
      </c>
      <c r="M529">
        <v>371</v>
      </c>
      <c r="N529">
        <v>297</v>
      </c>
      <c r="O529">
        <v>150</v>
      </c>
      <c r="Q529" t="b">
        <f t="shared" si="80"/>
        <v>1</v>
      </c>
      <c r="R529" t="b">
        <f t="shared" si="81"/>
        <v>1</v>
      </c>
      <c r="S529" t="b">
        <f t="shared" si="82"/>
        <v>1</v>
      </c>
    </row>
    <row r="530" spans="1:19" x14ac:dyDescent="0.2">
      <c r="A530" s="106">
        <f>_xlfn.XLOOKUP(B530,pratos!B:B,pratos!A:A,"não")</f>
        <v>372</v>
      </c>
      <c r="B530" s="123" t="s">
        <v>394</v>
      </c>
      <c r="C530" s="105">
        <f>_xlfn.XLOOKUP(D530,ingredientes!B:B,ingredientes!A:A,"não")</f>
        <v>297</v>
      </c>
      <c r="D530" t="s">
        <v>387</v>
      </c>
      <c r="E530" s="10">
        <v>100</v>
      </c>
      <c r="H530">
        <f t="shared" si="78"/>
        <v>372</v>
      </c>
      <c r="I530">
        <f t="shared" si="76"/>
        <v>297</v>
      </c>
      <c r="J530">
        <f t="shared" si="77"/>
        <v>100</v>
      </c>
      <c r="K530">
        <f t="shared" si="79"/>
        <v>669</v>
      </c>
      <c r="M530">
        <v>372</v>
      </c>
      <c r="N530">
        <v>297</v>
      </c>
      <c r="O530">
        <v>100</v>
      </c>
      <c r="Q530" t="b">
        <f t="shared" si="80"/>
        <v>1</v>
      </c>
      <c r="R530" t="b">
        <f t="shared" si="81"/>
        <v>1</v>
      </c>
      <c r="S530" t="b">
        <f t="shared" si="82"/>
        <v>1</v>
      </c>
    </row>
    <row r="531" spans="1:19" x14ac:dyDescent="0.2">
      <c r="A531" s="106">
        <f>_xlfn.XLOOKUP(B531,pratos!B:B,pratos!A:A,"não")</f>
        <v>373</v>
      </c>
      <c r="B531" s="109" t="s">
        <v>413</v>
      </c>
      <c r="C531" s="105">
        <f>_xlfn.XLOOKUP(D531,ingredientes!B:B,ingredientes!A:A,"não")</f>
        <v>297</v>
      </c>
      <c r="D531" t="s">
        <v>387</v>
      </c>
      <c r="E531" s="17">
        <v>100</v>
      </c>
      <c r="H531">
        <f t="shared" si="78"/>
        <v>373</v>
      </c>
      <c r="I531">
        <f t="shared" si="76"/>
        <v>297</v>
      </c>
      <c r="J531">
        <f t="shared" si="77"/>
        <v>100</v>
      </c>
      <c r="K531">
        <f t="shared" si="79"/>
        <v>670</v>
      </c>
      <c r="M531">
        <v>373</v>
      </c>
      <c r="N531">
        <v>297</v>
      </c>
      <c r="O531">
        <v>100</v>
      </c>
      <c r="Q531" t="b">
        <f t="shared" si="80"/>
        <v>1</v>
      </c>
      <c r="R531" t="b">
        <f t="shared" si="81"/>
        <v>1</v>
      </c>
      <c r="S531" t="b">
        <f t="shared" si="82"/>
        <v>1</v>
      </c>
    </row>
    <row r="532" spans="1:19" x14ac:dyDescent="0.2">
      <c r="A532" s="106">
        <f>_xlfn.XLOOKUP(B532,pratos!B:B,pratos!A:A,"não")</f>
        <v>374</v>
      </c>
      <c r="B532" s="123" t="s">
        <v>375</v>
      </c>
      <c r="C532" s="105">
        <f>_xlfn.XLOOKUP(D532,ingredientes!B:B,ingredientes!A:A,"não")</f>
        <v>281</v>
      </c>
      <c r="D532" t="s">
        <v>688</v>
      </c>
      <c r="E532" s="10">
        <v>30</v>
      </c>
      <c r="H532">
        <f t="shared" si="78"/>
        <v>374</v>
      </c>
      <c r="I532">
        <f t="shared" si="76"/>
        <v>281</v>
      </c>
      <c r="J532">
        <f t="shared" si="77"/>
        <v>30</v>
      </c>
      <c r="K532">
        <f t="shared" si="79"/>
        <v>655</v>
      </c>
      <c r="M532">
        <v>374</v>
      </c>
      <c r="N532">
        <v>281</v>
      </c>
      <c r="O532">
        <v>30</v>
      </c>
      <c r="Q532" t="b">
        <f t="shared" si="80"/>
        <v>1</v>
      </c>
      <c r="R532" t="b">
        <f t="shared" si="81"/>
        <v>1</v>
      </c>
      <c r="S532" t="b">
        <f t="shared" si="82"/>
        <v>1</v>
      </c>
    </row>
    <row r="533" spans="1:19" x14ac:dyDescent="0.2">
      <c r="A533" s="106">
        <f>_xlfn.XLOOKUP(B533,pratos!B:B,pratos!A:A,"não")</f>
        <v>374</v>
      </c>
      <c r="B533" s="123" t="s">
        <v>375</v>
      </c>
      <c r="C533" s="105">
        <f>_xlfn.XLOOKUP(D533,ingredientes!B:B,ingredientes!A:A,"não")</f>
        <v>297</v>
      </c>
      <c r="D533" t="s">
        <v>387</v>
      </c>
      <c r="E533" s="10">
        <v>150</v>
      </c>
      <c r="H533">
        <f t="shared" si="78"/>
        <v>374</v>
      </c>
      <c r="I533">
        <f t="shared" si="76"/>
        <v>297</v>
      </c>
      <c r="J533">
        <f t="shared" si="77"/>
        <v>150</v>
      </c>
      <c r="K533">
        <f t="shared" si="79"/>
        <v>671</v>
      </c>
      <c r="M533">
        <v>374</v>
      </c>
      <c r="N533">
        <v>297</v>
      </c>
      <c r="O533">
        <v>150</v>
      </c>
      <c r="Q533" t="b">
        <f t="shared" si="80"/>
        <v>1</v>
      </c>
      <c r="R533" t="b">
        <f t="shared" si="81"/>
        <v>1</v>
      </c>
      <c r="S533" t="b">
        <f t="shared" si="82"/>
        <v>1</v>
      </c>
    </row>
    <row r="534" spans="1:19" x14ac:dyDescent="0.2">
      <c r="A534" s="106">
        <f>_xlfn.XLOOKUP(B534,pratos!B:B,pratos!A:A,"não")</f>
        <v>375</v>
      </c>
      <c r="B534" s="116" t="s">
        <v>478</v>
      </c>
      <c r="C534" s="105">
        <f>_xlfn.XLOOKUP(D534,ingredientes!B:B,ingredientes!A:A,"não")</f>
        <v>251</v>
      </c>
      <c r="D534" s="143" t="s">
        <v>313</v>
      </c>
      <c r="E534" s="10">
        <v>10</v>
      </c>
      <c r="H534">
        <f t="shared" si="78"/>
        <v>375</v>
      </c>
      <c r="I534">
        <f t="shared" si="76"/>
        <v>251</v>
      </c>
      <c r="J534">
        <f t="shared" si="77"/>
        <v>10</v>
      </c>
      <c r="K534">
        <f t="shared" si="79"/>
        <v>626</v>
      </c>
      <c r="M534">
        <v>375</v>
      </c>
      <c r="N534">
        <v>251</v>
      </c>
      <c r="O534">
        <v>10</v>
      </c>
      <c r="Q534" t="b">
        <f t="shared" si="80"/>
        <v>1</v>
      </c>
      <c r="R534" t="b">
        <f t="shared" si="81"/>
        <v>1</v>
      </c>
      <c r="S534" t="b">
        <f t="shared" si="82"/>
        <v>1</v>
      </c>
    </row>
    <row r="535" spans="1:19" x14ac:dyDescent="0.2">
      <c r="A535" s="106">
        <f>_xlfn.XLOOKUP(B535,pratos!B:B,pratos!A:A,"não")</f>
        <v>375</v>
      </c>
      <c r="B535" s="109" t="s">
        <v>478</v>
      </c>
      <c r="C535" s="105">
        <f>_xlfn.XLOOKUP(D535,ingredientes!B:B,ingredientes!A:A,"não")</f>
        <v>252</v>
      </c>
      <c r="D535" s="143" t="s">
        <v>312</v>
      </c>
      <c r="E535" s="10">
        <v>10</v>
      </c>
      <c r="H535">
        <f t="shared" si="78"/>
        <v>375</v>
      </c>
      <c r="I535">
        <f t="shared" si="76"/>
        <v>252</v>
      </c>
      <c r="J535">
        <f t="shared" si="77"/>
        <v>10</v>
      </c>
      <c r="K535">
        <f t="shared" si="79"/>
        <v>627</v>
      </c>
      <c r="M535">
        <v>375</v>
      </c>
      <c r="N535">
        <v>252</v>
      </c>
      <c r="O535">
        <v>10</v>
      </c>
      <c r="Q535" t="b">
        <f t="shared" si="80"/>
        <v>1</v>
      </c>
      <c r="R535" t="b">
        <f t="shared" si="81"/>
        <v>1</v>
      </c>
      <c r="S535" t="b">
        <f t="shared" si="82"/>
        <v>1</v>
      </c>
    </row>
    <row r="536" spans="1:19" x14ac:dyDescent="0.2">
      <c r="A536" s="106">
        <f>_xlfn.XLOOKUP(B536,pratos!B:B,pratos!A:A,"não")</f>
        <v>375</v>
      </c>
      <c r="B536" s="116" t="s">
        <v>478</v>
      </c>
      <c r="C536" s="105">
        <f>_xlfn.XLOOKUP(D536,ingredientes!B:B,ingredientes!A:A,"não")</f>
        <v>253</v>
      </c>
      <c r="D536" s="143" t="s">
        <v>314</v>
      </c>
      <c r="E536" s="10">
        <v>10</v>
      </c>
      <c r="H536">
        <f t="shared" si="78"/>
        <v>375</v>
      </c>
      <c r="I536">
        <f t="shared" si="76"/>
        <v>253</v>
      </c>
      <c r="J536">
        <f t="shared" si="77"/>
        <v>10</v>
      </c>
      <c r="K536">
        <f t="shared" si="79"/>
        <v>628</v>
      </c>
      <c r="M536">
        <v>375</v>
      </c>
      <c r="N536">
        <v>253</v>
      </c>
      <c r="O536">
        <v>10</v>
      </c>
      <c r="Q536" t="b">
        <f t="shared" si="80"/>
        <v>1</v>
      </c>
      <c r="R536" t="b">
        <f t="shared" si="81"/>
        <v>1</v>
      </c>
      <c r="S536" t="b">
        <f t="shared" si="82"/>
        <v>1</v>
      </c>
    </row>
    <row r="537" spans="1:19" x14ac:dyDescent="0.2">
      <c r="A537" s="106">
        <f>_xlfn.XLOOKUP(B537,pratos!B:B,pratos!A:A,"não")</f>
        <v>375</v>
      </c>
      <c r="B537" s="109" t="s">
        <v>478</v>
      </c>
      <c r="C537" s="105">
        <f>_xlfn.XLOOKUP(D537,ingredientes!B:B,ingredientes!A:A,"não")</f>
        <v>297</v>
      </c>
      <c r="D537" t="s">
        <v>387</v>
      </c>
      <c r="E537" s="17">
        <v>100</v>
      </c>
      <c r="H537">
        <f t="shared" si="78"/>
        <v>375</v>
      </c>
      <c r="I537">
        <f t="shared" si="76"/>
        <v>297</v>
      </c>
      <c r="J537">
        <f t="shared" si="77"/>
        <v>100</v>
      </c>
      <c r="K537">
        <f t="shared" si="79"/>
        <v>672</v>
      </c>
      <c r="M537">
        <v>375</v>
      </c>
      <c r="N537">
        <v>297</v>
      </c>
      <c r="O537">
        <v>100</v>
      </c>
      <c r="Q537" t="b">
        <f t="shared" si="80"/>
        <v>1</v>
      </c>
      <c r="R537" t="b">
        <f t="shared" si="81"/>
        <v>1</v>
      </c>
      <c r="S537" t="b">
        <f t="shared" si="82"/>
        <v>1</v>
      </c>
    </row>
    <row r="538" spans="1:19" x14ac:dyDescent="0.2">
      <c r="A538" s="106">
        <f>_xlfn.XLOOKUP(B538,pratos!B:B,pratos!A:A,"não")</f>
        <v>376</v>
      </c>
      <c r="B538" s="52" t="s">
        <v>228</v>
      </c>
      <c r="C538" s="105">
        <f>_xlfn.XLOOKUP(D538,ingredientes!B:B,ingredientes!A:A,"não")</f>
        <v>24</v>
      </c>
      <c r="D538" s="150" t="s">
        <v>102</v>
      </c>
      <c r="E538" s="10">
        <v>1</v>
      </c>
      <c r="H538">
        <f t="shared" si="78"/>
        <v>376</v>
      </c>
      <c r="I538">
        <f t="shared" si="76"/>
        <v>24</v>
      </c>
      <c r="J538">
        <f t="shared" si="77"/>
        <v>1</v>
      </c>
      <c r="K538">
        <f t="shared" si="79"/>
        <v>400</v>
      </c>
      <c r="M538">
        <v>376</v>
      </c>
      <c r="N538">
        <v>24</v>
      </c>
      <c r="O538">
        <v>1</v>
      </c>
      <c r="Q538" t="b">
        <f t="shared" si="80"/>
        <v>1</v>
      </c>
      <c r="R538" t="b">
        <f t="shared" si="81"/>
        <v>1</v>
      </c>
      <c r="S538" t="b">
        <f t="shared" si="82"/>
        <v>1</v>
      </c>
    </row>
    <row r="539" spans="1:19" x14ac:dyDescent="0.2">
      <c r="A539" s="106">
        <f>_xlfn.XLOOKUP(B539,pratos!B:B,pratos!A:A,"não")</f>
        <v>376</v>
      </c>
      <c r="B539" s="52" t="s">
        <v>228</v>
      </c>
      <c r="C539" s="105">
        <f>_xlfn.XLOOKUP(D539,ingredientes!B:B,ingredientes!A:A,"não")</f>
        <v>92</v>
      </c>
      <c r="D539" s="138" t="s">
        <v>216</v>
      </c>
      <c r="E539" s="10">
        <v>5</v>
      </c>
      <c r="H539">
        <f t="shared" si="78"/>
        <v>376</v>
      </c>
      <c r="I539">
        <f t="shared" si="76"/>
        <v>92</v>
      </c>
      <c r="J539">
        <f t="shared" si="77"/>
        <v>5</v>
      </c>
      <c r="K539">
        <f t="shared" si="79"/>
        <v>468</v>
      </c>
      <c r="M539">
        <v>376</v>
      </c>
      <c r="N539">
        <v>92</v>
      </c>
      <c r="O539">
        <v>5</v>
      </c>
      <c r="Q539" t="b">
        <f t="shared" si="80"/>
        <v>1</v>
      </c>
      <c r="R539" t="b">
        <f t="shared" si="81"/>
        <v>1</v>
      </c>
      <c r="S539" t="b">
        <f t="shared" si="82"/>
        <v>1</v>
      </c>
    </row>
    <row r="540" spans="1:19" x14ac:dyDescent="0.2">
      <c r="A540" s="106">
        <f>_xlfn.XLOOKUP(B540,pratos!B:B,pratos!A:A,"não")</f>
        <v>376</v>
      </c>
      <c r="B540" s="52" t="s">
        <v>228</v>
      </c>
      <c r="C540" s="105">
        <f>_xlfn.XLOOKUP(D540,ingredientes!B:B,ingredientes!A:A,"não")</f>
        <v>96</v>
      </c>
      <c r="D540" t="s">
        <v>641</v>
      </c>
      <c r="E540" s="10">
        <v>5</v>
      </c>
      <c r="H540">
        <f t="shared" si="78"/>
        <v>376</v>
      </c>
      <c r="I540">
        <f t="shared" si="76"/>
        <v>96</v>
      </c>
      <c r="J540">
        <f t="shared" si="77"/>
        <v>5</v>
      </c>
      <c r="K540">
        <f t="shared" si="79"/>
        <v>472</v>
      </c>
      <c r="M540">
        <v>376</v>
      </c>
      <c r="N540">
        <v>96</v>
      </c>
      <c r="O540">
        <v>5</v>
      </c>
      <c r="Q540" t="b">
        <f t="shared" si="80"/>
        <v>1</v>
      </c>
      <c r="R540" t="b">
        <f t="shared" si="81"/>
        <v>1</v>
      </c>
      <c r="S540" t="b">
        <f t="shared" si="82"/>
        <v>1</v>
      </c>
    </row>
    <row r="541" spans="1:19" x14ac:dyDescent="0.2">
      <c r="A541" s="106">
        <f>_xlfn.XLOOKUP(B541,pratos!B:B,pratos!A:A,"não")</f>
        <v>376</v>
      </c>
      <c r="B541" s="52" t="s">
        <v>228</v>
      </c>
      <c r="C541" s="105">
        <f>_xlfn.XLOOKUP(D541,ingredientes!B:B,ingredientes!A:A,"não")</f>
        <v>297</v>
      </c>
      <c r="D541" t="s">
        <v>387</v>
      </c>
      <c r="E541" s="10">
        <v>100</v>
      </c>
      <c r="H541">
        <f t="shared" si="78"/>
        <v>376</v>
      </c>
      <c r="I541">
        <f t="shared" si="76"/>
        <v>297</v>
      </c>
      <c r="J541">
        <f t="shared" si="77"/>
        <v>100</v>
      </c>
      <c r="K541">
        <f t="shared" si="79"/>
        <v>673</v>
      </c>
      <c r="M541">
        <v>376</v>
      </c>
      <c r="N541">
        <v>297</v>
      </c>
      <c r="O541">
        <v>100</v>
      </c>
      <c r="Q541" t="b">
        <f t="shared" si="80"/>
        <v>1</v>
      </c>
      <c r="R541" t="b">
        <f t="shared" si="81"/>
        <v>1</v>
      </c>
      <c r="S541" t="b">
        <f t="shared" si="82"/>
        <v>1</v>
      </c>
    </row>
    <row r="542" spans="1:19" x14ac:dyDescent="0.2">
      <c r="A542" s="106">
        <f>_xlfn.XLOOKUP(B542,pratos!B:B,pratos!A:A,"não")</f>
        <v>376</v>
      </c>
      <c r="B542" s="52" t="s">
        <v>228</v>
      </c>
      <c r="C542" s="105">
        <f>_xlfn.XLOOKUP(D542,ingredientes!B:B,ingredientes!A:A,"não")</f>
        <v>311</v>
      </c>
      <c r="D542" s="165" t="s">
        <v>217</v>
      </c>
      <c r="E542" s="10">
        <v>5</v>
      </c>
      <c r="H542">
        <f t="shared" si="78"/>
        <v>376</v>
      </c>
      <c r="I542">
        <f t="shared" si="76"/>
        <v>311</v>
      </c>
      <c r="J542">
        <f t="shared" si="77"/>
        <v>5</v>
      </c>
      <c r="K542">
        <f t="shared" si="79"/>
        <v>687</v>
      </c>
      <c r="M542">
        <v>376</v>
      </c>
      <c r="N542">
        <v>311</v>
      </c>
      <c r="O542">
        <v>5</v>
      </c>
      <c r="Q542" t="b">
        <f t="shared" si="80"/>
        <v>1</v>
      </c>
      <c r="R542" t="b">
        <f t="shared" si="81"/>
        <v>1</v>
      </c>
      <c r="S542" t="b">
        <f t="shared" si="82"/>
        <v>1</v>
      </c>
    </row>
    <row r="543" spans="1:19" x14ac:dyDescent="0.2">
      <c r="A543" s="106">
        <f>_xlfn.XLOOKUP(B543,pratos!B:B,pratos!A:A,"não")</f>
        <v>378</v>
      </c>
      <c r="B543" s="116" t="s">
        <v>488</v>
      </c>
      <c r="C543" s="105">
        <f>_xlfn.XLOOKUP(D543,ingredientes!B:B,ingredientes!A:A,"não")</f>
        <v>297</v>
      </c>
      <c r="D543" s="30" t="s">
        <v>387</v>
      </c>
      <c r="E543" s="17">
        <v>150</v>
      </c>
      <c r="H543">
        <f t="shared" si="78"/>
        <v>378</v>
      </c>
      <c r="I543">
        <f t="shared" si="76"/>
        <v>297</v>
      </c>
      <c r="J543">
        <f t="shared" si="77"/>
        <v>150</v>
      </c>
      <c r="K543">
        <f t="shared" si="79"/>
        <v>675</v>
      </c>
      <c r="M543">
        <v>378</v>
      </c>
      <c r="N543">
        <v>297</v>
      </c>
      <c r="O543">
        <v>150</v>
      </c>
      <c r="Q543" t="b">
        <f t="shared" si="80"/>
        <v>1</v>
      </c>
      <c r="R543" t="b">
        <f t="shared" si="81"/>
        <v>1</v>
      </c>
      <c r="S543" t="b">
        <f t="shared" si="82"/>
        <v>1</v>
      </c>
    </row>
    <row r="544" spans="1:19" x14ac:dyDescent="0.2">
      <c r="A544" s="106">
        <f>_xlfn.XLOOKUP(B544,pratos!B:B,pratos!A:A,"não")</f>
        <v>379</v>
      </c>
      <c r="B544" s="52" t="s">
        <v>386</v>
      </c>
      <c r="C544" s="105">
        <f>_xlfn.XLOOKUP(D544,ingredientes!B:B,ingredientes!A:A,"não")</f>
        <v>297</v>
      </c>
      <c r="D544" s="138" t="s">
        <v>387</v>
      </c>
      <c r="E544" s="10">
        <v>150</v>
      </c>
      <c r="H544">
        <f t="shared" si="78"/>
        <v>379</v>
      </c>
      <c r="I544">
        <f t="shared" si="76"/>
        <v>297</v>
      </c>
      <c r="J544">
        <f t="shared" si="77"/>
        <v>150</v>
      </c>
      <c r="K544">
        <f t="shared" si="79"/>
        <v>676</v>
      </c>
      <c r="M544">
        <v>379</v>
      </c>
      <c r="N544">
        <v>297</v>
      </c>
      <c r="O544">
        <v>150</v>
      </c>
      <c r="Q544" t="b">
        <f t="shared" si="80"/>
        <v>1</v>
      </c>
      <c r="R544" t="b">
        <f t="shared" si="81"/>
        <v>1</v>
      </c>
      <c r="S544" t="b">
        <f t="shared" si="82"/>
        <v>1</v>
      </c>
    </row>
    <row r="545" spans="1:19" x14ac:dyDescent="0.2">
      <c r="A545" s="106">
        <f>_xlfn.XLOOKUP(B545,pratos!B:B,pratos!A:A,"não")</f>
        <v>380</v>
      </c>
      <c r="B545" s="109" t="s">
        <v>392</v>
      </c>
      <c r="C545" s="105">
        <f>_xlfn.XLOOKUP(D545,ingredientes!B:B,ingredientes!A:A,"não")</f>
        <v>297</v>
      </c>
      <c r="D545" t="s">
        <v>387</v>
      </c>
      <c r="E545" s="10">
        <v>150</v>
      </c>
      <c r="H545">
        <f t="shared" si="78"/>
        <v>380</v>
      </c>
      <c r="I545">
        <f t="shared" si="76"/>
        <v>297</v>
      </c>
      <c r="J545">
        <f t="shared" si="77"/>
        <v>150</v>
      </c>
      <c r="K545">
        <f t="shared" si="79"/>
        <v>677</v>
      </c>
      <c r="M545">
        <v>380</v>
      </c>
      <c r="N545">
        <v>297</v>
      </c>
      <c r="O545">
        <v>150</v>
      </c>
      <c r="Q545" t="b">
        <f t="shared" si="80"/>
        <v>1</v>
      </c>
      <c r="R545" t="b">
        <f t="shared" si="81"/>
        <v>1</v>
      </c>
      <c r="S545" t="b">
        <f t="shared" si="82"/>
        <v>1</v>
      </c>
    </row>
    <row r="546" spans="1:19" x14ac:dyDescent="0.2">
      <c r="A546" s="106">
        <f>_xlfn.XLOOKUP(B546,pratos!B:B,pratos!A:A,"não")</f>
        <v>383</v>
      </c>
      <c r="B546" s="108" t="s">
        <v>108</v>
      </c>
      <c r="C546" s="105">
        <f>_xlfn.XLOOKUP(D546,ingredientes!B:B,ingredientes!A:A,"não")</f>
        <v>117</v>
      </c>
      <c r="D546" s="30" t="s">
        <v>648</v>
      </c>
      <c r="E546" s="31">
        <v>65</v>
      </c>
      <c r="H546">
        <f t="shared" si="78"/>
        <v>383</v>
      </c>
      <c r="I546">
        <f t="shared" si="76"/>
        <v>117</v>
      </c>
      <c r="J546">
        <f t="shared" si="77"/>
        <v>65</v>
      </c>
      <c r="K546">
        <f t="shared" si="79"/>
        <v>500</v>
      </c>
      <c r="M546">
        <v>383</v>
      </c>
      <c r="N546">
        <v>117</v>
      </c>
      <c r="O546">
        <v>65</v>
      </c>
      <c r="Q546" t="b">
        <f t="shared" si="80"/>
        <v>1</v>
      </c>
      <c r="R546" t="b">
        <f t="shared" si="81"/>
        <v>1</v>
      </c>
      <c r="S546" t="b">
        <f t="shared" si="82"/>
        <v>1</v>
      </c>
    </row>
    <row r="547" spans="1:19" x14ac:dyDescent="0.2">
      <c r="A547" s="106">
        <f>_xlfn.XLOOKUP(B547,pratos!B:B,pratos!A:A,"não")</f>
        <v>383</v>
      </c>
      <c r="B547" s="108" t="s">
        <v>108</v>
      </c>
      <c r="C547" s="105">
        <f>_xlfn.XLOOKUP(D547,ingredientes!B:B,ingredientes!A:A,"não")</f>
        <v>177</v>
      </c>
      <c r="D547" s="33" t="s">
        <v>6</v>
      </c>
      <c r="E547" s="34">
        <v>100</v>
      </c>
      <c r="H547">
        <f t="shared" si="78"/>
        <v>383</v>
      </c>
      <c r="I547">
        <f t="shared" si="76"/>
        <v>177</v>
      </c>
      <c r="J547">
        <f t="shared" si="77"/>
        <v>100</v>
      </c>
      <c r="K547">
        <f t="shared" si="79"/>
        <v>560</v>
      </c>
      <c r="M547">
        <v>383</v>
      </c>
      <c r="N547">
        <v>177</v>
      </c>
      <c r="O547">
        <v>100</v>
      </c>
      <c r="Q547" t="b">
        <f t="shared" si="80"/>
        <v>1</v>
      </c>
      <c r="R547" t="b">
        <f t="shared" si="81"/>
        <v>1</v>
      </c>
      <c r="S547" t="b">
        <f t="shared" si="82"/>
        <v>1</v>
      </c>
    </row>
    <row r="548" spans="1:19" x14ac:dyDescent="0.2">
      <c r="A548" s="106">
        <f>_xlfn.XLOOKUP(B548,pratos!B:B,pratos!A:A,"não")</f>
        <v>384</v>
      </c>
      <c r="B548" s="111" t="s">
        <v>120</v>
      </c>
      <c r="C548" s="105">
        <f>_xlfn.XLOOKUP(D548,ingredientes!B:B,ingredientes!A:A,"não")</f>
        <v>117</v>
      </c>
      <c r="D548" s="30" t="s">
        <v>648</v>
      </c>
      <c r="E548" s="31">
        <v>65</v>
      </c>
      <c r="H548">
        <f t="shared" ref="H548:H589" si="83">A548</f>
        <v>384</v>
      </c>
      <c r="I548">
        <f t="shared" ref="I548:I587" si="84">C548</f>
        <v>117</v>
      </c>
      <c r="J548">
        <f t="shared" ref="J548:J587" si="85">E548</f>
        <v>65</v>
      </c>
      <c r="K548">
        <f t="shared" ref="K548:K590" si="86">H548+I548</f>
        <v>501</v>
      </c>
      <c r="M548">
        <v>384</v>
      </c>
      <c r="N548">
        <v>117</v>
      </c>
      <c r="O548">
        <v>65</v>
      </c>
      <c r="Q548" t="b">
        <f t="shared" si="80"/>
        <v>1</v>
      </c>
      <c r="R548" t="b">
        <f t="shared" si="81"/>
        <v>1</v>
      </c>
      <c r="S548" t="b">
        <f t="shared" si="82"/>
        <v>1</v>
      </c>
    </row>
    <row r="549" spans="1:19" x14ac:dyDescent="0.2">
      <c r="A549" s="106">
        <f>_xlfn.XLOOKUP(B549,pratos!B:B,pratos!A:A,"não")</f>
        <v>384</v>
      </c>
      <c r="B549" s="111" t="s">
        <v>120</v>
      </c>
      <c r="C549" s="105">
        <f>_xlfn.XLOOKUP(D549,ingredientes!B:B,ingredientes!A:A,"não")</f>
        <v>177</v>
      </c>
      <c r="D549" s="33" t="s">
        <v>6</v>
      </c>
      <c r="E549" s="34">
        <v>100</v>
      </c>
      <c r="H549">
        <f t="shared" si="83"/>
        <v>384</v>
      </c>
      <c r="I549">
        <f t="shared" si="84"/>
        <v>177</v>
      </c>
      <c r="J549">
        <f t="shared" si="85"/>
        <v>100</v>
      </c>
      <c r="K549">
        <f t="shared" si="86"/>
        <v>561</v>
      </c>
      <c r="M549">
        <v>384</v>
      </c>
      <c r="N549">
        <v>177</v>
      </c>
      <c r="O549">
        <v>100</v>
      </c>
      <c r="Q549" t="b">
        <f t="shared" si="80"/>
        <v>1</v>
      </c>
      <c r="R549" t="b">
        <f t="shared" si="81"/>
        <v>1</v>
      </c>
      <c r="S549" t="b">
        <f t="shared" si="82"/>
        <v>1</v>
      </c>
    </row>
    <row r="550" spans="1:19" x14ac:dyDescent="0.2">
      <c r="A550" s="106">
        <f>_xlfn.XLOOKUP(B550,pratos!B:B,pratos!A:A,"não")</f>
        <v>384</v>
      </c>
      <c r="B550" s="111" t="s">
        <v>120</v>
      </c>
      <c r="C550" s="105">
        <f>_xlfn.XLOOKUP(D550,ingredientes!B:B,ingredientes!A:A,"não")</f>
        <v>197</v>
      </c>
      <c r="D550" s="30" t="s">
        <v>109</v>
      </c>
      <c r="E550" s="32">
        <v>5</v>
      </c>
      <c r="H550">
        <f t="shared" si="83"/>
        <v>384</v>
      </c>
      <c r="I550">
        <f t="shared" si="84"/>
        <v>197</v>
      </c>
      <c r="J550">
        <f t="shared" si="85"/>
        <v>5</v>
      </c>
      <c r="K550">
        <f t="shared" si="86"/>
        <v>581</v>
      </c>
      <c r="M550">
        <v>384</v>
      </c>
      <c r="N550">
        <v>197</v>
      </c>
      <c r="O550">
        <v>5</v>
      </c>
      <c r="Q550" t="b">
        <f t="shared" si="80"/>
        <v>1</v>
      </c>
      <c r="R550" t="b">
        <f t="shared" si="81"/>
        <v>1</v>
      </c>
      <c r="S550" t="b">
        <f t="shared" si="82"/>
        <v>1</v>
      </c>
    </row>
    <row r="551" spans="1:19" x14ac:dyDescent="0.2">
      <c r="A551" s="106">
        <f>_xlfn.XLOOKUP(B551,pratos!B:B,pratos!A:A,"não")</f>
        <v>384</v>
      </c>
      <c r="B551" s="111" t="s">
        <v>120</v>
      </c>
      <c r="C551" s="105">
        <f>_xlfn.XLOOKUP(D551,ingredientes!B:B,ingredientes!A:A,"não")</f>
        <v>242</v>
      </c>
      <c r="D551" s="30" t="s">
        <v>276</v>
      </c>
      <c r="E551" s="17">
        <v>60</v>
      </c>
      <c r="H551">
        <f t="shared" si="83"/>
        <v>384</v>
      </c>
      <c r="I551">
        <f t="shared" si="84"/>
        <v>242</v>
      </c>
      <c r="J551">
        <f t="shared" si="85"/>
        <v>60</v>
      </c>
      <c r="K551">
        <f t="shared" si="86"/>
        <v>626</v>
      </c>
      <c r="M551">
        <v>384</v>
      </c>
      <c r="N551">
        <v>242</v>
      </c>
      <c r="O551">
        <v>60</v>
      </c>
      <c r="Q551" t="b">
        <f t="shared" si="80"/>
        <v>1</v>
      </c>
      <c r="R551" t="b">
        <f t="shared" si="81"/>
        <v>1</v>
      </c>
      <c r="S551" t="b">
        <f t="shared" si="82"/>
        <v>1</v>
      </c>
    </row>
    <row r="552" spans="1:19" x14ac:dyDescent="0.2">
      <c r="A552" s="106">
        <f>_xlfn.XLOOKUP(B552,pratos!B:B,pratos!A:A,"não")</f>
        <v>384</v>
      </c>
      <c r="B552" s="116" t="s">
        <v>120</v>
      </c>
      <c r="C552" s="105">
        <f>_xlfn.XLOOKUP(D552,ingredientes!B:B,ingredientes!A:A,"não")</f>
        <v>315</v>
      </c>
      <c r="D552" s="30" t="s">
        <v>110</v>
      </c>
      <c r="E552" s="31">
        <v>11</v>
      </c>
      <c r="H552">
        <f t="shared" si="83"/>
        <v>384</v>
      </c>
      <c r="I552">
        <f t="shared" si="84"/>
        <v>315</v>
      </c>
      <c r="J552">
        <f t="shared" si="85"/>
        <v>11</v>
      </c>
      <c r="K552">
        <f t="shared" si="86"/>
        <v>699</v>
      </c>
      <c r="M552">
        <v>384</v>
      </c>
      <c r="N552">
        <v>315</v>
      </c>
      <c r="O552">
        <v>11</v>
      </c>
      <c r="Q552" t="b">
        <f t="shared" si="80"/>
        <v>1</v>
      </c>
      <c r="R552" t="b">
        <f t="shared" si="81"/>
        <v>1</v>
      </c>
      <c r="S552" t="b">
        <f t="shared" si="82"/>
        <v>1</v>
      </c>
    </row>
    <row r="553" spans="1:19" x14ac:dyDescent="0.2">
      <c r="A553" s="106">
        <f>_xlfn.XLOOKUP(B553,pratos!B:B,pratos!A:A,"não")</f>
        <v>385</v>
      </c>
      <c r="B553" s="111" t="s">
        <v>590</v>
      </c>
      <c r="C553" s="105">
        <f>_xlfn.XLOOKUP(D553,ingredientes!B:B,ingredientes!A:A,"não")</f>
        <v>95</v>
      </c>
      <c r="D553" s="22" t="s">
        <v>591</v>
      </c>
      <c r="E553" s="19">
        <v>25</v>
      </c>
      <c r="H553">
        <f t="shared" si="83"/>
        <v>385</v>
      </c>
      <c r="I553">
        <f t="shared" si="84"/>
        <v>95</v>
      </c>
      <c r="J553">
        <f t="shared" si="85"/>
        <v>25</v>
      </c>
      <c r="K553">
        <f t="shared" si="86"/>
        <v>480</v>
      </c>
      <c r="M553">
        <v>385</v>
      </c>
      <c r="N553">
        <v>95</v>
      </c>
      <c r="O553">
        <v>25</v>
      </c>
      <c r="Q553" t="b">
        <f t="shared" si="80"/>
        <v>1</v>
      </c>
      <c r="R553" t="b">
        <f t="shared" si="81"/>
        <v>1</v>
      </c>
      <c r="S553" t="b">
        <f t="shared" si="82"/>
        <v>1</v>
      </c>
    </row>
    <row r="554" spans="1:19" x14ac:dyDescent="0.2">
      <c r="A554" s="106">
        <f>_xlfn.XLOOKUP(B554,pratos!B:B,pratos!A:A,"não")</f>
        <v>385</v>
      </c>
      <c r="B554" s="111" t="s">
        <v>590</v>
      </c>
      <c r="C554" s="105">
        <f>_xlfn.XLOOKUP(D554,ingredientes!B:B,ingredientes!A:A,"não")</f>
        <v>105</v>
      </c>
      <c r="D554" s="22" t="s">
        <v>592</v>
      </c>
      <c r="E554" s="19">
        <v>25</v>
      </c>
      <c r="H554">
        <f t="shared" si="83"/>
        <v>385</v>
      </c>
      <c r="I554">
        <f t="shared" si="84"/>
        <v>105</v>
      </c>
      <c r="J554">
        <f t="shared" si="85"/>
        <v>25</v>
      </c>
      <c r="K554">
        <f t="shared" si="86"/>
        <v>490</v>
      </c>
      <c r="M554">
        <v>385</v>
      </c>
      <c r="N554">
        <v>105</v>
      </c>
      <c r="O554">
        <v>25</v>
      </c>
      <c r="Q554" t="b">
        <f t="shared" si="80"/>
        <v>1</v>
      </c>
      <c r="R554" t="b">
        <f t="shared" si="81"/>
        <v>1</v>
      </c>
      <c r="S554" t="b">
        <f t="shared" si="82"/>
        <v>1</v>
      </c>
    </row>
    <row r="555" spans="1:19" x14ac:dyDescent="0.2">
      <c r="A555" s="106">
        <f>_xlfn.XLOOKUP(B555,pratos!B:B,pratos!A:A,"não")</f>
        <v>385</v>
      </c>
      <c r="B555" s="111" t="s">
        <v>590</v>
      </c>
      <c r="C555" s="105">
        <f>_xlfn.XLOOKUP(D555,ingredientes!B:B,ingredientes!A:A,"não")</f>
        <v>117</v>
      </c>
      <c r="D555" s="30" t="s">
        <v>648</v>
      </c>
      <c r="E555" s="19">
        <v>25</v>
      </c>
      <c r="H555">
        <f t="shared" si="83"/>
        <v>385</v>
      </c>
      <c r="I555">
        <f t="shared" si="84"/>
        <v>117</v>
      </c>
      <c r="J555">
        <f t="shared" si="85"/>
        <v>25</v>
      </c>
      <c r="K555">
        <f t="shared" si="86"/>
        <v>502</v>
      </c>
      <c r="M555">
        <v>385</v>
      </c>
      <c r="N555">
        <v>117</v>
      </c>
      <c r="O555">
        <v>25</v>
      </c>
      <c r="Q555" t="b">
        <f t="shared" si="80"/>
        <v>1</v>
      </c>
      <c r="R555" t="b">
        <f t="shared" si="81"/>
        <v>1</v>
      </c>
      <c r="S555" t="b">
        <f t="shared" si="82"/>
        <v>1</v>
      </c>
    </row>
    <row r="556" spans="1:19" x14ac:dyDescent="0.2">
      <c r="A556" s="106">
        <f>_xlfn.XLOOKUP(B556,pratos!B:B,pratos!A:A,"não")</f>
        <v>385</v>
      </c>
      <c r="B556" s="111" t="s">
        <v>590</v>
      </c>
      <c r="C556" s="105">
        <f>_xlfn.XLOOKUP(D556,ingredientes!B:B,ingredientes!A:A,"não")</f>
        <v>266</v>
      </c>
      <c r="D556" s="144" t="s">
        <v>593</v>
      </c>
      <c r="E556" s="19">
        <v>12</v>
      </c>
      <c r="H556">
        <f t="shared" si="83"/>
        <v>385</v>
      </c>
      <c r="I556">
        <f t="shared" si="84"/>
        <v>266</v>
      </c>
      <c r="J556">
        <f t="shared" si="85"/>
        <v>12</v>
      </c>
      <c r="K556">
        <f t="shared" si="86"/>
        <v>651</v>
      </c>
      <c r="M556">
        <v>385</v>
      </c>
      <c r="N556">
        <v>266</v>
      </c>
      <c r="O556">
        <v>12</v>
      </c>
      <c r="Q556" t="b">
        <f t="shared" si="80"/>
        <v>1</v>
      </c>
      <c r="R556" t="b">
        <f t="shared" si="81"/>
        <v>1</v>
      </c>
      <c r="S556" t="b">
        <f t="shared" si="82"/>
        <v>1</v>
      </c>
    </row>
    <row r="557" spans="1:19" x14ac:dyDescent="0.2">
      <c r="A557" s="106">
        <f>_xlfn.XLOOKUP(B557,pratos!B:B,pratos!A:A,"não")</f>
        <v>385</v>
      </c>
      <c r="B557" s="111" t="s">
        <v>590</v>
      </c>
      <c r="C557" s="105">
        <f>_xlfn.XLOOKUP(D557,ingredientes!B:B,ingredientes!A:A,"não")</f>
        <v>294</v>
      </c>
      <c r="D557" s="144" t="s">
        <v>43</v>
      </c>
      <c r="E557" s="19">
        <v>0.5</v>
      </c>
      <c r="H557">
        <f t="shared" si="83"/>
        <v>385</v>
      </c>
      <c r="I557">
        <f t="shared" si="84"/>
        <v>294</v>
      </c>
      <c r="J557">
        <f t="shared" si="85"/>
        <v>0.5</v>
      </c>
      <c r="K557">
        <f t="shared" si="86"/>
        <v>679</v>
      </c>
      <c r="M557">
        <v>385</v>
      </c>
      <c r="N557">
        <v>294</v>
      </c>
      <c r="O557">
        <v>0.5</v>
      </c>
      <c r="Q557" t="b">
        <f t="shared" si="80"/>
        <v>1</v>
      </c>
      <c r="R557" t="b">
        <f t="shared" si="81"/>
        <v>1</v>
      </c>
      <c r="S557" t="b">
        <f t="shared" si="82"/>
        <v>1</v>
      </c>
    </row>
    <row r="558" spans="1:19" x14ac:dyDescent="0.2">
      <c r="A558" s="106">
        <f>_xlfn.XLOOKUP(B558,pratos!B:B,pratos!A:A,"não")</f>
        <v>386</v>
      </c>
      <c r="B558" s="128" t="s">
        <v>398</v>
      </c>
      <c r="C558" s="105">
        <f>_xlfn.XLOOKUP(D558,ingredientes!B:B,ingredientes!A:A,"não")</f>
        <v>3</v>
      </c>
      <c r="D558" t="s">
        <v>604</v>
      </c>
      <c r="E558" s="10">
        <v>45</v>
      </c>
      <c r="H558">
        <f t="shared" si="83"/>
        <v>386</v>
      </c>
      <c r="I558">
        <f t="shared" si="84"/>
        <v>3</v>
      </c>
      <c r="J558">
        <f t="shared" si="85"/>
        <v>45</v>
      </c>
      <c r="K558">
        <f t="shared" si="86"/>
        <v>389</v>
      </c>
      <c r="M558">
        <v>386</v>
      </c>
      <c r="N558">
        <v>3</v>
      </c>
      <c r="O558">
        <v>45</v>
      </c>
      <c r="Q558" t="b">
        <f t="shared" si="80"/>
        <v>1</v>
      </c>
      <c r="R558" t="b">
        <f t="shared" si="81"/>
        <v>1</v>
      </c>
      <c r="S558" t="b">
        <f t="shared" si="82"/>
        <v>1</v>
      </c>
    </row>
    <row r="559" spans="1:19" x14ac:dyDescent="0.2">
      <c r="A559" s="106">
        <f>_xlfn.XLOOKUP(B559,pratos!B:B,pratos!A:A,"não")</f>
        <v>386</v>
      </c>
      <c r="B559" s="127" t="s">
        <v>398</v>
      </c>
      <c r="C559" s="105">
        <f>_xlfn.XLOOKUP(D559,ingredientes!B:B,ingredientes!A:A,"não")</f>
        <v>58</v>
      </c>
      <c r="D559" t="s">
        <v>618</v>
      </c>
      <c r="E559" s="68">
        <v>45</v>
      </c>
      <c r="H559">
        <f t="shared" si="83"/>
        <v>386</v>
      </c>
      <c r="I559">
        <f t="shared" si="84"/>
        <v>58</v>
      </c>
      <c r="J559">
        <f t="shared" si="85"/>
        <v>45</v>
      </c>
      <c r="K559">
        <f t="shared" si="86"/>
        <v>444</v>
      </c>
      <c r="M559">
        <v>386</v>
      </c>
      <c r="N559">
        <v>58</v>
      </c>
      <c r="O559">
        <v>45</v>
      </c>
      <c r="Q559" t="b">
        <f t="shared" si="80"/>
        <v>1</v>
      </c>
      <c r="R559" t="b">
        <f t="shared" si="81"/>
        <v>1</v>
      </c>
      <c r="S559" t="b">
        <f t="shared" si="82"/>
        <v>1</v>
      </c>
    </row>
    <row r="560" spans="1:19" x14ac:dyDescent="0.2">
      <c r="A560" s="106">
        <f>_xlfn.XLOOKUP(B560,pratos!B:B,pratos!A:A,"não")</f>
        <v>387</v>
      </c>
      <c r="B560" s="128" t="s">
        <v>400</v>
      </c>
      <c r="C560" s="105">
        <f>_xlfn.XLOOKUP(D560,ingredientes!B:B,ingredientes!A:A,"não")</f>
        <v>3</v>
      </c>
      <c r="D560" t="s">
        <v>604</v>
      </c>
      <c r="E560" s="10">
        <v>45</v>
      </c>
      <c r="H560">
        <f t="shared" si="83"/>
        <v>387</v>
      </c>
      <c r="I560">
        <f t="shared" si="84"/>
        <v>3</v>
      </c>
      <c r="J560">
        <f t="shared" si="85"/>
        <v>45</v>
      </c>
      <c r="K560">
        <f t="shared" si="86"/>
        <v>390</v>
      </c>
      <c r="M560">
        <v>387</v>
      </c>
      <c r="N560">
        <v>3</v>
      </c>
      <c r="O560">
        <v>45</v>
      </c>
      <c r="Q560" t="b">
        <f t="shared" si="80"/>
        <v>1</v>
      </c>
      <c r="R560" t="b">
        <f t="shared" si="81"/>
        <v>1</v>
      </c>
      <c r="S560" t="b">
        <f t="shared" si="82"/>
        <v>1</v>
      </c>
    </row>
    <row r="561" spans="1:19" x14ac:dyDescent="0.2">
      <c r="A561" s="106">
        <f>_xlfn.XLOOKUP(B561,pratos!B:B,pratos!A:A,"não")</f>
        <v>387</v>
      </c>
      <c r="B561" s="127" t="s">
        <v>400</v>
      </c>
      <c r="C561" s="105">
        <f>_xlfn.XLOOKUP(D561,ingredientes!B:B,ingredientes!A:A,"não")</f>
        <v>58</v>
      </c>
      <c r="D561" s="30" t="s">
        <v>618</v>
      </c>
      <c r="E561" s="68">
        <v>45</v>
      </c>
      <c r="H561">
        <f t="shared" si="83"/>
        <v>387</v>
      </c>
      <c r="I561">
        <f t="shared" si="84"/>
        <v>58</v>
      </c>
      <c r="J561">
        <f t="shared" si="85"/>
        <v>45</v>
      </c>
      <c r="K561">
        <f t="shared" si="86"/>
        <v>445</v>
      </c>
      <c r="M561">
        <v>387</v>
      </c>
      <c r="N561">
        <v>58</v>
      </c>
      <c r="O561">
        <v>45</v>
      </c>
      <c r="Q561" t="b">
        <f t="shared" si="80"/>
        <v>1</v>
      </c>
      <c r="R561" t="b">
        <f t="shared" si="81"/>
        <v>1</v>
      </c>
      <c r="S561" t="b">
        <f t="shared" si="82"/>
        <v>1</v>
      </c>
    </row>
    <row r="562" spans="1:19" x14ac:dyDescent="0.2">
      <c r="A562" s="106">
        <f>_xlfn.XLOOKUP(B562,pratos!B:B,pratos!A:A,"não")</f>
        <v>388</v>
      </c>
      <c r="B562" s="111" t="s">
        <v>193</v>
      </c>
      <c r="C562" s="105">
        <f>_xlfn.XLOOKUP(D562,ingredientes!B:B,ingredientes!A:A,"não")</f>
        <v>23</v>
      </c>
      <c r="D562" s="30" t="s">
        <v>608</v>
      </c>
      <c r="E562" s="19">
        <v>90</v>
      </c>
      <c r="H562">
        <f t="shared" si="83"/>
        <v>388</v>
      </c>
      <c r="I562">
        <f t="shared" si="84"/>
        <v>23</v>
      </c>
      <c r="J562">
        <f t="shared" si="85"/>
        <v>90</v>
      </c>
      <c r="K562">
        <f t="shared" si="86"/>
        <v>411</v>
      </c>
      <c r="M562">
        <v>388</v>
      </c>
      <c r="N562">
        <v>23</v>
      </c>
      <c r="O562">
        <v>90</v>
      </c>
      <c r="Q562" t="b">
        <f t="shared" si="80"/>
        <v>1</v>
      </c>
      <c r="R562" t="b">
        <f t="shared" si="81"/>
        <v>1</v>
      </c>
      <c r="S562" t="b">
        <f t="shared" si="82"/>
        <v>1</v>
      </c>
    </row>
    <row r="563" spans="1:19" x14ac:dyDescent="0.2">
      <c r="A563" s="106">
        <f>_xlfn.XLOOKUP(B563,pratos!B:B,pratos!A:A,"não")</f>
        <v>389</v>
      </c>
      <c r="B563" s="116" t="s">
        <v>532</v>
      </c>
      <c r="C563" s="105">
        <f>_xlfn.XLOOKUP(D563,ingredientes!B:B,ingredientes!A:A,"não")</f>
        <v>18</v>
      </c>
      <c r="D563" s="96" t="s">
        <v>504</v>
      </c>
      <c r="E563" s="93">
        <v>10</v>
      </c>
      <c r="H563">
        <f t="shared" si="83"/>
        <v>389</v>
      </c>
      <c r="I563">
        <f t="shared" si="84"/>
        <v>18</v>
      </c>
      <c r="J563">
        <f t="shared" si="85"/>
        <v>10</v>
      </c>
      <c r="K563">
        <f t="shared" si="86"/>
        <v>407</v>
      </c>
      <c r="M563">
        <v>389</v>
      </c>
      <c r="N563">
        <v>18</v>
      </c>
      <c r="O563">
        <v>10</v>
      </c>
      <c r="Q563" t="b">
        <f t="shared" si="80"/>
        <v>1</v>
      </c>
      <c r="R563" t="b">
        <f t="shared" si="81"/>
        <v>1</v>
      </c>
      <c r="S563" t="b">
        <f t="shared" si="82"/>
        <v>1</v>
      </c>
    </row>
    <row r="564" spans="1:19" x14ac:dyDescent="0.2">
      <c r="A564" s="106">
        <f>_xlfn.XLOOKUP(B564,pratos!B:B,pratos!A:A,"não")</f>
        <v>389</v>
      </c>
      <c r="B564" s="116" t="s">
        <v>532</v>
      </c>
      <c r="C564" s="105">
        <f>_xlfn.XLOOKUP(D564,ingredientes!B:B,ingredientes!A:A,"não")</f>
        <v>21</v>
      </c>
      <c r="D564" s="96" t="s">
        <v>533</v>
      </c>
      <c r="E564" s="93">
        <v>80</v>
      </c>
      <c r="H564">
        <f t="shared" si="83"/>
        <v>389</v>
      </c>
      <c r="I564">
        <f t="shared" si="84"/>
        <v>21</v>
      </c>
      <c r="J564">
        <f t="shared" si="85"/>
        <v>80</v>
      </c>
      <c r="K564">
        <f t="shared" si="86"/>
        <v>410</v>
      </c>
      <c r="M564">
        <v>389</v>
      </c>
      <c r="N564">
        <v>21</v>
      </c>
      <c r="O564">
        <v>80</v>
      </c>
      <c r="Q564" t="b">
        <f t="shared" si="80"/>
        <v>1</v>
      </c>
      <c r="R564" t="b">
        <f t="shared" si="81"/>
        <v>1</v>
      </c>
      <c r="S564" t="b">
        <f t="shared" si="82"/>
        <v>1</v>
      </c>
    </row>
    <row r="565" spans="1:19" x14ac:dyDescent="0.2">
      <c r="A565" s="106">
        <f>_xlfn.XLOOKUP(B565,pratos!B:B,pratos!A:A,"não")</f>
        <v>390</v>
      </c>
      <c r="B565" s="116" t="s">
        <v>537</v>
      </c>
      <c r="C565" s="105">
        <f>_xlfn.XLOOKUP(D565,ingredientes!B:B,ingredientes!A:A,"não")</f>
        <v>18</v>
      </c>
      <c r="D565" s="96" t="s">
        <v>504</v>
      </c>
      <c r="E565" s="87">
        <v>10</v>
      </c>
      <c r="H565">
        <f t="shared" si="83"/>
        <v>390</v>
      </c>
      <c r="I565">
        <f t="shared" si="84"/>
        <v>18</v>
      </c>
      <c r="J565">
        <f t="shared" si="85"/>
        <v>10</v>
      </c>
      <c r="K565">
        <f t="shared" si="86"/>
        <v>408</v>
      </c>
      <c r="M565">
        <v>390</v>
      </c>
      <c r="N565">
        <v>18</v>
      </c>
      <c r="O565">
        <v>10</v>
      </c>
      <c r="Q565" t="b">
        <f t="shared" si="80"/>
        <v>1</v>
      </c>
      <c r="R565" t="b">
        <f t="shared" si="81"/>
        <v>1</v>
      </c>
      <c r="S565" t="b">
        <f t="shared" si="82"/>
        <v>1</v>
      </c>
    </row>
    <row r="566" spans="1:19" x14ac:dyDescent="0.2">
      <c r="A566" s="106">
        <f>_xlfn.XLOOKUP(B566,pratos!B:B,pratos!A:A,"não")</f>
        <v>390</v>
      </c>
      <c r="B566" s="116" t="s">
        <v>537</v>
      </c>
      <c r="C566" s="105">
        <f>_xlfn.XLOOKUP(D566,ingredientes!B:B,ingredientes!A:A,"não")</f>
        <v>21</v>
      </c>
      <c r="D566" s="96" t="s">
        <v>533</v>
      </c>
      <c r="E566" s="87">
        <v>80</v>
      </c>
      <c r="H566">
        <f t="shared" si="83"/>
        <v>390</v>
      </c>
      <c r="I566">
        <f t="shared" si="84"/>
        <v>21</v>
      </c>
      <c r="J566">
        <f t="shared" si="85"/>
        <v>80</v>
      </c>
      <c r="K566">
        <f t="shared" si="86"/>
        <v>411</v>
      </c>
      <c r="M566">
        <v>390</v>
      </c>
      <c r="N566">
        <v>21</v>
      </c>
      <c r="O566">
        <v>80</v>
      </c>
      <c r="Q566" t="b">
        <f t="shared" si="80"/>
        <v>1</v>
      </c>
      <c r="R566" t="b">
        <f t="shared" si="81"/>
        <v>1</v>
      </c>
      <c r="S566" t="b">
        <f t="shared" si="82"/>
        <v>1</v>
      </c>
    </row>
    <row r="567" spans="1:19" x14ac:dyDescent="0.2">
      <c r="A567" s="106">
        <f>_xlfn.XLOOKUP(B567,pratos!B:B,pratos!A:A,"não")</f>
        <v>391</v>
      </c>
      <c r="B567" s="111" t="s">
        <v>203</v>
      </c>
      <c r="C567" s="105">
        <f>_xlfn.XLOOKUP(D567,ingredientes!B:B,ingredientes!A:A,"não")</f>
        <v>23</v>
      </c>
      <c r="D567" s="30" t="s">
        <v>608</v>
      </c>
      <c r="E567" s="19">
        <v>90</v>
      </c>
      <c r="H567">
        <f t="shared" si="83"/>
        <v>391</v>
      </c>
      <c r="I567">
        <f t="shared" si="84"/>
        <v>23</v>
      </c>
      <c r="J567">
        <f t="shared" si="85"/>
        <v>90</v>
      </c>
      <c r="K567">
        <f t="shared" si="86"/>
        <v>414</v>
      </c>
      <c r="M567">
        <v>391</v>
      </c>
      <c r="N567">
        <v>23</v>
      </c>
      <c r="O567">
        <v>90</v>
      </c>
      <c r="Q567" t="b">
        <f t="shared" si="80"/>
        <v>1</v>
      </c>
      <c r="R567" t="b">
        <f t="shared" si="81"/>
        <v>1</v>
      </c>
      <c r="S567" t="b">
        <f t="shared" si="82"/>
        <v>1</v>
      </c>
    </row>
    <row r="568" spans="1:19" x14ac:dyDescent="0.2">
      <c r="A568" s="106">
        <f>_xlfn.XLOOKUP(B568,pratos!B:B,pratos!A:A,"não")</f>
        <v>392</v>
      </c>
      <c r="B568" s="130" t="s">
        <v>496</v>
      </c>
      <c r="C568" s="105">
        <f>_xlfn.XLOOKUP(D568,ingredientes!B:B,ingredientes!A:A,"não")</f>
        <v>58</v>
      </c>
      <c r="D568" s="30" t="s">
        <v>618</v>
      </c>
      <c r="E568" s="65">
        <v>30</v>
      </c>
      <c r="H568">
        <f t="shared" si="83"/>
        <v>392</v>
      </c>
      <c r="I568">
        <f t="shared" si="84"/>
        <v>58</v>
      </c>
      <c r="J568">
        <f t="shared" si="85"/>
        <v>30</v>
      </c>
      <c r="K568">
        <f t="shared" si="86"/>
        <v>450</v>
      </c>
      <c r="M568">
        <v>392</v>
      </c>
      <c r="N568">
        <v>58</v>
      </c>
      <c r="O568">
        <v>30</v>
      </c>
      <c r="Q568" t="b">
        <f t="shared" si="80"/>
        <v>1</v>
      </c>
      <c r="R568" t="b">
        <f t="shared" si="81"/>
        <v>1</v>
      </c>
      <c r="S568" t="b">
        <f t="shared" si="82"/>
        <v>1</v>
      </c>
    </row>
    <row r="569" spans="1:19" x14ac:dyDescent="0.2">
      <c r="A569" s="106">
        <f>_xlfn.XLOOKUP(B569,pratos!B:B,pratos!A:A,"não")</f>
        <v>393</v>
      </c>
      <c r="B569" s="116" t="s">
        <v>487</v>
      </c>
      <c r="C569" s="105">
        <f>_xlfn.XLOOKUP(D569,ingredientes!B:B,ingredientes!A:A,"não")</f>
        <v>58</v>
      </c>
      <c r="D569" s="30" t="s">
        <v>618</v>
      </c>
      <c r="E569" s="65">
        <v>50</v>
      </c>
      <c r="H569">
        <f t="shared" si="83"/>
        <v>393</v>
      </c>
      <c r="I569">
        <f t="shared" si="84"/>
        <v>58</v>
      </c>
      <c r="J569">
        <f t="shared" si="85"/>
        <v>50</v>
      </c>
      <c r="K569">
        <f t="shared" si="86"/>
        <v>451</v>
      </c>
      <c r="M569">
        <v>393</v>
      </c>
      <c r="N569">
        <v>58</v>
      </c>
      <c r="O569">
        <v>50</v>
      </c>
      <c r="Q569" t="b">
        <f t="shared" si="80"/>
        <v>1</v>
      </c>
      <c r="R569" t="b">
        <f t="shared" si="81"/>
        <v>1</v>
      </c>
      <c r="S569" t="b">
        <f t="shared" si="82"/>
        <v>1</v>
      </c>
    </row>
    <row r="570" spans="1:19" x14ac:dyDescent="0.2">
      <c r="A570" s="106">
        <f>_xlfn.XLOOKUP(B570,pratos!B:B,pratos!A:A,"não")</f>
        <v>393</v>
      </c>
      <c r="B570" s="116" t="s">
        <v>487</v>
      </c>
      <c r="C570" s="105">
        <f>_xlfn.XLOOKUP(D570,ingredientes!B:B,ingredientes!A:A,"não")</f>
        <v>242</v>
      </c>
      <c r="D570" s="30" t="s">
        <v>276</v>
      </c>
      <c r="E570" s="10">
        <v>20</v>
      </c>
      <c r="H570">
        <f t="shared" si="83"/>
        <v>393</v>
      </c>
      <c r="I570">
        <f t="shared" si="84"/>
        <v>242</v>
      </c>
      <c r="J570">
        <f t="shared" si="85"/>
        <v>20</v>
      </c>
      <c r="K570">
        <f t="shared" si="86"/>
        <v>635</v>
      </c>
      <c r="M570">
        <v>393</v>
      </c>
      <c r="N570">
        <v>242</v>
      </c>
      <c r="O570">
        <v>20</v>
      </c>
      <c r="Q570" t="b">
        <f t="shared" si="80"/>
        <v>1</v>
      </c>
      <c r="R570" t="b">
        <f t="shared" si="81"/>
        <v>1</v>
      </c>
      <c r="S570" t="b">
        <f t="shared" si="82"/>
        <v>1</v>
      </c>
    </row>
    <row r="571" spans="1:19" x14ac:dyDescent="0.2">
      <c r="A571" s="106">
        <f>_xlfn.XLOOKUP(B571,pratos!B:B,pratos!A:A,"não")</f>
        <v>394</v>
      </c>
      <c r="B571" s="130" t="s">
        <v>501</v>
      </c>
      <c r="C571" s="105">
        <f>_xlfn.XLOOKUP(D571,ingredientes!B:B,ingredientes!A:A,"não")</f>
        <v>58</v>
      </c>
      <c r="D571" s="30" t="s">
        <v>618</v>
      </c>
      <c r="E571" s="65">
        <v>30</v>
      </c>
      <c r="H571">
        <f t="shared" si="83"/>
        <v>394</v>
      </c>
      <c r="I571">
        <f t="shared" si="84"/>
        <v>58</v>
      </c>
      <c r="J571">
        <f t="shared" si="85"/>
        <v>30</v>
      </c>
      <c r="K571">
        <f t="shared" si="86"/>
        <v>452</v>
      </c>
      <c r="M571">
        <v>394</v>
      </c>
      <c r="N571">
        <v>58</v>
      </c>
      <c r="O571">
        <v>30</v>
      </c>
      <c r="Q571" t="b">
        <f t="shared" si="80"/>
        <v>1</v>
      </c>
      <c r="R571" t="b">
        <f t="shared" si="81"/>
        <v>1</v>
      </c>
      <c r="S571" t="b">
        <f t="shared" si="82"/>
        <v>1</v>
      </c>
    </row>
    <row r="572" spans="1:19" x14ac:dyDescent="0.2">
      <c r="A572" s="106">
        <f>_xlfn.XLOOKUP(B572,pratos!B:B,pratos!A:A,"não")</f>
        <v>395</v>
      </c>
      <c r="B572" s="111" t="s">
        <v>247</v>
      </c>
      <c r="C572" s="105">
        <f>_xlfn.XLOOKUP(D572,ingredientes!B:B,ingredientes!A:A,"não")</f>
        <v>58</v>
      </c>
      <c r="D572" s="30" t="s">
        <v>618</v>
      </c>
      <c r="E572" s="19">
        <v>30</v>
      </c>
      <c r="H572">
        <f t="shared" si="83"/>
        <v>395</v>
      </c>
      <c r="I572">
        <f t="shared" si="84"/>
        <v>58</v>
      </c>
      <c r="J572">
        <f t="shared" si="85"/>
        <v>30</v>
      </c>
      <c r="K572">
        <f t="shared" si="86"/>
        <v>453</v>
      </c>
      <c r="M572">
        <v>395</v>
      </c>
      <c r="N572">
        <v>58</v>
      </c>
      <c r="O572">
        <v>30</v>
      </c>
      <c r="Q572" t="b">
        <f t="shared" si="80"/>
        <v>1</v>
      </c>
      <c r="R572" t="b">
        <f t="shared" si="81"/>
        <v>1</v>
      </c>
      <c r="S572" t="b">
        <f t="shared" si="82"/>
        <v>1</v>
      </c>
    </row>
    <row r="573" spans="1:19" x14ac:dyDescent="0.2">
      <c r="A573" s="106">
        <f>_xlfn.XLOOKUP(B573,pratos!B:B,pratos!A:A,"não")</f>
        <v>395</v>
      </c>
      <c r="B573" s="111" t="s">
        <v>247</v>
      </c>
      <c r="C573" s="105">
        <f>_xlfn.XLOOKUP(D573,ingredientes!B:B,ingredientes!A:A,"não")</f>
        <v>64</v>
      </c>
      <c r="D573" s="30" t="s">
        <v>624</v>
      </c>
      <c r="E573" s="10">
        <v>30</v>
      </c>
      <c r="H573">
        <f t="shared" si="83"/>
        <v>395</v>
      </c>
      <c r="I573">
        <f t="shared" si="84"/>
        <v>64</v>
      </c>
      <c r="J573">
        <f t="shared" si="85"/>
        <v>30</v>
      </c>
      <c r="K573">
        <f t="shared" si="86"/>
        <v>459</v>
      </c>
      <c r="M573">
        <v>395</v>
      </c>
      <c r="N573">
        <v>64</v>
      </c>
      <c r="O573">
        <v>30</v>
      </c>
      <c r="Q573" t="b">
        <f t="shared" si="80"/>
        <v>1</v>
      </c>
      <c r="R573" t="b">
        <f t="shared" si="81"/>
        <v>1</v>
      </c>
      <c r="S573" t="b">
        <f t="shared" si="82"/>
        <v>1</v>
      </c>
    </row>
    <row r="574" spans="1:19" x14ac:dyDescent="0.2">
      <c r="A574" s="106">
        <f>_xlfn.XLOOKUP(B574,pratos!B:B,pratos!A:A,"não")</f>
        <v>395</v>
      </c>
      <c r="B574" s="111" t="s">
        <v>247</v>
      </c>
      <c r="C574" s="105">
        <f>_xlfn.XLOOKUP(D574,ingredientes!B:B,ingredientes!A:A,"não")</f>
        <v>106</v>
      </c>
      <c r="D574" s="30" t="s">
        <v>645</v>
      </c>
      <c r="E574" s="10">
        <v>30</v>
      </c>
      <c r="H574">
        <f t="shared" si="83"/>
        <v>395</v>
      </c>
      <c r="I574">
        <f t="shared" si="84"/>
        <v>106</v>
      </c>
      <c r="J574">
        <f t="shared" si="85"/>
        <v>30</v>
      </c>
      <c r="K574">
        <f t="shared" si="86"/>
        <v>501</v>
      </c>
      <c r="M574">
        <v>395</v>
      </c>
      <c r="N574">
        <v>106</v>
      </c>
      <c r="O574">
        <v>30</v>
      </c>
      <c r="Q574" t="b">
        <f t="shared" si="80"/>
        <v>1</v>
      </c>
      <c r="R574" t="b">
        <f t="shared" si="81"/>
        <v>1</v>
      </c>
      <c r="S574" t="b">
        <f t="shared" si="82"/>
        <v>1</v>
      </c>
    </row>
    <row r="575" spans="1:19" x14ac:dyDescent="0.2">
      <c r="A575" s="106">
        <f>_xlfn.XLOOKUP(B575,pratos!B:B,pratos!A:A,"não")</f>
        <v>396</v>
      </c>
      <c r="B575" s="111" t="s">
        <v>249</v>
      </c>
      <c r="C575" s="105">
        <f>_xlfn.XLOOKUP(D575,ingredientes!B:B,ingredientes!A:A,"não")</f>
        <v>58</v>
      </c>
      <c r="D575" s="30" t="s">
        <v>618</v>
      </c>
      <c r="E575" s="19">
        <v>30</v>
      </c>
      <c r="H575">
        <f t="shared" si="83"/>
        <v>396</v>
      </c>
      <c r="I575">
        <f t="shared" si="84"/>
        <v>58</v>
      </c>
      <c r="J575">
        <f t="shared" si="85"/>
        <v>30</v>
      </c>
      <c r="K575">
        <f t="shared" si="86"/>
        <v>454</v>
      </c>
      <c r="M575">
        <v>396</v>
      </c>
      <c r="N575">
        <v>58</v>
      </c>
      <c r="O575">
        <v>30</v>
      </c>
      <c r="Q575" t="b">
        <f t="shared" si="80"/>
        <v>1</v>
      </c>
      <c r="R575" t="b">
        <f t="shared" si="81"/>
        <v>1</v>
      </c>
      <c r="S575" t="b">
        <f t="shared" si="82"/>
        <v>1</v>
      </c>
    </row>
    <row r="576" spans="1:19" x14ac:dyDescent="0.2">
      <c r="A576" s="106">
        <f>_xlfn.XLOOKUP(B576,pratos!B:B,pratos!A:A,"não")</f>
        <v>396</v>
      </c>
      <c r="B576" s="111" t="s">
        <v>249</v>
      </c>
      <c r="C576" s="105">
        <f>_xlfn.XLOOKUP(D576,ingredientes!B:B,ingredientes!A:A,"não")</f>
        <v>64</v>
      </c>
      <c r="D576" s="30" t="s">
        <v>624</v>
      </c>
      <c r="E576" s="10">
        <v>30</v>
      </c>
      <c r="H576">
        <f t="shared" si="83"/>
        <v>396</v>
      </c>
      <c r="I576">
        <f t="shared" si="84"/>
        <v>64</v>
      </c>
      <c r="J576">
        <f t="shared" si="85"/>
        <v>30</v>
      </c>
      <c r="K576">
        <f t="shared" si="86"/>
        <v>460</v>
      </c>
      <c r="M576">
        <v>396</v>
      </c>
      <c r="N576">
        <v>64</v>
      </c>
      <c r="O576">
        <v>30</v>
      </c>
      <c r="Q576" t="b">
        <f t="shared" si="80"/>
        <v>1</v>
      </c>
      <c r="R576" t="b">
        <f t="shared" si="81"/>
        <v>1</v>
      </c>
      <c r="S576" t="b">
        <f t="shared" si="82"/>
        <v>1</v>
      </c>
    </row>
    <row r="577" spans="1:19" x14ac:dyDescent="0.2">
      <c r="A577" s="106">
        <f>_xlfn.XLOOKUP(B577,pratos!B:B,pratos!A:A,"não")</f>
        <v>396</v>
      </c>
      <c r="B577" s="111" t="s">
        <v>249</v>
      </c>
      <c r="C577" s="105">
        <f>_xlfn.XLOOKUP(D577,ingredientes!B:B,ingredientes!A:A,"não")</f>
        <v>106</v>
      </c>
      <c r="D577" s="30" t="s">
        <v>645</v>
      </c>
      <c r="E577" s="10">
        <v>30</v>
      </c>
      <c r="H577">
        <f t="shared" si="83"/>
        <v>396</v>
      </c>
      <c r="I577">
        <f t="shared" si="84"/>
        <v>106</v>
      </c>
      <c r="J577">
        <f t="shared" si="85"/>
        <v>30</v>
      </c>
      <c r="K577">
        <f t="shared" si="86"/>
        <v>502</v>
      </c>
      <c r="M577">
        <v>396</v>
      </c>
      <c r="N577">
        <v>106</v>
      </c>
      <c r="O577">
        <v>30</v>
      </c>
      <c r="Q577" t="b">
        <f t="shared" si="80"/>
        <v>1</v>
      </c>
      <c r="R577" t="b">
        <f t="shared" si="81"/>
        <v>1</v>
      </c>
      <c r="S577" t="b">
        <f t="shared" si="82"/>
        <v>1</v>
      </c>
    </row>
    <row r="578" spans="1:19" x14ac:dyDescent="0.2">
      <c r="A578" s="106">
        <f>_xlfn.XLOOKUP(B578,pratos!B:B,pratos!A:A,"não")</f>
        <v>396</v>
      </c>
      <c r="B578" s="111" t="s">
        <v>249</v>
      </c>
      <c r="C578" s="105">
        <f>_xlfn.XLOOKUP(D578,ingredientes!B:B,ingredientes!A:A,"não")</f>
        <v>242</v>
      </c>
      <c r="D578" s="30" t="s">
        <v>276</v>
      </c>
      <c r="E578" s="17">
        <v>60</v>
      </c>
      <c r="H578">
        <f t="shared" si="83"/>
        <v>396</v>
      </c>
      <c r="I578">
        <f t="shared" si="84"/>
        <v>242</v>
      </c>
      <c r="J578">
        <f t="shared" si="85"/>
        <v>60</v>
      </c>
      <c r="K578">
        <f t="shared" si="86"/>
        <v>638</v>
      </c>
      <c r="M578">
        <v>396</v>
      </c>
      <c r="N578">
        <v>242</v>
      </c>
      <c r="O578">
        <v>60</v>
      </c>
      <c r="Q578" t="b">
        <f t="shared" si="80"/>
        <v>1</v>
      </c>
      <c r="R578" t="b">
        <f t="shared" si="81"/>
        <v>1</v>
      </c>
      <c r="S578" t="b">
        <f t="shared" si="82"/>
        <v>1</v>
      </c>
    </row>
    <row r="579" spans="1:19" x14ac:dyDescent="0.2">
      <c r="A579" s="106">
        <f>_xlfn.XLOOKUP(B579,pratos!B:B,pratos!A:A,"não")</f>
        <v>397</v>
      </c>
      <c r="B579" s="116" t="s">
        <v>579</v>
      </c>
      <c r="C579" s="105">
        <f>_xlfn.XLOOKUP(D579,ingredientes!B:B,ingredientes!A:A,"não")</f>
        <v>3</v>
      </c>
      <c r="D579" s="30" t="s">
        <v>604</v>
      </c>
      <c r="E579" s="93">
        <v>30</v>
      </c>
      <c r="H579">
        <f t="shared" si="83"/>
        <v>397</v>
      </c>
      <c r="I579">
        <f t="shared" si="84"/>
        <v>3</v>
      </c>
      <c r="J579">
        <f t="shared" si="85"/>
        <v>30</v>
      </c>
      <c r="K579">
        <f t="shared" si="86"/>
        <v>400</v>
      </c>
      <c r="M579">
        <v>397</v>
      </c>
      <c r="N579">
        <v>3</v>
      </c>
      <c r="O579">
        <v>30</v>
      </c>
      <c r="Q579" t="b">
        <f t="shared" si="80"/>
        <v>1</v>
      </c>
      <c r="R579" t="b">
        <f t="shared" si="81"/>
        <v>1</v>
      </c>
      <c r="S579" t="b">
        <f t="shared" si="82"/>
        <v>1</v>
      </c>
    </row>
    <row r="580" spans="1:19" x14ac:dyDescent="0.2">
      <c r="A580" s="106">
        <f>_xlfn.XLOOKUP(B580,pratos!B:B,pratos!A:A,"não")</f>
        <v>397</v>
      </c>
      <c r="B580" s="116" t="s">
        <v>579</v>
      </c>
      <c r="C580" s="105">
        <f>_xlfn.XLOOKUP(D580,ingredientes!B:B,ingredientes!A:A,"não")</f>
        <v>96</v>
      </c>
      <c r="D580" s="30" t="s">
        <v>641</v>
      </c>
      <c r="E580" s="93">
        <v>30</v>
      </c>
      <c r="H580">
        <f t="shared" si="83"/>
        <v>397</v>
      </c>
      <c r="I580">
        <f t="shared" si="84"/>
        <v>96</v>
      </c>
      <c r="J580">
        <f t="shared" si="85"/>
        <v>30</v>
      </c>
      <c r="K580">
        <f t="shared" si="86"/>
        <v>493</v>
      </c>
      <c r="M580">
        <v>397</v>
      </c>
      <c r="N580">
        <v>96</v>
      </c>
      <c r="O580">
        <v>30</v>
      </c>
      <c r="Q580" t="b">
        <f t="shared" si="80"/>
        <v>1</v>
      </c>
      <c r="R580" t="b">
        <f t="shared" si="81"/>
        <v>1</v>
      </c>
      <c r="S580" t="b">
        <f t="shared" si="82"/>
        <v>1</v>
      </c>
    </row>
    <row r="581" spans="1:19" x14ac:dyDescent="0.2">
      <c r="A581" s="106">
        <f>_xlfn.XLOOKUP(B581,pratos!B:B,pratos!A:A,"não")</f>
        <v>398</v>
      </c>
      <c r="B581" s="111" t="s">
        <v>190</v>
      </c>
      <c r="C581" s="105">
        <f>_xlfn.XLOOKUP(D581,ingredientes!B:B,ingredientes!A:A,"não")</f>
        <v>96</v>
      </c>
      <c r="D581" s="30" t="s">
        <v>641</v>
      </c>
      <c r="E581" s="10">
        <v>45</v>
      </c>
      <c r="H581">
        <f t="shared" si="83"/>
        <v>398</v>
      </c>
      <c r="I581">
        <f t="shared" si="84"/>
        <v>96</v>
      </c>
      <c r="J581">
        <f t="shared" si="85"/>
        <v>45</v>
      </c>
      <c r="K581">
        <f t="shared" si="86"/>
        <v>494</v>
      </c>
      <c r="M581">
        <v>398</v>
      </c>
      <c r="N581">
        <v>96</v>
      </c>
      <c r="O581">
        <v>45</v>
      </c>
      <c r="Q581" t="b">
        <f t="shared" si="80"/>
        <v>1</v>
      </c>
      <c r="R581" t="b">
        <f t="shared" si="81"/>
        <v>1</v>
      </c>
      <c r="S581" t="b">
        <f t="shared" si="82"/>
        <v>1</v>
      </c>
    </row>
    <row r="582" spans="1:19" x14ac:dyDescent="0.2">
      <c r="A582" s="106">
        <f>_xlfn.XLOOKUP(B582,pratos!B:B,pratos!A:A,"não")</f>
        <v>398</v>
      </c>
      <c r="B582" s="111" t="s">
        <v>190</v>
      </c>
      <c r="C582" s="105">
        <f>_xlfn.XLOOKUP(D582,ingredientes!B:B,ingredientes!A:A,"não")</f>
        <v>106</v>
      </c>
      <c r="D582" s="30" t="s">
        <v>645</v>
      </c>
      <c r="E582" s="10">
        <v>45</v>
      </c>
      <c r="H582">
        <f t="shared" si="83"/>
        <v>398</v>
      </c>
      <c r="I582">
        <f t="shared" si="84"/>
        <v>106</v>
      </c>
      <c r="J582">
        <f t="shared" si="85"/>
        <v>45</v>
      </c>
      <c r="K582">
        <f t="shared" si="86"/>
        <v>504</v>
      </c>
      <c r="M582">
        <v>398</v>
      </c>
      <c r="N582">
        <v>106</v>
      </c>
      <c r="O582">
        <v>45</v>
      </c>
      <c r="Q582" t="b">
        <f t="shared" si="80"/>
        <v>1</v>
      </c>
      <c r="R582" t="b">
        <f t="shared" si="81"/>
        <v>1</v>
      </c>
      <c r="S582" t="b">
        <f t="shared" si="82"/>
        <v>1</v>
      </c>
    </row>
    <row r="583" spans="1:19" x14ac:dyDescent="0.2">
      <c r="A583" s="106">
        <f>_xlfn.XLOOKUP(B583,pratos!B:B,pratos!A:A,"não")</f>
        <v>399</v>
      </c>
      <c r="B583" s="111" t="s">
        <v>197</v>
      </c>
      <c r="C583" s="105">
        <f>_xlfn.XLOOKUP(D583,ingredientes!B:B,ingredientes!A:A,"não")</f>
        <v>96</v>
      </c>
      <c r="D583" s="30" t="s">
        <v>641</v>
      </c>
      <c r="E583" s="10">
        <v>45</v>
      </c>
      <c r="H583">
        <f t="shared" si="83"/>
        <v>399</v>
      </c>
      <c r="I583">
        <f t="shared" si="84"/>
        <v>96</v>
      </c>
      <c r="J583">
        <f t="shared" si="85"/>
        <v>45</v>
      </c>
      <c r="K583">
        <f t="shared" si="86"/>
        <v>495</v>
      </c>
      <c r="M583">
        <v>399</v>
      </c>
      <c r="N583">
        <v>96</v>
      </c>
      <c r="O583">
        <v>45</v>
      </c>
      <c r="Q583" t="b">
        <f t="shared" si="80"/>
        <v>1</v>
      </c>
      <c r="R583" t="b">
        <f t="shared" si="81"/>
        <v>1</v>
      </c>
      <c r="S583" t="b">
        <f t="shared" si="82"/>
        <v>1</v>
      </c>
    </row>
    <row r="584" spans="1:19" x14ac:dyDescent="0.2">
      <c r="A584" s="106">
        <f>_xlfn.XLOOKUP(B584,pratos!B:B,pratos!A:A,"não")</f>
        <v>399</v>
      </c>
      <c r="B584" s="111" t="s">
        <v>197</v>
      </c>
      <c r="C584" s="105">
        <f>_xlfn.XLOOKUP(D584,ingredientes!B:B,ingredientes!A:A,"não")</f>
        <v>106</v>
      </c>
      <c r="D584" s="30" t="s">
        <v>645</v>
      </c>
      <c r="E584" s="10">
        <v>45</v>
      </c>
      <c r="H584">
        <f t="shared" si="83"/>
        <v>399</v>
      </c>
      <c r="I584">
        <f t="shared" si="84"/>
        <v>106</v>
      </c>
      <c r="J584">
        <f t="shared" si="85"/>
        <v>45</v>
      </c>
      <c r="K584">
        <f t="shared" si="86"/>
        <v>505</v>
      </c>
      <c r="M584">
        <v>399</v>
      </c>
      <c r="N584">
        <v>106</v>
      </c>
      <c r="O584">
        <v>45</v>
      </c>
      <c r="Q584" t="b">
        <f t="shared" si="80"/>
        <v>1</v>
      </c>
      <c r="R584" t="b">
        <f t="shared" si="81"/>
        <v>1</v>
      </c>
      <c r="S584" t="b">
        <f t="shared" si="82"/>
        <v>1</v>
      </c>
    </row>
    <row r="585" spans="1:19" x14ac:dyDescent="0.2">
      <c r="A585" s="106">
        <f>_xlfn.XLOOKUP(B585,pratos!B:B,pratos!A:A,"não")</f>
        <v>399</v>
      </c>
      <c r="B585" s="111" t="s">
        <v>197</v>
      </c>
      <c r="C585" s="105">
        <f>_xlfn.XLOOKUP(D585,ingredientes!B:B,ingredientes!A:A,"não")</f>
        <v>238</v>
      </c>
      <c r="D585" s="30" t="s">
        <v>677</v>
      </c>
      <c r="E585" s="10">
        <v>60</v>
      </c>
      <c r="H585">
        <f t="shared" si="83"/>
        <v>399</v>
      </c>
      <c r="I585">
        <f t="shared" si="84"/>
        <v>238</v>
      </c>
      <c r="J585">
        <f t="shared" si="85"/>
        <v>60</v>
      </c>
      <c r="K585">
        <f t="shared" si="86"/>
        <v>637</v>
      </c>
      <c r="M585">
        <v>399</v>
      </c>
      <c r="N585">
        <v>238</v>
      </c>
      <c r="O585">
        <v>60</v>
      </c>
      <c r="Q585" t="b">
        <f t="shared" si="80"/>
        <v>1</v>
      </c>
      <c r="R585" t="b">
        <f t="shared" si="81"/>
        <v>1</v>
      </c>
      <c r="S585" t="b">
        <f t="shared" si="82"/>
        <v>1</v>
      </c>
    </row>
    <row r="586" spans="1:19" x14ac:dyDescent="0.2">
      <c r="A586" s="106">
        <f>_xlfn.XLOOKUP(B586,pratos!B:B,pratos!A:A,"não")</f>
        <v>402</v>
      </c>
      <c r="B586" s="128" t="s">
        <v>462</v>
      </c>
      <c r="C586" s="105">
        <f>_xlfn.XLOOKUP(D586,ingredientes!B:B,ingredientes!A:A,"não")</f>
        <v>58</v>
      </c>
      <c r="D586" t="s">
        <v>618</v>
      </c>
      <c r="E586" s="65">
        <v>80</v>
      </c>
      <c r="H586">
        <f t="shared" si="83"/>
        <v>402</v>
      </c>
      <c r="I586">
        <f t="shared" si="84"/>
        <v>58</v>
      </c>
      <c r="J586">
        <f t="shared" si="85"/>
        <v>80</v>
      </c>
      <c r="K586">
        <f t="shared" si="86"/>
        <v>460</v>
      </c>
      <c r="M586">
        <v>402</v>
      </c>
      <c r="N586">
        <v>58</v>
      </c>
      <c r="O586">
        <v>80</v>
      </c>
      <c r="Q586" t="b">
        <f t="shared" si="80"/>
        <v>1</v>
      </c>
      <c r="R586" t="b">
        <f t="shared" si="81"/>
        <v>1</v>
      </c>
      <c r="S586" t="b">
        <f t="shared" si="82"/>
        <v>1</v>
      </c>
    </row>
    <row r="587" spans="1:19" x14ac:dyDescent="0.2">
      <c r="A587" s="106">
        <f>_xlfn.XLOOKUP(B587,pratos!B:B,pratos!A:A,"não")</f>
        <v>402</v>
      </c>
      <c r="B587" s="128" t="s">
        <v>462</v>
      </c>
      <c r="C587" s="105">
        <f>_xlfn.XLOOKUP(D587,ingredientes!B:B,ingredientes!A:A,"não")</f>
        <v>132</v>
      </c>
      <c r="D587" s="69" t="s">
        <v>463</v>
      </c>
      <c r="E587" s="82">
        <v>10</v>
      </c>
      <c r="H587">
        <f t="shared" si="83"/>
        <v>402</v>
      </c>
      <c r="I587">
        <f t="shared" si="84"/>
        <v>132</v>
      </c>
      <c r="J587">
        <f t="shared" si="85"/>
        <v>10</v>
      </c>
      <c r="K587">
        <f t="shared" si="86"/>
        <v>534</v>
      </c>
      <c r="M587">
        <v>402</v>
      </c>
      <c r="N587">
        <v>132</v>
      </c>
      <c r="O587">
        <v>10</v>
      </c>
      <c r="Q587" t="b">
        <f t="shared" si="80"/>
        <v>1</v>
      </c>
      <c r="R587" t="b">
        <f t="shared" si="81"/>
        <v>1</v>
      </c>
      <c r="S587" t="b">
        <f t="shared" si="82"/>
        <v>1</v>
      </c>
    </row>
    <row r="588" spans="1:19" x14ac:dyDescent="0.2">
      <c r="A588" s="106">
        <f>_xlfn.XLOOKUP(B588,pratos!B:B,pratos!A:A,"não")</f>
        <v>403</v>
      </c>
      <c r="B588" s="116" t="s">
        <v>498</v>
      </c>
      <c r="C588" s="105">
        <f>_xlfn.XLOOKUP(D588,ingredientes!B:B,ingredientes!A:A,"não")</f>
        <v>58</v>
      </c>
      <c r="D588" s="30" t="s">
        <v>618</v>
      </c>
      <c r="E588" s="65">
        <v>90</v>
      </c>
      <c r="H588">
        <f t="shared" si="83"/>
        <v>403</v>
      </c>
      <c r="I588">
        <f t="shared" ref="I588:I631" si="87">C588</f>
        <v>58</v>
      </c>
      <c r="J588">
        <f t="shared" ref="J588:J631" si="88">E588</f>
        <v>90</v>
      </c>
      <c r="K588">
        <f t="shared" si="86"/>
        <v>461</v>
      </c>
      <c r="M588">
        <v>403</v>
      </c>
      <c r="N588">
        <v>58</v>
      </c>
      <c r="O588">
        <v>90</v>
      </c>
      <c r="Q588" t="b">
        <f t="shared" si="80"/>
        <v>1</v>
      </c>
      <c r="R588" t="b">
        <f t="shared" si="81"/>
        <v>1</v>
      </c>
      <c r="S588" t="b">
        <f t="shared" si="82"/>
        <v>1</v>
      </c>
    </row>
    <row r="589" spans="1:19" x14ac:dyDescent="0.2">
      <c r="A589" s="106">
        <f>_xlfn.XLOOKUP(B589,pratos!B:B,pratos!A:A,"não")</f>
        <v>403</v>
      </c>
      <c r="B589" s="130" t="s">
        <v>498</v>
      </c>
      <c r="C589" s="105">
        <f>_xlfn.XLOOKUP(D589,ingredientes!B:B,ingredientes!A:A,"não")</f>
        <v>132</v>
      </c>
      <c r="D589" s="69" t="s">
        <v>463</v>
      </c>
      <c r="E589" s="68">
        <v>10</v>
      </c>
      <c r="H589">
        <f t="shared" si="83"/>
        <v>403</v>
      </c>
      <c r="I589">
        <f t="shared" si="87"/>
        <v>132</v>
      </c>
      <c r="J589">
        <f t="shared" si="88"/>
        <v>10</v>
      </c>
      <c r="K589">
        <f t="shared" si="86"/>
        <v>535</v>
      </c>
      <c r="M589">
        <v>403</v>
      </c>
      <c r="N589">
        <v>132</v>
      </c>
      <c r="O589">
        <v>10</v>
      </c>
      <c r="Q589" t="b">
        <f t="shared" si="80"/>
        <v>1</v>
      </c>
      <c r="R589" t="b">
        <f t="shared" si="81"/>
        <v>1</v>
      </c>
      <c r="S589" t="b">
        <f t="shared" si="82"/>
        <v>1</v>
      </c>
    </row>
    <row r="590" spans="1:19" x14ac:dyDescent="0.2">
      <c r="A590" s="106">
        <f>_xlfn.XLOOKUP(B590,pratos!B:B,pratos!A:A,"não")</f>
        <v>404</v>
      </c>
      <c r="B590" s="128" t="s">
        <v>466</v>
      </c>
      <c r="C590" s="105">
        <f>_xlfn.XLOOKUP(D590,ingredientes!B:B,ingredientes!A:A,"não")</f>
        <v>58</v>
      </c>
      <c r="D590" s="30" t="s">
        <v>618</v>
      </c>
      <c r="E590" s="65">
        <v>80</v>
      </c>
      <c r="H590">
        <f t="shared" ref="H590:H632" si="89">A590</f>
        <v>404</v>
      </c>
      <c r="I590">
        <f t="shared" si="87"/>
        <v>58</v>
      </c>
      <c r="J590">
        <f t="shared" si="88"/>
        <v>80</v>
      </c>
      <c r="K590">
        <f t="shared" si="86"/>
        <v>462</v>
      </c>
      <c r="M590">
        <v>404</v>
      </c>
      <c r="N590">
        <v>58</v>
      </c>
      <c r="O590">
        <v>80</v>
      </c>
      <c r="Q590" t="b">
        <f t="shared" si="80"/>
        <v>1</v>
      </c>
      <c r="R590" t="b">
        <f t="shared" si="81"/>
        <v>1</v>
      </c>
      <c r="S590" t="b">
        <f t="shared" si="82"/>
        <v>1</v>
      </c>
    </row>
    <row r="591" spans="1:19" x14ac:dyDescent="0.2">
      <c r="A591" s="106">
        <f>_xlfn.XLOOKUP(B591,pratos!B:B,pratos!A:A,"não")</f>
        <v>404</v>
      </c>
      <c r="B591" s="133" t="s">
        <v>466</v>
      </c>
      <c r="C591" s="105">
        <f>_xlfn.XLOOKUP(D591,ingredientes!B:B,ingredientes!A:A,"não")</f>
        <v>132</v>
      </c>
      <c r="D591" s="89" t="s">
        <v>463</v>
      </c>
      <c r="E591" s="68">
        <v>10</v>
      </c>
      <c r="H591">
        <f t="shared" si="89"/>
        <v>404</v>
      </c>
      <c r="I591">
        <f t="shared" si="87"/>
        <v>132</v>
      </c>
      <c r="J591">
        <f t="shared" si="88"/>
        <v>10</v>
      </c>
      <c r="K591">
        <f t="shared" ref="K591:K633" si="90">H591+I591</f>
        <v>536</v>
      </c>
      <c r="M591">
        <v>404</v>
      </c>
      <c r="N591">
        <v>132</v>
      </c>
      <c r="O591">
        <v>10</v>
      </c>
      <c r="Q591" t="b">
        <f t="shared" ref="Q591:Q625" si="91">EXACT(H591,M591)</f>
        <v>1</v>
      </c>
      <c r="R591" t="b">
        <f t="shared" ref="R591:R625" si="92">EXACT(I591,N591)</f>
        <v>1</v>
      </c>
      <c r="S591" t="b">
        <f t="shared" ref="S591:S625" si="93">EXACT(J591,O591)</f>
        <v>1</v>
      </c>
    </row>
    <row r="592" spans="1:19" x14ac:dyDescent="0.2">
      <c r="A592" s="106">
        <f>_xlfn.XLOOKUP(B592,pratos!B:B,pratos!A:A,"não")</f>
        <v>405</v>
      </c>
      <c r="B592" s="116" t="s">
        <v>502</v>
      </c>
      <c r="C592" s="105">
        <f>_xlfn.XLOOKUP(D592,ingredientes!B:B,ingredientes!A:A,"não")</f>
        <v>58</v>
      </c>
      <c r="D592" s="30" t="s">
        <v>618</v>
      </c>
      <c r="E592" s="65">
        <v>90</v>
      </c>
      <c r="H592">
        <f t="shared" si="89"/>
        <v>405</v>
      </c>
      <c r="I592">
        <f t="shared" si="87"/>
        <v>58</v>
      </c>
      <c r="J592">
        <f t="shared" si="88"/>
        <v>90</v>
      </c>
      <c r="K592">
        <f t="shared" si="90"/>
        <v>463</v>
      </c>
      <c r="M592">
        <v>405</v>
      </c>
      <c r="N592">
        <v>58</v>
      </c>
      <c r="O592">
        <v>90</v>
      </c>
      <c r="Q592" t="b">
        <f t="shared" si="91"/>
        <v>1</v>
      </c>
      <c r="R592" t="b">
        <f t="shared" si="92"/>
        <v>1</v>
      </c>
      <c r="S592" t="b">
        <f t="shared" si="93"/>
        <v>1</v>
      </c>
    </row>
    <row r="593" spans="1:19" x14ac:dyDescent="0.2">
      <c r="A593" s="106">
        <f>_xlfn.XLOOKUP(B593,pratos!B:B,pratos!A:A,"não")</f>
        <v>405</v>
      </c>
      <c r="B593" s="130" t="s">
        <v>502</v>
      </c>
      <c r="C593" s="105">
        <f>_xlfn.XLOOKUP(D593,ingredientes!B:B,ingredientes!A:A,"não")</f>
        <v>132</v>
      </c>
      <c r="D593" s="155" t="s">
        <v>463</v>
      </c>
      <c r="E593" s="82">
        <v>10</v>
      </c>
      <c r="H593">
        <f t="shared" si="89"/>
        <v>405</v>
      </c>
      <c r="I593">
        <f t="shared" si="87"/>
        <v>132</v>
      </c>
      <c r="J593">
        <f t="shared" si="88"/>
        <v>10</v>
      </c>
      <c r="K593">
        <f t="shared" si="90"/>
        <v>537</v>
      </c>
      <c r="M593">
        <v>405</v>
      </c>
      <c r="N593">
        <v>132</v>
      </c>
      <c r="O593">
        <v>10</v>
      </c>
      <c r="Q593" t="b">
        <f t="shared" si="91"/>
        <v>1</v>
      </c>
      <c r="R593" t="b">
        <f t="shared" si="92"/>
        <v>1</v>
      </c>
      <c r="S593" t="b">
        <f t="shared" si="93"/>
        <v>1</v>
      </c>
    </row>
    <row r="594" spans="1:19" x14ac:dyDescent="0.2">
      <c r="A594" s="106">
        <f>_xlfn.XLOOKUP(B594,pratos!B:B,pratos!A:A,"não")</f>
        <v>406</v>
      </c>
      <c r="B594" s="132" t="s">
        <v>468</v>
      </c>
      <c r="C594" s="105">
        <f>_xlfn.XLOOKUP(D594,ingredientes!B:B,ingredientes!A:A,"não")</f>
        <v>58</v>
      </c>
      <c r="D594" t="s">
        <v>618</v>
      </c>
      <c r="E594" s="65">
        <v>95</v>
      </c>
      <c r="H594">
        <f t="shared" si="89"/>
        <v>406</v>
      </c>
      <c r="I594">
        <f t="shared" si="87"/>
        <v>58</v>
      </c>
      <c r="J594">
        <f t="shared" si="88"/>
        <v>95</v>
      </c>
      <c r="K594">
        <f t="shared" si="90"/>
        <v>464</v>
      </c>
      <c r="M594">
        <v>406</v>
      </c>
      <c r="N594">
        <v>58</v>
      </c>
      <c r="O594">
        <v>95</v>
      </c>
      <c r="Q594" t="b">
        <f t="shared" si="91"/>
        <v>1</v>
      </c>
      <c r="R594" t="b">
        <f t="shared" si="92"/>
        <v>1</v>
      </c>
      <c r="S594" t="b">
        <f t="shared" si="93"/>
        <v>1</v>
      </c>
    </row>
    <row r="595" spans="1:19" x14ac:dyDescent="0.2">
      <c r="A595" s="106">
        <f>_xlfn.XLOOKUP(B595,pratos!B:B,pratos!A:A,"não")</f>
        <v>406</v>
      </c>
      <c r="B595" s="116" t="s">
        <v>468</v>
      </c>
      <c r="C595" s="105">
        <f>_xlfn.XLOOKUP(D595,ingredientes!B:B,ingredientes!A:A,"não")</f>
        <v>84</v>
      </c>
      <c r="D595" s="30" t="s">
        <v>635</v>
      </c>
      <c r="E595" s="82">
        <v>60</v>
      </c>
      <c r="H595">
        <f t="shared" si="89"/>
        <v>406</v>
      </c>
      <c r="I595">
        <f t="shared" si="87"/>
        <v>84</v>
      </c>
      <c r="J595">
        <f t="shared" si="88"/>
        <v>60</v>
      </c>
      <c r="K595">
        <f t="shared" si="90"/>
        <v>490</v>
      </c>
      <c r="M595">
        <v>406</v>
      </c>
      <c r="N595">
        <v>84</v>
      </c>
      <c r="O595">
        <v>60</v>
      </c>
      <c r="Q595" t="b">
        <f t="shared" si="91"/>
        <v>1</v>
      </c>
      <c r="R595" t="b">
        <f t="shared" si="92"/>
        <v>1</v>
      </c>
      <c r="S595" t="b">
        <f t="shared" si="93"/>
        <v>1</v>
      </c>
    </row>
    <row r="596" spans="1:19" x14ac:dyDescent="0.2">
      <c r="A596" s="106">
        <f>_xlfn.XLOOKUP(B596,pratos!B:B,pratos!A:A,"não")</f>
        <v>406</v>
      </c>
      <c r="B596" s="128" t="s">
        <v>468</v>
      </c>
      <c r="C596" s="105">
        <f>_xlfn.XLOOKUP(D596,ingredientes!B:B,ingredientes!A:A,"não")</f>
        <v>132</v>
      </c>
      <c r="D596" s="61" t="s">
        <v>463</v>
      </c>
      <c r="E596" s="82">
        <v>10</v>
      </c>
      <c r="H596">
        <f t="shared" si="89"/>
        <v>406</v>
      </c>
      <c r="I596">
        <f t="shared" si="87"/>
        <v>132</v>
      </c>
      <c r="J596">
        <f t="shared" si="88"/>
        <v>10</v>
      </c>
      <c r="K596">
        <f t="shared" si="90"/>
        <v>538</v>
      </c>
      <c r="M596">
        <v>406</v>
      </c>
      <c r="N596">
        <v>132</v>
      </c>
      <c r="O596">
        <v>10</v>
      </c>
      <c r="Q596" t="b">
        <f t="shared" si="91"/>
        <v>1</v>
      </c>
      <c r="R596" t="b">
        <f t="shared" si="92"/>
        <v>1</v>
      </c>
      <c r="S596" t="b">
        <f t="shared" si="93"/>
        <v>1</v>
      </c>
    </row>
    <row r="597" spans="1:19" x14ac:dyDescent="0.2">
      <c r="A597" s="106">
        <f>_xlfn.XLOOKUP(B597,pratos!B:B,pratos!A:A,"não")</f>
        <v>407</v>
      </c>
      <c r="B597" s="108" t="s">
        <v>114</v>
      </c>
      <c r="C597" s="105">
        <f>_xlfn.XLOOKUP(D597,ingredientes!B:B,ingredientes!A:A,"não")</f>
        <v>154</v>
      </c>
      <c r="D597" s="6" t="s">
        <v>115</v>
      </c>
      <c r="E597" s="5">
        <v>20</v>
      </c>
      <c r="H597">
        <f t="shared" si="89"/>
        <v>407</v>
      </c>
      <c r="I597">
        <f t="shared" si="87"/>
        <v>154</v>
      </c>
      <c r="J597">
        <f t="shared" si="88"/>
        <v>20</v>
      </c>
      <c r="K597">
        <f t="shared" si="90"/>
        <v>561</v>
      </c>
      <c r="M597">
        <v>407</v>
      </c>
      <c r="N597">
        <v>154</v>
      </c>
      <c r="O597">
        <v>20</v>
      </c>
      <c r="Q597" t="b">
        <f t="shared" si="91"/>
        <v>1</v>
      </c>
      <c r="R597" t="b">
        <f t="shared" si="92"/>
        <v>1</v>
      </c>
      <c r="S597" t="b">
        <f t="shared" si="93"/>
        <v>1</v>
      </c>
    </row>
    <row r="598" spans="1:19" x14ac:dyDescent="0.2">
      <c r="A598" s="106">
        <f>_xlfn.XLOOKUP(B598,pratos!B:B,pratos!A:A,"não")</f>
        <v>408</v>
      </c>
      <c r="B598" s="111" t="s">
        <v>125</v>
      </c>
      <c r="C598" s="105">
        <f>_xlfn.XLOOKUP(D598,ingredientes!B:B,ingredientes!A:A,"não")</f>
        <v>84</v>
      </c>
      <c r="D598" s="30" t="s">
        <v>635</v>
      </c>
      <c r="E598" s="27">
        <v>60</v>
      </c>
      <c r="H598">
        <f t="shared" si="89"/>
        <v>408</v>
      </c>
      <c r="I598">
        <f t="shared" si="87"/>
        <v>84</v>
      </c>
      <c r="J598">
        <f t="shared" si="88"/>
        <v>60</v>
      </c>
      <c r="K598">
        <f t="shared" si="90"/>
        <v>492</v>
      </c>
      <c r="M598">
        <v>408</v>
      </c>
      <c r="N598">
        <v>84</v>
      </c>
      <c r="O598">
        <v>60</v>
      </c>
      <c r="Q598" t="b">
        <f t="shared" si="91"/>
        <v>1</v>
      </c>
      <c r="R598" t="b">
        <f t="shared" si="92"/>
        <v>1</v>
      </c>
      <c r="S598" t="b">
        <f t="shared" si="93"/>
        <v>1</v>
      </c>
    </row>
    <row r="599" spans="1:19" x14ac:dyDescent="0.2">
      <c r="A599" s="106">
        <f>_xlfn.XLOOKUP(B599,pratos!B:B,pratos!A:A,"não")</f>
        <v>408</v>
      </c>
      <c r="B599" s="111" t="s">
        <v>125</v>
      </c>
      <c r="C599" s="105">
        <f>_xlfn.XLOOKUP(D599,ingredientes!B:B,ingredientes!A:A,"não")</f>
        <v>154</v>
      </c>
      <c r="D599" s="6" t="s">
        <v>115</v>
      </c>
      <c r="E599" s="26">
        <v>20</v>
      </c>
      <c r="H599">
        <f t="shared" si="89"/>
        <v>408</v>
      </c>
      <c r="I599">
        <f t="shared" si="87"/>
        <v>154</v>
      </c>
      <c r="J599">
        <f t="shared" si="88"/>
        <v>20</v>
      </c>
      <c r="K599">
        <f t="shared" si="90"/>
        <v>562</v>
      </c>
      <c r="M599">
        <v>408</v>
      </c>
      <c r="N599">
        <v>154</v>
      </c>
      <c r="O599">
        <v>20</v>
      </c>
      <c r="Q599" t="b">
        <f t="shared" si="91"/>
        <v>1</v>
      </c>
      <c r="R599" t="b">
        <f t="shared" si="92"/>
        <v>1</v>
      </c>
      <c r="S599" t="b">
        <f t="shared" si="93"/>
        <v>1</v>
      </c>
    </row>
    <row r="600" spans="1:19" x14ac:dyDescent="0.2">
      <c r="A600" s="106">
        <f>_xlfn.XLOOKUP(B600,pratos!B:B,pratos!A:A,"não")</f>
        <v>409</v>
      </c>
      <c r="B600" s="111" t="s">
        <v>373</v>
      </c>
      <c r="C600" s="105">
        <f>_xlfn.XLOOKUP(D600,ingredientes!B:B,ingredientes!A:A,"não")</f>
        <v>58</v>
      </c>
      <c r="D600" s="30" t="s">
        <v>618</v>
      </c>
      <c r="E600" s="19">
        <v>30</v>
      </c>
      <c r="H600">
        <f t="shared" si="89"/>
        <v>409</v>
      </c>
      <c r="I600">
        <f t="shared" si="87"/>
        <v>58</v>
      </c>
      <c r="J600">
        <f t="shared" si="88"/>
        <v>30</v>
      </c>
      <c r="K600">
        <f t="shared" si="90"/>
        <v>467</v>
      </c>
      <c r="M600">
        <v>409</v>
      </c>
      <c r="N600">
        <v>58</v>
      </c>
      <c r="O600">
        <v>30</v>
      </c>
      <c r="Q600" t="b">
        <f t="shared" si="91"/>
        <v>1</v>
      </c>
      <c r="R600" t="b">
        <f t="shared" si="92"/>
        <v>1</v>
      </c>
      <c r="S600" t="b">
        <f t="shared" si="93"/>
        <v>1</v>
      </c>
    </row>
    <row r="601" spans="1:19" x14ac:dyDescent="0.2">
      <c r="A601" s="106">
        <f>_xlfn.XLOOKUP(B601,pratos!B:B,pratos!A:A,"não")</f>
        <v>409</v>
      </c>
      <c r="B601" s="111" t="s">
        <v>373</v>
      </c>
      <c r="C601" s="105">
        <f>_xlfn.XLOOKUP(D601,ingredientes!B:B,ingredientes!A:A,"não")</f>
        <v>96</v>
      </c>
      <c r="D601" s="30" t="s">
        <v>641</v>
      </c>
      <c r="E601" s="10">
        <v>30</v>
      </c>
      <c r="H601">
        <f t="shared" si="89"/>
        <v>409</v>
      </c>
      <c r="I601">
        <f t="shared" si="87"/>
        <v>96</v>
      </c>
      <c r="J601">
        <f t="shared" si="88"/>
        <v>30</v>
      </c>
      <c r="K601">
        <f t="shared" si="90"/>
        <v>505</v>
      </c>
      <c r="M601">
        <v>409</v>
      </c>
      <c r="N601">
        <v>96</v>
      </c>
      <c r="O601">
        <v>30</v>
      </c>
      <c r="Q601" t="b">
        <f t="shared" si="91"/>
        <v>1</v>
      </c>
      <c r="R601" t="b">
        <f t="shared" si="92"/>
        <v>1</v>
      </c>
      <c r="S601" t="b">
        <f t="shared" si="93"/>
        <v>1</v>
      </c>
    </row>
    <row r="602" spans="1:19" x14ac:dyDescent="0.2">
      <c r="A602" s="106">
        <f>_xlfn.XLOOKUP(B602,pratos!B:B,pratos!A:A,"não")</f>
        <v>409</v>
      </c>
      <c r="B602" s="111" t="s">
        <v>373</v>
      </c>
      <c r="C602" s="105">
        <f>_xlfn.XLOOKUP(D602,ingredientes!B:B,ingredientes!A:A,"não")</f>
        <v>320</v>
      </c>
      <c r="D602" s="30" t="s">
        <v>705</v>
      </c>
      <c r="E602" s="10">
        <v>30</v>
      </c>
      <c r="H602">
        <f t="shared" si="89"/>
        <v>409</v>
      </c>
      <c r="I602">
        <f t="shared" si="87"/>
        <v>320</v>
      </c>
      <c r="J602">
        <f t="shared" si="88"/>
        <v>30</v>
      </c>
      <c r="K602">
        <f t="shared" si="90"/>
        <v>729</v>
      </c>
      <c r="M602">
        <v>409</v>
      </c>
      <c r="N602">
        <v>320</v>
      </c>
      <c r="O602">
        <v>30</v>
      </c>
      <c r="Q602" t="b">
        <f t="shared" si="91"/>
        <v>1</v>
      </c>
      <c r="R602" t="b">
        <f t="shared" si="92"/>
        <v>1</v>
      </c>
      <c r="S602" t="b">
        <f t="shared" si="93"/>
        <v>1</v>
      </c>
    </row>
    <row r="603" spans="1:19" x14ac:dyDescent="0.2">
      <c r="A603" s="106">
        <f>_xlfn.XLOOKUP(B603,pratos!B:B,pratos!A:A,"não")</f>
        <v>410</v>
      </c>
      <c r="B603" s="114" t="s">
        <v>245</v>
      </c>
      <c r="C603" s="105">
        <f>_xlfn.XLOOKUP(D603,ingredientes!B:B,ingredientes!A:A,"não")</f>
        <v>96</v>
      </c>
      <c r="D603" s="30" t="s">
        <v>641</v>
      </c>
      <c r="E603" s="10">
        <v>30</v>
      </c>
      <c r="H603">
        <f t="shared" si="89"/>
        <v>410</v>
      </c>
      <c r="I603">
        <f t="shared" si="87"/>
        <v>96</v>
      </c>
      <c r="J603">
        <f t="shared" si="88"/>
        <v>30</v>
      </c>
      <c r="K603">
        <f t="shared" si="90"/>
        <v>506</v>
      </c>
      <c r="M603">
        <v>410</v>
      </c>
      <c r="N603">
        <v>96</v>
      </c>
      <c r="O603">
        <v>30</v>
      </c>
      <c r="Q603" t="b">
        <f t="shared" si="91"/>
        <v>1</v>
      </c>
      <c r="R603" t="b">
        <f t="shared" si="92"/>
        <v>1</v>
      </c>
      <c r="S603" t="b">
        <f t="shared" si="93"/>
        <v>1</v>
      </c>
    </row>
    <row r="604" spans="1:19" x14ac:dyDescent="0.2">
      <c r="A604" s="106">
        <f>_xlfn.XLOOKUP(B604,pratos!B:B,pratos!A:A,"não")</f>
        <v>410</v>
      </c>
      <c r="B604" s="114" t="s">
        <v>245</v>
      </c>
      <c r="C604" s="105">
        <f>_xlfn.XLOOKUP(D604,ingredientes!B:B,ingredientes!A:A,"não")</f>
        <v>106</v>
      </c>
      <c r="D604" t="s">
        <v>645</v>
      </c>
      <c r="E604" s="10">
        <v>30</v>
      </c>
      <c r="H604">
        <f t="shared" si="89"/>
        <v>410</v>
      </c>
      <c r="I604">
        <f t="shared" si="87"/>
        <v>106</v>
      </c>
      <c r="J604">
        <f t="shared" si="88"/>
        <v>30</v>
      </c>
      <c r="K604">
        <f t="shared" si="90"/>
        <v>516</v>
      </c>
      <c r="M604">
        <v>410</v>
      </c>
      <c r="N604">
        <v>106</v>
      </c>
      <c r="O604">
        <v>30</v>
      </c>
      <c r="Q604" t="b">
        <f t="shared" si="91"/>
        <v>1</v>
      </c>
      <c r="R604" t="b">
        <f t="shared" si="92"/>
        <v>1</v>
      </c>
      <c r="S604" t="b">
        <f t="shared" si="93"/>
        <v>1</v>
      </c>
    </row>
    <row r="605" spans="1:19" x14ac:dyDescent="0.2">
      <c r="A605" s="106">
        <f>_xlfn.XLOOKUP(B605,pratos!B:B,pratos!A:A,"não")</f>
        <v>410</v>
      </c>
      <c r="B605" s="114" t="s">
        <v>245</v>
      </c>
      <c r="C605" s="105">
        <f>_xlfn.XLOOKUP(D605,ingredientes!B:B,ingredientes!A:A,"não")</f>
        <v>320</v>
      </c>
      <c r="D605" t="s">
        <v>705</v>
      </c>
      <c r="E605" s="10">
        <v>30</v>
      </c>
      <c r="H605">
        <f t="shared" si="89"/>
        <v>410</v>
      </c>
      <c r="I605">
        <f t="shared" si="87"/>
        <v>320</v>
      </c>
      <c r="J605">
        <f t="shared" si="88"/>
        <v>30</v>
      </c>
      <c r="K605">
        <f t="shared" si="90"/>
        <v>730</v>
      </c>
      <c r="M605">
        <v>410</v>
      </c>
      <c r="N605">
        <v>320</v>
      </c>
      <c r="O605">
        <v>30</v>
      </c>
      <c r="Q605" t="b">
        <f t="shared" si="91"/>
        <v>1</v>
      </c>
      <c r="R605" t="b">
        <f t="shared" si="92"/>
        <v>1</v>
      </c>
      <c r="S605" t="b">
        <f t="shared" si="93"/>
        <v>1</v>
      </c>
    </row>
    <row r="606" spans="1:19" x14ac:dyDescent="0.2">
      <c r="A606" s="106">
        <f>_xlfn.XLOOKUP(B606,pratos!B:B,pratos!A:A,"não")</f>
        <v>411</v>
      </c>
      <c r="B606" s="111" t="s">
        <v>248</v>
      </c>
      <c r="C606" s="105">
        <f>_xlfn.XLOOKUP(D606,ingredientes!B:B,ingredientes!A:A,"não")</f>
        <v>84</v>
      </c>
      <c r="D606" t="s">
        <v>635</v>
      </c>
      <c r="E606" s="19">
        <v>60</v>
      </c>
      <c r="H606">
        <f t="shared" si="89"/>
        <v>411</v>
      </c>
      <c r="I606">
        <f t="shared" si="87"/>
        <v>84</v>
      </c>
      <c r="J606">
        <f t="shared" si="88"/>
        <v>60</v>
      </c>
      <c r="K606">
        <f t="shared" si="90"/>
        <v>495</v>
      </c>
      <c r="M606">
        <v>411</v>
      </c>
      <c r="N606">
        <v>84</v>
      </c>
      <c r="O606">
        <v>60</v>
      </c>
      <c r="Q606" t="b">
        <f t="shared" si="91"/>
        <v>1</v>
      </c>
      <c r="R606" t="b">
        <f t="shared" si="92"/>
        <v>1</v>
      </c>
      <c r="S606" t="b">
        <f t="shared" si="93"/>
        <v>1</v>
      </c>
    </row>
    <row r="607" spans="1:19" x14ac:dyDescent="0.2">
      <c r="A607" s="106">
        <f>_xlfn.XLOOKUP(B607,pratos!B:B,pratos!A:A,"não")</f>
        <v>411</v>
      </c>
      <c r="B607" s="111" t="s">
        <v>248</v>
      </c>
      <c r="C607" s="105">
        <f>_xlfn.XLOOKUP(D607,ingredientes!B:B,ingredientes!A:A,"não")</f>
        <v>96</v>
      </c>
      <c r="D607" t="s">
        <v>641</v>
      </c>
      <c r="E607" s="10">
        <v>30</v>
      </c>
      <c r="H607">
        <f t="shared" si="89"/>
        <v>411</v>
      </c>
      <c r="I607">
        <f t="shared" si="87"/>
        <v>96</v>
      </c>
      <c r="J607">
        <f t="shared" si="88"/>
        <v>30</v>
      </c>
      <c r="K607">
        <f t="shared" si="90"/>
        <v>507</v>
      </c>
      <c r="M607">
        <v>411</v>
      </c>
      <c r="N607">
        <v>96</v>
      </c>
      <c r="O607">
        <v>30</v>
      </c>
      <c r="Q607" t="b">
        <f t="shared" si="91"/>
        <v>1</v>
      </c>
      <c r="R607" t="b">
        <f t="shared" si="92"/>
        <v>1</v>
      </c>
      <c r="S607" t="b">
        <f t="shared" si="93"/>
        <v>1</v>
      </c>
    </row>
    <row r="608" spans="1:19" x14ac:dyDescent="0.2">
      <c r="A608" s="106">
        <f>_xlfn.XLOOKUP(B608,pratos!B:B,pratos!A:A,"não")</f>
        <v>411</v>
      </c>
      <c r="B608" s="111" t="s">
        <v>248</v>
      </c>
      <c r="C608" s="105">
        <f>_xlfn.XLOOKUP(D608,ingredientes!B:B,ingredientes!A:A,"não")</f>
        <v>106</v>
      </c>
      <c r="D608" t="s">
        <v>645</v>
      </c>
      <c r="E608" s="10">
        <v>30</v>
      </c>
      <c r="H608">
        <f t="shared" si="89"/>
        <v>411</v>
      </c>
      <c r="I608">
        <f t="shared" si="87"/>
        <v>106</v>
      </c>
      <c r="J608">
        <f t="shared" si="88"/>
        <v>30</v>
      </c>
      <c r="K608">
        <f t="shared" si="90"/>
        <v>517</v>
      </c>
      <c r="M608">
        <v>411</v>
      </c>
      <c r="N608">
        <v>106</v>
      </c>
      <c r="O608">
        <v>30</v>
      </c>
      <c r="Q608" t="b">
        <f t="shared" si="91"/>
        <v>1</v>
      </c>
      <c r="R608" t="b">
        <f t="shared" si="92"/>
        <v>1</v>
      </c>
      <c r="S608" t="b">
        <f t="shared" si="93"/>
        <v>1</v>
      </c>
    </row>
    <row r="609" spans="1:19" x14ac:dyDescent="0.2">
      <c r="A609" s="106">
        <f>_xlfn.XLOOKUP(B609,pratos!B:B,pratos!A:A,"não")</f>
        <v>411</v>
      </c>
      <c r="B609" s="111" t="s">
        <v>248</v>
      </c>
      <c r="C609" s="105">
        <f>_xlfn.XLOOKUP(D609,ingredientes!B:B,ingredientes!A:A,"não")</f>
        <v>320</v>
      </c>
      <c r="D609" s="30" t="s">
        <v>705</v>
      </c>
      <c r="E609" s="10">
        <v>30</v>
      </c>
      <c r="H609">
        <f t="shared" si="89"/>
        <v>411</v>
      </c>
      <c r="I609">
        <f t="shared" si="87"/>
        <v>320</v>
      </c>
      <c r="J609">
        <f t="shared" si="88"/>
        <v>30</v>
      </c>
      <c r="K609">
        <f t="shared" si="90"/>
        <v>731</v>
      </c>
      <c r="M609">
        <v>411</v>
      </c>
      <c r="N609">
        <v>320</v>
      </c>
      <c r="O609">
        <v>30</v>
      </c>
      <c r="Q609" t="b">
        <f t="shared" si="91"/>
        <v>1</v>
      </c>
      <c r="R609" t="b">
        <f t="shared" si="92"/>
        <v>1</v>
      </c>
      <c r="S609" t="b">
        <f t="shared" si="93"/>
        <v>1</v>
      </c>
    </row>
    <row r="610" spans="1:19" x14ac:dyDescent="0.2">
      <c r="A610" s="106">
        <f>_xlfn.XLOOKUP(B610,pratos!B:B,pratos!A:A,"não")</f>
        <v>412</v>
      </c>
      <c r="B610" s="111" t="s">
        <v>371</v>
      </c>
      <c r="C610" s="105">
        <f>_xlfn.XLOOKUP(D610,ingredientes!B:B,ingredientes!A:A,"não")</f>
        <v>58</v>
      </c>
      <c r="D610" s="30" t="s">
        <v>618</v>
      </c>
      <c r="E610" s="19">
        <v>30</v>
      </c>
      <c r="H610">
        <f t="shared" si="89"/>
        <v>412</v>
      </c>
      <c r="I610">
        <f t="shared" si="87"/>
        <v>58</v>
      </c>
      <c r="J610">
        <f t="shared" si="88"/>
        <v>30</v>
      </c>
      <c r="K610">
        <f t="shared" si="90"/>
        <v>470</v>
      </c>
      <c r="M610">
        <v>412</v>
      </c>
      <c r="N610">
        <v>58</v>
      </c>
      <c r="O610">
        <v>30</v>
      </c>
      <c r="Q610" t="b">
        <f t="shared" si="91"/>
        <v>1</v>
      </c>
      <c r="R610" t="b">
        <f t="shared" si="92"/>
        <v>1</v>
      </c>
      <c r="S610" t="b">
        <f t="shared" si="93"/>
        <v>1</v>
      </c>
    </row>
    <row r="611" spans="1:19" x14ac:dyDescent="0.2">
      <c r="A611" s="106">
        <f>_xlfn.XLOOKUP(B611,pratos!B:B,pratos!A:A,"não")</f>
        <v>412</v>
      </c>
      <c r="B611" s="111" t="s">
        <v>371</v>
      </c>
      <c r="C611" s="105">
        <f>_xlfn.XLOOKUP(D611,ingredientes!B:B,ingredientes!A:A,"não")</f>
        <v>96</v>
      </c>
      <c r="D611" s="30" t="s">
        <v>641</v>
      </c>
      <c r="E611" s="10">
        <v>30</v>
      </c>
      <c r="H611">
        <f t="shared" si="89"/>
        <v>412</v>
      </c>
      <c r="I611">
        <f t="shared" si="87"/>
        <v>96</v>
      </c>
      <c r="J611">
        <f t="shared" si="88"/>
        <v>30</v>
      </c>
      <c r="K611">
        <f t="shared" si="90"/>
        <v>508</v>
      </c>
      <c r="M611">
        <v>412</v>
      </c>
      <c r="N611">
        <v>96</v>
      </c>
      <c r="O611">
        <v>30</v>
      </c>
      <c r="Q611" t="b">
        <f t="shared" si="91"/>
        <v>1</v>
      </c>
      <c r="R611" t="b">
        <f t="shared" si="92"/>
        <v>1</v>
      </c>
      <c r="S611" t="b">
        <f t="shared" si="93"/>
        <v>1</v>
      </c>
    </row>
    <row r="612" spans="1:19" x14ac:dyDescent="0.2">
      <c r="A612" s="106">
        <f>_xlfn.XLOOKUP(B612,pratos!B:B,pratos!A:A,"não")</f>
        <v>412</v>
      </c>
      <c r="B612" s="111" t="s">
        <v>371</v>
      </c>
      <c r="C612" s="105">
        <f>_xlfn.XLOOKUP(D612,ingredientes!B:B,ingredientes!A:A,"não")</f>
        <v>320</v>
      </c>
      <c r="D612" t="s">
        <v>705</v>
      </c>
      <c r="E612" s="10">
        <v>30</v>
      </c>
      <c r="H612">
        <f t="shared" si="89"/>
        <v>412</v>
      </c>
      <c r="I612">
        <f t="shared" si="87"/>
        <v>320</v>
      </c>
      <c r="J612">
        <f t="shared" si="88"/>
        <v>30</v>
      </c>
      <c r="K612">
        <f t="shared" si="90"/>
        <v>732</v>
      </c>
      <c r="M612">
        <v>412</v>
      </c>
      <c r="N612">
        <v>320</v>
      </c>
      <c r="O612">
        <v>30</v>
      </c>
      <c r="Q612" t="b">
        <f t="shared" si="91"/>
        <v>1</v>
      </c>
      <c r="R612" t="b">
        <f t="shared" si="92"/>
        <v>1</v>
      </c>
      <c r="S612" t="b">
        <f t="shared" si="93"/>
        <v>1</v>
      </c>
    </row>
    <row r="613" spans="1:19" x14ac:dyDescent="0.2">
      <c r="A613" s="106">
        <f>_xlfn.XLOOKUP(B613,pratos!B:B,pratos!A:A,"não")</f>
        <v>413</v>
      </c>
      <c r="B613" s="109" t="s">
        <v>586</v>
      </c>
      <c r="C613" s="105">
        <f>_xlfn.XLOOKUP(D613,ingredientes!B:B,ingredientes!A:A,"não")</f>
        <v>53</v>
      </c>
      <c r="D613" s="38" t="s">
        <v>65</v>
      </c>
      <c r="E613" s="10">
        <v>20</v>
      </c>
      <c r="H613">
        <f t="shared" si="89"/>
        <v>413</v>
      </c>
      <c r="I613">
        <f t="shared" si="87"/>
        <v>53</v>
      </c>
      <c r="J613">
        <f t="shared" si="88"/>
        <v>20</v>
      </c>
      <c r="K613">
        <f t="shared" si="90"/>
        <v>466</v>
      </c>
      <c r="M613">
        <v>413</v>
      </c>
      <c r="N613">
        <v>53</v>
      </c>
      <c r="O613">
        <v>20</v>
      </c>
      <c r="Q613" t="b">
        <f t="shared" si="91"/>
        <v>1</v>
      </c>
      <c r="R613" t="b">
        <f t="shared" si="92"/>
        <v>1</v>
      </c>
      <c r="S613" t="b">
        <f t="shared" si="93"/>
        <v>1</v>
      </c>
    </row>
    <row r="614" spans="1:19" x14ac:dyDescent="0.2">
      <c r="A614" s="106">
        <f>_xlfn.XLOOKUP(B614,pratos!B:B,pratos!A:A,"não")</f>
        <v>413</v>
      </c>
      <c r="B614" s="112" t="s">
        <v>586</v>
      </c>
      <c r="C614" s="105">
        <f>_xlfn.XLOOKUP(D614,ingredientes!B:B,ingredientes!A:A,"não")</f>
        <v>96</v>
      </c>
      <c r="D614" t="s">
        <v>641</v>
      </c>
      <c r="E614" s="68">
        <v>5</v>
      </c>
      <c r="H614">
        <f t="shared" si="89"/>
        <v>413</v>
      </c>
      <c r="I614">
        <f t="shared" si="87"/>
        <v>96</v>
      </c>
      <c r="J614">
        <f t="shared" si="88"/>
        <v>5</v>
      </c>
      <c r="K614">
        <f t="shared" si="90"/>
        <v>509</v>
      </c>
      <c r="M614">
        <v>413</v>
      </c>
      <c r="N614">
        <v>96</v>
      </c>
      <c r="O614">
        <v>5</v>
      </c>
      <c r="Q614" t="b">
        <f t="shared" si="91"/>
        <v>1</v>
      </c>
      <c r="R614" t="b">
        <f t="shared" si="92"/>
        <v>1</v>
      </c>
      <c r="S614" t="b">
        <f t="shared" si="93"/>
        <v>1</v>
      </c>
    </row>
    <row r="615" spans="1:19" x14ac:dyDescent="0.2">
      <c r="A615" s="106">
        <f>_xlfn.XLOOKUP(B615,pratos!B:B,pratos!A:A,"não")</f>
        <v>413</v>
      </c>
      <c r="B615" s="136" t="s">
        <v>586</v>
      </c>
      <c r="C615" s="105">
        <f>_xlfn.XLOOKUP(D615,ingredientes!B:B,ingredientes!A:A,"não")</f>
        <v>106</v>
      </c>
      <c r="D615" t="s">
        <v>645</v>
      </c>
      <c r="E615" s="63">
        <v>5</v>
      </c>
      <c r="H615">
        <f t="shared" si="89"/>
        <v>413</v>
      </c>
      <c r="I615">
        <f t="shared" si="87"/>
        <v>106</v>
      </c>
      <c r="J615">
        <f t="shared" si="88"/>
        <v>5</v>
      </c>
      <c r="K615">
        <f t="shared" si="90"/>
        <v>519</v>
      </c>
      <c r="M615">
        <v>413</v>
      </c>
      <c r="N615">
        <v>106</v>
      </c>
      <c r="O615">
        <v>5</v>
      </c>
      <c r="Q615" t="b">
        <f t="shared" si="91"/>
        <v>1</v>
      </c>
      <c r="R615" t="b">
        <f t="shared" si="92"/>
        <v>1</v>
      </c>
      <c r="S615" t="b">
        <f t="shared" si="93"/>
        <v>1</v>
      </c>
    </row>
    <row r="616" spans="1:19" x14ac:dyDescent="0.2">
      <c r="A616" s="106">
        <f>_xlfn.XLOOKUP(B616,pratos!B:B,pratos!A:A,"não")</f>
        <v>414</v>
      </c>
      <c r="B616" s="127" t="s">
        <v>396</v>
      </c>
      <c r="C616" s="105">
        <f>_xlfn.XLOOKUP(D616,ingredientes!B:B,ingredientes!A:A,"não")</f>
        <v>96</v>
      </c>
      <c r="D616" t="s">
        <v>641</v>
      </c>
      <c r="E616" s="74">
        <v>25</v>
      </c>
      <c r="H616">
        <f t="shared" si="89"/>
        <v>414</v>
      </c>
      <c r="I616">
        <f t="shared" si="87"/>
        <v>96</v>
      </c>
      <c r="J616">
        <f t="shared" si="88"/>
        <v>25</v>
      </c>
      <c r="K616">
        <f t="shared" si="90"/>
        <v>510</v>
      </c>
      <c r="M616">
        <v>414</v>
      </c>
      <c r="N616">
        <v>96</v>
      </c>
      <c r="O616">
        <v>25</v>
      </c>
      <c r="Q616" t="b">
        <f t="shared" si="91"/>
        <v>1</v>
      </c>
      <c r="R616" t="b">
        <f t="shared" si="92"/>
        <v>1</v>
      </c>
      <c r="S616" t="b">
        <f t="shared" si="93"/>
        <v>1</v>
      </c>
    </row>
    <row r="617" spans="1:19" x14ac:dyDescent="0.2">
      <c r="A617" s="106">
        <f>_xlfn.XLOOKUP(B617,pratos!B:B,pratos!A:A,"não")</f>
        <v>414</v>
      </c>
      <c r="B617" s="127" t="s">
        <v>396</v>
      </c>
      <c r="C617" s="105">
        <f>_xlfn.XLOOKUP(D617,ingredientes!B:B,ingredientes!A:A,"não")</f>
        <v>106</v>
      </c>
      <c r="D617" t="s">
        <v>645</v>
      </c>
      <c r="E617" s="74">
        <v>25</v>
      </c>
      <c r="H617">
        <f t="shared" si="89"/>
        <v>414</v>
      </c>
      <c r="I617">
        <f t="shared" si="87"/>
        <v>106</v>
      </c>
      <c r="J617">
        <f t="shared" si="88"/>
        <v>25</v>
      </c>
      <c r="K617">
        <f t="shared" si="90"/>
        <v>520</v>
      </c>
      <c r="M617">
        <v>414</v>
      </c>
      <c r="N617">
        <v>106</v>
      </c>
      <c r="O617">
        <v>25</v>
      </c>
      <c r="Q617" t="b">
        <f t="shared" si="91"/>
        <v>1</v>
      </c>
      <c r="R617" t="b">
        <f t="shared" si="92"/>
        <v>1</v>
      </c>
      <c r="S617" t="b">
        <f t="shared" si="93"/>
        <v>1</v>
      </c>
    </row>
    <row r="618" spans="1:19" x14ac:dyDescent="0.2">
      <c r="A618" s="106">
        <f>_xlfn.XLOOKUP(B618,pratos!B:B,pratos!A:A,"não")</f>
        <v>414</v>
      </c>
      <c r="B618" s="127" t="s">
        <v>396</v>
      </c>
      <c r="C618" s="105">
        <f>_xlfn.XLOOKUP(D618,ingredientes!B:B,ingredientes!A:A,"não")</f>
        <v>186</v>
      </c>
      <c r="D618" s="173" t="s">
        <v>397</v>
      </c>
      <c r="E618" s="74">
        <v>70</v>
      </c>
      <c r="H618">
        <f t="shared" si="89"/>
        <v>414</v>
      </c>
      <c r="I618">
        <f t="shared" si="87"/>
        <v>186</v>
      </c>
      <c r="J618">
        <f t="shared" si="88"/>
        <v>70</v>
      </c>
      <c r="K618">
        <f t="shared" si="90"/>
        <v>600</v>
      </c>
      <c r="M618">
        <v>414</v>
      </c>
      <c r="N618">
        <v>186</v>
      </c>
      <c r="O618">
        <v>70</v>
      </c>
      <c r="Q618" t="b">
        <f t="shared" si="91"/>
        <v>1</v>
      </c>
      <c r="R618" t="b">
        <f t="shared" si="92"/>
        <v>1</v>
      </c>
      <c r="S618" t="b">
        <f t="shared" si="93"/>
        <v>1</v>
      </c>
    </row>
    <row r="619" spans="1:19" x14ac:dyDescent="0.2">
      <c r="A619" s="106">
        <f>_xlfn.XLOOKUP(B619,pratos!B:B,pratos!A:A,"não")</f>
        <v>415</v>
      </c>
      <c r="B619" s="127" t="s">
        <v>399</v>
      </c>
      <c r="C619" s="105">
        <f>_xlfn.XLOOKUP(D619,ingredientes!B:B,ingredientes!A:A,"não")</f>
        <v>106</v>
      </c>
      <c r="D619" t="s">
        <v>645</v>
      </c>
      <c r="E619" s="74">
        <v>35</v>
      </c>
      <c r="H619">
        <f t="shared" si="89"/>
        <v>415</v>
      </c>
      <c r="I619">
        <f t="shared" si="87"/>
        <v>106</v>
      </c>
      <c r="J619">
        <f t="shared" si="88"/>
        <v>35</v>
      </c>
      <c r="K619">
        <f t="shared" si="90"/>
        <v>521</v>
      </c>
      <c r="M619">
        <v>415</v>
      </c>
      <c r="N619">
        <v>106</v>
      </c>
      <c r="O619">
        <v>35</v>
      </c>
      <c r="Q619" t="b">
        <f t="shared" si="91"/>
        <v>1</v>
      </c>
      <c r="R619" t="b">
        <f t="shared" si="92"/>
        <v>1</v>
      </c>
      <c r="S619" t="b">
        <f t="shared" si="93"/>
        <v>1</v>
      </c>
    </row>
    <row r="620" spans="1:19" x14ac:dyDescent="0.2">
      <c r="A620" s="106">
        <f>_xlfn.XLOOKUP(B620,pratos!B:B,pratos!A:A,"não")</f>
        <v>415</v>
      </c>
      <c r="B620" s="128" t="s">
        <v>399</v>
      </c>
      <c r="C620" s="105">
        <f>_xlfn.XLOOKUP(D620,ingredientes!B:B,ingredientes!A:A,"não")</f>
        <v>186</v>
      </c>
      <c r="D620" s="173" t="s">
        <v>397</v>
      </c>
      <c r="E620" s="74">
        <v>120</v>
      </c>
      <c r="H620">
        <f t="shared" si="89"/>
        <v>415</v>
      </c>
      <c r="I620">
        <f t="shared" si="87"/>
        <v>186</v>
      </c>
      <c r="J620">
        <f t="shared" si="88"/>
        <v>120</v>
      </c>
      <c r="K620">
        <f t="shared" si="90"/>
        <v>601</v>
      </c>
      <c r="M620">
        <v>415</v>
      </c>
      <c r="N620">
        <v>186</v>
      </c>
      <c r="O620">
        <v>120</v>
      </c>
      <c r="Q620" t="b">
        <f t="shared" si="91"/>
        <v>1</v>
      </c>
      <c r="R620" t="b">
        <f t="shared" si="92"/>
        <v>1</v>
      </c>
      <c r="S620" t="b">
        <f t="shared" si="93"/>
        <v>1</v>
      </c>
    </row>
    <row r="621" spans="1:19" x14ac:dyDescent="0.2">
      <c r="A621" s="106">
        <f>_xlfn.XLOOKUP(B621,pratos!B:B,pratos!A:A,"não")</f>
        <v>415</v>
      </c>
      <c r="B621" s="129" t="s">
        <v>399</v>
      </c>
      <c r="C621" s="105">
        <f>_xlfn.XLOOKUP(D621,ingredientes!B:B,ingredientes!A:A,"não")</f>
        <v>242</v>
      </c>
      <c r="D621" t="s">
        <v>276</v>
      </c>
      <c r="E621" s="10">
        <v>60</v>
      </c>
      <c r="H621">
        <f t="shared" si="89"/>
        <v>415</v>
      </c>
      <c r="I621">
        <f t="shared" si="87"/>
        <v>242</v>
      </c>
      <c r="J621">
        <f t="shared" si="88"/>
        <v>60</v>
      </c>
      <c r="K621">
        <f t="shared" si="90"/>
        <v>657</v>
      </c>
      <c r="M621">
        <v>415</v>
      </c>
      <c r="N621">
        <v>242</v>
      </c>
      <c r="O621">
        <v>60</v>
      </c>
      <c r="Q621" t="b">
        <f t="shared" si="91"/>
        <v>1</v>
      </c>
      <c r="R621" t="b">
        <f t="shared" si="92"/>
        <v>1</v>
      </c>
      <c r="S621" t="b">
        <f t="shared" si="93"/>
        <v>1</v>
      </c>
    </row>
    <row r="622" spans="1:19" x14ac:dyDescent="0.2">
      <c r="A622" s="106">
        <f>_xlfn.XLOOKUP(B622,pratos!B:B,pratos!A:A,"não")</f>
        <v>416</v>
      </c>
      <c r="B622" s="111" t="s">
        <v>285</v>
      </c>
      <c r="C622" s="105">
        <f>_xlfn.XLOOKUP(D622,ingredientes!B:B,ingredientes!A:A,"não")</f>
        <v>52</v>
      </c>
      <c r="D622" t="s">
        <v>614</v>
      </c>
      <c r="E622" s="56">
        <v>90</v>
      </c>
      <c r="H622">
        <f t="shared" si="89"/>
        <v>416</v>
      </c>
      <c r="I622">
        <f t="shared" si="87"/>
        <v>52</v>
      </c>
      <c r="J622">
        <f t="shared" si="88"/>
        <v>90</v>
      </c>
      <c r="K622">
        <f t="shared" si="90"/>
        <v>468</v>
      </c>
      <c r="M622">
        <v>416</v>
      </c>
      <c r="N622">
        <v>52</v>
      </c>
      <c r="O622">
        <v>90</v>
      </c>
      <c r="Q622" t="b">
        <f t="shared" ref="Q622:Q636" si="94">EXACT(H622,M622)</f>
        <v>1</v>
      </c>
      <c r="R622" t="b">
        <f t="shared" ref="R622:R636" si="95">EXACT(I622,N622)</f>
        <v>1</v>
      </c>
      <c r="S622" t="b">
        <f t="shared" ref="S622:S636" si="96">EXACT(J622,O622)</f>
        <v>1</v>
      </c>
    </row>
    <row r="623" spans="1:19" x14ac:dyDescent="0.2">
      <c r="A623" s="106">
        <f>_xlfn.XLOOKUP(B623,pratos!B:B,pratos!A:A,"não")</f>
        <v>417</v>
      </c>
      <c r="B623" s="111" t="s">
        <v>289</v>
      </c>
      <c r="C623" s="105">
        <f>_xlfn.XLOOKUP(D623,ingredientes!B:B,ingredientes!A:A,"não")</f>
        <v>52</v>
      </c>
      <c r="D623" t="s">
        <v>614</v>
      </c>
      <c r="E623" s="60">
        <v>90</v>
      </c>
      <c r="H623">
        <f t="shared" si="89"/>
        <v>417</v>
      </c>
      <c r="I623">
        <f t="shared" si="87"/>
        <v>52</v>
      </c>
      <c r="J623">
        <f t="shared" si="88"/>
        <v>90</v>
      </c>
      <c r="K623">
        <f t="shared" si="90"/>
        <v>469</v>
      </c>
      <c r="M623">
        <v>417</v>
      </c>
      <c r="N623">
        <v>52</v>
      </c>
      <c r="O623">
        <v>90</v>
      </c>
      <c r="Q623" t="b">
        <f t="shared" si="94"/>
        <v>1</v>
      </c>
      <c r="R623" t="b">
        <f t="shared" si="95"/>
        <v>1</v>
      </c>
      <c r="S623" t="b">
        <f t="shared" si="96"/>
        <v>1</v>
      </c>
    </row>
    <row r="624" spans="1:19" x14ac:dyDescent="0.2">
      <c r="A624" s="106">
        <f>_xlfn.XLOOKUP(B624,pratos!B:B,pratos!A:A,"não")</f>
        <v>417</v>
      </c>
      <c r="B624" s="111" t="s">
        <v>289</v>
      </c>
      <c r="C624" s="105">
        <f>_xlfn.XLOOKUP(D624,ingredientes!B:B,ingredientes!A:A,"não")</f>
        <v>242</v>
      </c>
      <c r="D624" s="152" t="s">
        <v>276</v>
      </c>
      <c r="E624" s="60">
        <v>60</v>
      </c>
      <c r="H624">
        <f t="shared" si="89"/>
        <v>417</v>
      </c>
      <c r="I624">
        <f t="shared" si="87"/>
        <v>242</v>
      </c>
      <c r="J624">
        <f t="shared" si="88"/>
        <v>60</v>
      </c>
      <c r="K624">
        <f t="shared" si="90"/>
        <v>659</v>
      </c>
      <c r="M624">
        <v>417</v>
      </c>
      <c r="N624">
        <v>242</v>
      </c>
      <c r="O624">
        <v>60</v>
      </c>
      <c r="Q624" t="b">
        <f t="shared" si="94"/>
        <v>1</v>
      </c>
      <c r="R624" t="b">
        <f t="shared" si="95"/>
        <v>1</v>
      </c>
      <c r="S624" t="b">
        <f t="shared" si="96"/>
        <v>1</v>
      </c>
    </row>
    <row r="625" spans="1:19" x14ac:dyDescent="0.2">
      <c r="A625" s="106">
        <f>_xlfn.XLOOKUP(B625,pratos!B:B,pratos!A:A,"não")</f>
        <v>419</v>
      </c>
      <c r="B625" s="109" t="s">
        <v>340</v>
      </c>
      <c r="C625" s="105">
        <f>_xlfn.XLOOKUP(D625,ingredientes!B:B,ingredientes!A:A,"não")</f>
        <v>304</v>
      </c>
      <c r="D625" t="s">
        <v>701</v>
      </c>
      <c r="E625" s="10">
        <v>100</v>
      </c>
      <c r="H625">
        <f t="shared" si="89"/>
        <v>419</v>
      </c>
      <c r="I625">
        <f t="shared" si="87"/>
        <v>304</v>
      </c>
      <c r="J625">
        <f t="shared" si="88"/>
        <v>100</v>
      </c>
      <c r="K625">
        <f t="shared" si="90"/>
        <v>723</v>
      </c>
      <c r="M625">
        <v>419</v>
      </c>
      <c r="N625">
        <v>304</v>
      </c>
      <c r="O625">
        <v>100</v>
      </c>
      <c r="Q625" t="b">
        <f t="shared" si="94"/>
        <v>1</v>
      </c>
      <c r="R625" t="b">
        <f t="shared" si="95"/>
        <v>1</v>
      </c>
      <c r="S625" t="b">
        <f t="shared" si="96"/>
        <v>1</v>
      </c>
    </row>
    <row r="626" spans="1:19" x14ac:dyDescent="0.2">
      <c r="A626" s="106" t="str">
        <f>_xlfn.XLOOKUP(B626,pratos!B:B,pratos!A:A,"não")</f>
        <v>não</v>
      </c>
      <c r="B626" s="111" t="s">
        <v>753</v>
      </c>
      <c r="C626" s="105">
        <f>_xlfn.XLOOKUP(D626,ingredientes!B:B,ingredientes!A:A,"não")</f>
        <v>258</v>
      </c>
      <c r="D626" s="178" t="s">
        <v>9</v>
      </c>
      <c r="E626" s="5">
        <v>50</v>
      </c>
      <c r="H626" t="str">
        <f t="shared" si="89"/>
        <v>não</v>
      </c>
      <c r="I626">
        <f t="shared" si="87"/>
        <v>258</v>
      </c>
      <c r="J626">
        <f t="shared" si="88"/>
        <v>50</v>
      </c>
      <c r="K626" t="e">
        <f t="shared" si="90"/>
        <v>#VALUE!</v>
      </c>
      <c r="Q626" t="b">
        <f t="shared" si="94"/>
        <v>0</v>
      </c>
      <c r="R626" t="b">
        <f t="shared" si="95"/>
        <v>0</v>
      </c>
      <c r="S626" t="b">
        <f t="shared" si="96"/>
        <v>0</v>
      </c>
    </row>
    <row r="627" spans="1:19" x14ac:dyDescent="0.2">
      <c r="A627" s="106">
        <f>_xlfn.XLOOKUP(B627,pratos!B:B,pratos!A:A,"não")</f>
        <v>425</v>
      </c>
      <c r="B627" s="130" t="s">
        <v>80</v>
      </c>
      <c r="C627" s="105">
        <f>_xlfn.XLOOKUP(D627,ingredientes!B:B,ingredientes!A:A,"não")</f>
        <v>259</v>
      </c>
      <c r="D627" s="30" t="s">
        <v>81</v>
      </c>
      <c r="E627" s="82">
        <v>25</v>
      </c>
      <c r="H627">
        <f t="shared" si="89"/>
        <v>425</v>
      </c>
      <c r="I627">
        <f t="shared" si="87"/>
        <v>259</v>
      </c>
      <c r="J627">
        <f t="shared" si="88"/>
        <v>25</v>
      </c>
      <c r="K627">
        <f t="shared" si="90"/>
        <v>684</v>
      </c>
      <c r="M627">
        <v>425</v>
      </c>
      <c r="N627">
        <v>259</v>
      </c>
      <c r="O627">
        <v>25</v>
      </c>
      <c r="Q627" t="b">
        <f t="shared" si="94"/>
        <v>1</v>
      </c>
      <c r="R627" t="b">
        <f t="shared" si="95"/>
        <v>1</v>
      </c>
      <c r="S627" t="b">
        <f t="shared" si="96"/>
        <v>1</v>
      </c>
    </row>
    <row r="628" spans="1:19" x14ac:dyDescent="0.2">
      <c r="A628" s="106" t="str">
        <f>_xlfn.XLOOKUP(B628,pratos!B:B,pratos!A:A,"não")</f>
        <v>não</v>
      </c>
      <c r="B628" s="111" t="s">
        <v>754</v>
      </c>
      <c r="C628" s="105">
        <f>_xlfn.XLOOKUP(D628,ingredientes!B:B,ingredientes!A:A,"não")</f>
        <v>261</v>
      </c>
      <c r="D628" s="9" t="s">
        <v>232</v>
      </c>
      <c r="E628" s="10">
        <v>50</v>
      </c>
      <c r="H628" t="str">
        <f t="shared" si="89"/>
        <v>não</v>
      </c>
      <c r="I628">
        <f t="shared" si="87"/>
        <v>261</v>
      </c>
      <c r="J628">
        <f t="shared" si="88"/>
        <v>50</v>
      </c>
      <c r="K628" t="e">
        <f t="shared" si="90"/>
        <v>#VALUE!</v>
      </c>
      <c r="Q628" t="b">
        <f t="shared" si="94"/>
        <v>0</v>
      </c>
      <c r="R628" t="b">
        <f t="shared" si="95"/>
        <v>0</v>
      </c>
      <c r="S628" t="b">
        <f t="shared" si="96"/>
        <v>0</v>
      </c>
    </row>
    <row r="629" spans="1:19" x14ac:dyDescent="0.2">
      <c r="A629" s="106" t="str">
        <f>_xlfn.XLOOKUP(B629,pratos!B:B,pratos!A:A,"não")</f>
        <v>não</v>
      </c>
      <c r="B629" s="108" t="s">
        <v>755</v>
      </c>
      <c r="C629" s="105">
        <f>_xlfn.XLOOKUP(D629,ingredientes!B:B,ingredientes!A:A,"não")</f>
        <v>262</v>
      </c>
      <c r="D629" s="4" t="s">
        <v>253</v>
      </c>
      <c r="E629" s="58">
        <v>35</v>
      </c>
      <c r="H629" t="str">
        <f t="shared" si="89"/>
        <v>não</v>
      </c>
      <c r="I629">
        <f t="shared" si="87"/>
        <v>262</v>
      </c>
      <c r="J629">
        <f t="shared" si="88"/>
        <v>35</v>
      </c>
      <c r="K629" t="e">
        <f t="shared" si="90"/>
        <v>#VALUE!</v>
      </c>
      <c r="Q629" t="b">
        <f t="shared" si="94"/>
        <v>0</v>
      </c>
      <c r="R629" t="b">
        <f t="shared" si="95"/>
        <v>0</v>
      </c>
      <c r="S629" t="b">
        <f t="shared" si="96"/>
        <v>0</v>
      </c>
    </row>
    <row r="630" spans="1:19" x14ac:dyDescent="0.2">
      <c r="A630" s="106" t="str">
        <f>_xlfn.XLOOKUP(B630,pratos!B:B,pratos!A:A,"não")</f>
        <v>não</v>
      </c>
      <c r="B630" s="111" t="s">
        <v>756</v>
      </c>
      <c r="C630" s="105">
        <f>_xlfn.XLOOKUP(D630,ingredientes!B:B,ingredientes!A:A,"não")</f>
        <v>263</v>
      </c>
      <c r="D630" s="9" t="s">
        <v>338</v>
      </c>
      <c r="E630" s="10">
        <v>50</v>
      </c>
      <c r="H630" t="str">
        <f t="shared" si="89"/>
        <v>não</v>
      </c>
      <c r="I630">
        <f t="shared" si="87"/>
        <v>263</v>
      </c>
      <c r="J630">
        <f t="shared" si="88"/>
        <v>50</v>
      </c>
      <c r="K630" t="e">
        <f t="shared" si="90"/>
        <v>#VALUE!</v>
      </c>
      <c r="Q630" t="b">
        <f t="shared" si="94"/>
        <v>0</v>
      </c>
      <c r="R630" t="b">
        <f t="shared" si="95"/>
        <v>0</v>
      </c>
      <c r="S630" t="b">
        <f t="shared" si="96"/>
        <v>0</v>
      </c>
    </row>
    <row r="631" spans="1:19" x14ac:dyDescent="0.2">
      <c r="A631" s="106">
        <f>_xlfn.XLOOKUP(B631,pratos!B:B,pratos!A:A,"não")</f>
        <v>432</v>
      </c>
      <c r="B631" s="111" t="s">
        <v>174</v>
      </c>
      <c r="C631" s="105">
        <f>_xlfn.XLOOKUP(D631,ingredientes!B:B,ingredientes!A:A,"não")</f>
        <v>265</v>
      </c>
      <c r="D631" s="6" t="s">
        <v>175</v>
      </c>
      <c r="E631" s="19">
        <v>40</v>
      </c>
      <c r="H631">
        <f t="shared" si="89"/>
        <v>432</v>
      </c>
      <c r="I631">
        <f t="shared" si="87"/>
        <v>265</v>
      </c>
      <c r="J631">
        <f t="shared" si="88"/>
        <v>40</v>
      </c>
      <c r="K631">
        <f t="shared" si="90"/>
        <v>697</v>
      </c>
      <c r="M631">
        <v>432</v>
      </c>
      <c r="N631">
        <v>265</v>
      </c>
      <c r="O631">
        <v>40</v>
      </c>
      <c r="Q631" t="b">
        <f t="shared" si="94"/>
        <v>1</v>
      </c>
      <c r="R631" t="b">
        <f t="shared" si="95"/>
        <v>1</v>
      </c>
      <c r="S631" t="b">
        <f t="shared" si="96"/>
        <v>1</v>
      </c>
    </row>
    <row r="632" spans="1:19" x14ac:dyDescent="0.2">
      <c r="A632" s="106">
        <f>_xlfn.XLOOKUP(B632,pratos!B:B,pratos!A:A,"não")</f>
        <v>422</v>
      </c>
      <c r="B632" s="108" t="s">
        <v>8</v>
      </c>
      <c r="C632" s="105">
        <f>_xlfn.XLOOKUP(D632,ingredientes!B:B,ingredientes!A:A,"não")</f>
        <v>17</v>
      </c>
      <c r="D632" s="7" t="s">
        <v>7</v>
      </c>
      <c r="E632" s="5">
        <v>20</v>
      </c>
      <c r="H632">
        <f t="shared" si="89"/>
        <v>422</v>
      </c>
      <c r="I632">
        <f t="shared" ref="I632:I674" si="97">C632</f>
        <v>17</v>
      </c>
      <c r="J632">
        <f t="shared" ref="J632:J674" si="98">E632</f>
        <v>20</v>
      </c>
      <c r="K632">
        <f t="shared" si="90"/>
        <v>439</v>
      </c>
      <c r="M632">
        <v>422</v>
      </c>
      <c r="N632">
        <v>17</v>
      </c>
      <c r="O632">
        <v>20</v>
      </c>
      <c r="Q632" t="b">
        <f t="shared" si="94"/>
        <v>1</v>
      </c>
      <c r="R632" t="b">
        <f t="shared" si="95"/>
        <v>1</v>
      </c>
      <c r="S632" t="b">
        <f t="shared" si="96"/>
        <v>1</v>
      </c>
    </row>
    <row r="633" spans="1:19" x14ac:dyDescent="0.2">
      <c r="A633" s="106">
        <f>_xlfn.XLOOKUP(B633,pratos!B:B,pratos!A:A,"não")</f>
        <v>422</v>
      </c>
      <c r="B633" s="108" t="s">
        <v>8</v>
      </c>
      <c r="C633" s="105">
        <f>_xlfn.XLOOKUP(D633,ingredientes!B:B,ingredientes!A:A,"não")</f>
        <v>258</v>
      </c>
      <c r="D633" s="6" t="s">
        <v>9</v>
      </c>
      <c r="E633" s="5">
        <v>50</v>
      </c>
      <c r="H633">
        <f t="shared" ref="H633:H675" si="99">A633</f>
        <v>422</v>
      </c>
      <c r="I633">
        <f t="shared" si="97"/>
        <v>258</v>
      </c>
      <c r="J633">
        <f t="shared" si="98"/>
        <v>50</v>
      </c>
      <c r="K633">
        <f t="shared" si="90"/>
        <v>680</v>
      </c>
      <c r="M633">
        <v>422</v>
      </c>
      <c r="N633">
        <v>258</v>
      </c>
      <c r="O633">
        <v>50</v>
      </c>
      <c r="Q633" t="b">
        <f t="shared" si="94"/>
        <v>1</v>
      </c>
      <c r="R633" t="b">
        <f t="shared" si="95"/>
        <v>1</v>
      </c>
      <c r="S633" t="b">
        <f t="shared" si="96"/>
        <v>1</v>
      </c>
    </row>
    <row r="634" spans="1:19" x14ac:dyDescent="0.2">
      <c r="A634" s="106">
        <f>_xlfn.XLOOKUP(B634,pratos!B:B,pratos!A:A,"não")</f>
        <v>423</v>
      </c>
      <c r="B634" s="130" t="s">
        <v>564</v>
      </c>
      <c r="C634" s="105">
        <f>_xlfn.XLOOKUP(D634,ingredientes!B:B,ingredientes!A:A,"não")</f>
        <v>259</v>
      </c>
      <c r="D634" s="30" t="s">
        <v>81</v>
      </c>
      <c r="E634" s="82">
        <v>50</v>
      </c>
      <c r="H634">
        <f t="shared" si="99"/>
        <v>423</v>
      </c>
      <c r="I634">
        <f t="shared" si="97"/>
        <v>259</v>
      </c>
      <c r="J634">
        <f t="shared" si="98"/>
        <v>50</v>
      </c>
      <c r="K634">
        <f t="shared" ref="K634:K675" si="100">H634+I634</f>
        <v>682</v>
      </c>
      <c r="M634">
        <v>423</v>
      </c>
      <c r="N634">
        <v>259</v>
      </c>
      <c r="O634">
        <v>50</v>
      </c>
      <c r="Q634" t="b">
        <f t="shared" si="94"/>
        <v>1</v>
      </c>
      <c r="R634" t="b">
        <f t="shared" si="95"/>
        <v>1</v>
      </c>
      <c r="S634" t="b">
        <f t="shared" si="96"/>
        <v>1</v>
      </c>
    </row>
    <row r="635" spans="1:19" x14ac:dyDescent="0.2">
      <c r="A635" s="106">
        <f>_xlfn.XLOOKUP(B635,pratos!B:B,pratos!A:A,"não")</f>
        <v>423</v>
      </c>
      <c r="B635" s="130" t="s">
        <v>564</v>
      </c>
      <c r="C635" s="105">
        <f>_xlfn.XLOOKUP(D635,ingredientes!B:B,ingredientes!A:A,"não")</f>
        <v>17</v>
      </c>
      <c r="D635" s="104" t="s">
        <v>7</v>
      </c>
      <c r="E635" s="63">
        <v>10</v>
      </c>
      <c r="H635">
        <f t="shared" si="99"/>
        <v>423</v>
      </c>
      <c r="I635">
        <f t="shared" si="97"/>
        <v>17</v>
      </c>
      <c r="J635">
        <f t="shared" si="98"/>
        <v>10</v>
      </c>
      <c r="K635">
        <f t="shared" si="100"/>
        <v>440</v>
      </c>
      <c r="M635">
        <v>423</v>
      </c>
      <c r="N635">
        <v>17</v>
      </c>
      <c r="O635">
        <v>10</v>
      </c>
      <c r="Q635" t="b">
        <f t="shared" si="94"/>
        <v>1</v>
      </c>
      <c r="R635" t="b">
        <f t="shared" si="95"/>
        <v>1</v>
      </c>
      <c r="S635" t="b">
        <f t="shared" si="96"/>
        <v>1</v>
      </c>
    </row>
    <row r="636" spans="1:19" x14ac:dyDescent="0.2">
      <c r="A636" s="106">
        <f>_xlfn.XLOOKUP(B636,pratos!B:B,pratos!A:A,"não")</f>
        <v>425</v>
      </c>
      <c r="B636" s="111" t="s">
        <v>80</v>
      </c>
      <c r="C636" s="105">
        <f>_xlfn.XLOOKUP(D636,ingredientes!B:B,ingredientes!A:A,"não")</f>
        <v>259</v>
      </c>
      <c r="D636" s="20" t="s">
        <v>81</v>
      </c>
      <c r="E636" s="19">
        <v>50</v>
      </c>
      <c r="H636">
        <f t="shared" si="99"/>
        <v>425</v>
      </c>
      <c r="I636">
        <f t="shared" si="97"/>
        <v>259</v>
      </c>
      <c r="J636">
        <f t="shared" si="98"/>
        <v>50</v>
      </c>
      <c r="K636">
        <f t="shared" si="100"/>
        <v>684</v>
      </c>
      <c r="M636">
        <v>425</v>
      </c>
      <c r="N636">
        <v>259</v>
      </c>
      <c r="O636">
        <f t="shared" ref="O636" si="101">J636</f>
        <v>50</v>
      </c>
      <c r="Q636" t="b">
        <f t="shared" si="94"/>
        <v>1</v>
      </c>
      <c r="R636" t="b">
        <f t="shared" si="95"/>
        <v>1</v>
      </c>
      <c r="S636" t="b">
        <f t="shared" si="96"/>
        <v>1</v>
      </c>
    </row>
    <row r="637" spans="1:19" x14ac:dyDescent="0.2">
      <c r="A637" s="106">
        <f>_xlfn.XLOOKUP(B637,pratos!B:B,pratos!A:A,"não")</f>
        <v>426</v>
      </c>
      <c r="B637" s="111" t="s">
        <v>231</v>
      </c>
      <c r="C637" s="105">
        <f>_xlfn.XLOOKUP(D637,ingredientes!B:B,ingredientes!A:A,"não")</f>
        <v>17</v>
      </c>
      <c r="D637" s="4" t="s">
        <v>7</v>
      </c>
      <c r="E637" s="5">
        <v>10</v>
      </c>
      <c r="H637">
        <f t="shared" si="99"/>
        <v>426</v>
      </c>
      <c r="I637">
        <f t="shared" si="97"/>
        <v>17</v>
      </c>
      <c r="J637">
        <f t="shared" si="98"/>
        <v>10</v>
      </c>
      <c r="K637">
        <f t="shared" si="100"/>
        <v>443</v>
      </c>
      <c r="Q637" t="b">
        <f t="shared" ref="Q637:Q675" si="102">EXACT(H637,M637)</f>
        <v>0</v>
      </c>
      <c r="R637" t="b">
        <f t="shared" ref="R637:R675" si="103">EXACT(I637,N637)</f>
        <v>0</v>
      </c>
      <c r="S637" t="b">
        <f t="shared" ref="S637:S675" si="104">EXACT(J637,O637)</f>
        <v>0</v>
      </c>
    </row>
    <row r="638" spans="1:19" x14ac:dyDescent="0.2">
      <c r="A638" s="106">
        <f>_xlfn.XLOOKUP(B638,pratos!B:B,pratos!A:A,"não")</f>
        <v>426</v>
      </c>
      <c r="B638" s="52" t="s">
        <v>231</v>
      </c>
      <c r="C638" s="105">
        <f>_xlfn.XLOOKUP(D638,ingredientes!B:B,ingredientes!A:A,"não")</f>
        <v>261</v>
      </c>
      <c r="D638" s="9" t="s">
        <v>232</v>
      </c>
      <c r="E638" s="10">
        <v>50</v>
      </c>
      <c r="H638">
        <f t="shared" si="99"/>
        <v>426</v>
      </c>
      <c r="I638">
        <f t="shared" si="97"/>
        <v>261</v>
      </c>
      <c r="J638">
        <f t="shared" si="98"/>
        <v>50</v>
      </c>
      <c r="K638">
        <f t="shared" si="100"/>
        <v>687</v>
      </c>
      <c r="Q638" t="b">
        <f t="shared" si="102"/>
        <v>0</v>
      </c>
      <c r="R638" t="b">
        <f t="shared" si="103"/>
        <v>0</v>
      </c>
      <c r="S638" t="b">
        <f t="shared" si="104"/>
        <v>0</v>
      </c>
    </row>
    <row r="639" spans="1:19" x14ac:dyDescent="0.2">
      <c r="A639" s="106">
        <f>_xlfn.XLOOKUP(B639,pratos!B:B,pratos!A:A,"não")</f>
        <v>427</v>
      </c>
      <c r="B639" s="108" t="s">
        <v>136</v>
      </c>
      <c r="C639" s="105">
        <f>_xlfn.XLOOKUP(D639,ingredientes!B:B,ingredientes!A:A,"não")</f>
        <v>17</v>
      </c>
      <c r="D639" s="37" t="s">
        <v>7</v>
      </c>
      <c r="E639" s="5">
        <v>23</v>
      </c>
      <c r="H639">
        <f t="shared" si="99"/>
        <v>427</v>
      </c>
      <c r="I639">
        <f t="shared" si="97"/>
        <v>17</v>
      </c>
      <c r="J639">
        <f t="shared" si="98"/>
        <v>23</v>
      </c>
      <c r="K639">
        <f t="shared" si="100"/>
        <v>444</v>
      </c>
      <c r="Q639" t="b">
        <f t="shared" si="102"/>
        <v>0</v>
      </c>
      <c r="R639" t="b">
        <f t="shared" si="103"/>
        <v>0</v>
      </c>
      <c r="S639" t="b">
        <f t="shared" si="104"/>
        <v>0</v>
      </c>
    </row>
    <row r="640" spans="1:19" x14ac:dyDescent="0.2">
      <c r="A640" s="106">
        <f>_xlfn.XLOOKUP(B640,pratos!B:B,pratos!A:A,"não")</f>
        <v>427</v>
      </c>
      <c r="B640" s="108" t="s">
        <v>136</v>
      </c>
      <c r="C640" s="105">
        <f>_xlfn.XLOOKUP(D640,ingredientes!B:B,ingredientes!A:A,"não")</f>
        <v>174</v>
      </c>
      <c r="D640" s="37" t="s">
        <v>137</v>
      </c>
      <c r="E640" s="5">
        <v>76</v>
      </c>
      <c r="H640">
        <f t="shared" si="99"/>
        <v>427</v>
      </c>
      <c r="I640">
        <f t="shared" si="97"/>
        <v>174</v>
      </c>
      <c r="J640">
        <f t="shared" si="98"/>
        <v>76</v>
      </c>
      <c r="K640">
        <f t="shared" si="100"/>
        <v>601</v>
      </c>
      <c r="Q640" t="b">
        <f t="shared" si="102"/>
        <v>0</v>
      </c>
      <c r="R640" t="b">
        <f t="shared" si="103"/>
        <v>0</v>
      </c>
      <c r="S640" t="b">
        <f t="shared" si="104"/>
        <v>0</v>
      </c>
    </row>
    <row r="641" spans="1:19" x14ac:dyDescent="0.2">
      <c r="A641" s="106">
        <f>_xlfn.XLOOKUP(B641,pratos!B:B,pratos!A:A,"não")</f>
        <v>427</v>
      </c>
      <c r="B641" s="108" t="s">
        <v>136</v>
      </c>
      <c r="C641" s="105">
        <f>_xlfn.XLOOKUP(D641,ingredientes!B:B,ingredientes!A:A,"não")</f>
        <v>258</v>
      </c>
      <c r="D641" s="36" t="s">
        <v>9</v>
      </c>
      <c r="E641" s="5">
        <v>19</v>
      </c>
      <c r="H641">
        <f t="shared" si="99"/>
        <v>427</v>
      </c>
      <c r="I641">
        <f t="shared" si="97"/>
        <v>258</v>
      </c>
      <c r="J641">
        <f t="shared" si="98"/>
        <v>19</v>
      </c>
      <c r="K641">
        <f t="shared" si="100"/>
        <v>685</v>
      </c>
      <c r="Q641" t="b">
        <f t="shared" si="102"/>
        <v>0</v>
      </c>
      <c r="R641" t="b">
        <f t="shared" si="103"/>
        <v>0</v>
      </c>
      <c r="S641" t="b">
        <f t="shared" si="104"/>
        <v>0</v>
      </c>
    </row>
    <row r="642" spans="1:19" x14ac:dyDescent="0.2">
      <c r="A642" s="106">
        <f>_xlfn.XLOOKUP(B642,pratos!B:B,pratos!A:A,"não")</f>
        <v>428</v>
      </c>
      <c r="B642" s="111" t="s">
        <v>75</v>
      </c>
      <c r="C642" s="105">
        <f>_xlfn.XLOOKUP(D642,ingredientes!B:B,ingredientes!A:A,"não")</f>
        <v>180</v>
      </c>
      <c r="D642" s="15" t="s">
        <v>76</v>
      </c>
      <c r="E642" s="23">
        <v>20</v>
      </c>
      <c r="H642">
        <f t="shared" si="99"/>
        <v>428</v>
      </c>
      <c r="I642">
        <f t="shared" si="97"/>
        <v>180</v>
      </c>
      <c r="J642">
        <f t="shared" si="98"/>
        <v>20</v>
      </c>
      <c r="K642">
        <f t="shared" si="100"/>
        <v>608</v>
      </c>
      <c r="Q642" t="b">
        <f t="shared" si="102"/>
        <v>0</v>
      </c>
      <c r="R642" t="b">
        <f t="shared" si="103"/>
        <v>0</v>
      </c>
      <c r="S642" t="b">
        <f t="shared" si="104"/>
        <v>0</v>
      </c>
    </row>
    <row r="643" spans="1:19" x14ac:dyDescent="0.2">
      <c r="A643" s="106">
        <f>_xlfn.XLOOKUP(B643,pratos!B:B,pratos!A:A,"não")</f>
        <v>429</v>
      </c>
      <c r="B643" s="112" t="s">
        <v>337</v>
      </c>
      <c r="C643" s="105">
        <f>_xlfn.XLOOKUP(D643,ingredientes!B:B,ingredientes!A:A,"não")</f>
        <v>263</v>
      </c>
      <c r="D643" s="99" t="s">
        <v>338</v>
      </c>
      <c r="E643" s="68">
        <v>40</v>
      </c>
      <c r="H643">
        <f t="shared" si="99"/>
        <v>429</v>
      </c>
      <c r="I643">
        <f t="shared" si="97"/>
        <v>263</v>
      </c>
      <c r="J643">
        <f t="shared" si="98"/>
        <v>40</v>
      </c>
      <c r="K643">
        <f t="shared" si="100"/>
        <v>692</v>
      </c>
      <c r="Q643" t="b">
        <f t="shared" si="102"/>
        <v>0</v>
      </c>
      <c r="R643" t="b">
        <f t="shared" si="103"/>
        <v>0</v>
      </c>
      <c r="S643" t="b">
        <f t="shared" si="104"/>
        <v>0</v>
      </c>
    </row>
    <row r="644" spans="1:19" x14ac:dyDescent="0.2">
      <c r="A644" s="106">
        <f>_xlfn.XLOOKUP(B644,pratos!B:B,pratos!A:A,"não")</f>
        <v>430</v>
      </c>
      <c r="B644" s="108" t="s">
        <v>181</v>
      </c>
      <c r="C644" s="105">
        <f>_xlfn.XLOOKUP(D644,ingredientes!B:B,ingredientes!A:A,"não")</f>
        <v>17</v>
      </c>
      <c r="D644" s="3" t="s">
        <v>7</v>
      </c>
      <c r="E644" s="5">
        <v>20</v>
      </c>
      <c r="H644">
        <f t="shared" si="99"/>
        <v>430</v>
      </c>
      <c r="I644">
        <f t="shared" si="97"/>
        <v>17</v>
      </c>
      <c r="J644">
        <f t="shared" si="98"/>
        <v>20</v>
      </c>
      <c r="K644">
        <f t="shared" si="100"/>
        <v>447</v>
      </c>
      <c r="Q644" t="b">
        <f t="shared" si="102"/>
        <v>0</v>
      </c>
      <c r="R644" t="b">
        <f t="shared" si="103"/>
        <v>0</v>
      </c>
      <c r="S644" t="b">
        <f t="shared" si="104"/>
        <v>0</v>
      </c>
    </row>
    <row r="645" spans="1:19" x14ac:dyDescent="0.2">
      <c r="A645" s="106">
        <f>_xlfn.XLOOKUP(B645,pratos!B:B,pratos!A:A,"não")</f>
        <v>432</v>
      </c>
      <c r="B645" s="111" t="s">
        <v>174</v>
      </c>
      <c r="C645" s="105">
        <f>_xlfn.XLOOKUP(D645,ingredientes!B:B,ingredientes!A:A,"não")</f>
        <v>265</v>
      </c>
      <c r="D645" s="20" t="s">
        <v>175</v>
      </c>
      <c r="E645" s="19">
        <v>40</v>
      </c>
      <c r="H645">
        <f t="shared" si="99"/>
        <v>432</v>
      </c>
      <c r="I645">
        <f t="shared" si="97"/>
        <v>265</v>
      </c>
      <c r="J645">
        <f t="shared" si="98"/>
        <v>40</v>
      </c>
      <c r="K645">
        <f t="shared" si="100"/>
        <v>697</v>
      </c>
      <c r="M645">
        <v>432</v>
      </c>
      <c r="N645">
        <v>265</v>
      </c>
      <c r="O645">
        <v>40</v>
      </c>
      <c r="Q645" t="b">
        <f t="shared" si="102"/>
        <v>1</v>
      </c>
      <c r="R645" t="b">
        <f t="shared" si="103"/>
        <v>1</v>
      </c>
      <c r="S645" t="b">
        <f t="shared" si="104"/>
        <v>1</v>
      </c>
    </row>
    <row r="646" spans="1:19" x14ac:dyDescent="0.2">
      <c r="A646" s="106">
        <f>_xlfn.XLOOKUP(B646,pratos!B:B,pratos!A:A,"não")</f>
        <v>433</v>
      </c>
      <c r="B646" s="108" t="s">
        <v>252</v>
      </c>
      <c r="C646" s="105">
        <f>_xlfn.XLOOKUP(D646,ingredientes!B:B,ingredientes!A:A,"não")</f>
        <v>17</v>
      </c>
      <c r="D646" s="3" t="s">
        <v>7</v>
      </c>
      <c r="E646" s="5">
        <v>10</v>
      </c>
      <c r="H646">
        <f t="shared" si="99"/>
        <v>433</v>
      </c>
      <c r="I646">
        <f t="shared" si="97"/>
        <v>17</v>
      </c>
      <c r="J646">
        <f t="shared" si="98"/>
        <v>10</v>
      </c>
      <c r="K646">
        <f t="shared" si="100"/>
        <v>450</v>
      </c>
      <c r="Q646" t="b">
        <f t="shared" si="102"/>
        <v>0</v>
      </c>
      <c r="R646" t="b">
        <f t="shared" si="103"/>
        <v>0</v>
      </c>
      <c r="S646" t="b">
        <f t="shared" si="104"/>
        <v>0</v>
      </c>
    </row>
    <row r="647" spans="1:19" x14ac:dyDescent="0.2">
      <c r="A647" s="106">
        <f>_xlfn.XLOOKUP(B647,pratos!B:B,pratos!A:A,"não")</f>
        <v>433</v>
      </c>
      <c r="B647" s="108" t="s">
        <v>252</v>
      </c>
      <c r="C647" s="105">
        <f>_xlfn.XLOOKUP(D647,ingredientes!B:B,ingredientes!A:A,"não")</f>
        <v>262</v>
      </c>
      <c r="D647" s="4" t="s">
        <v>253</v>
      </c>
      <c r="E647" s="5">
        <v>35</v>
      </c>
      <c r="H647">
        <f t="shared" si="99"/>
        <v>433</v>
      </c>
      <c r="I647">
        <f t="shared" si="97"/>
        <v>262</v>
      </c>
      <c r="J647">
        <f t="shared" si="98"/>
        <v>35</v>
      </c>
      <c r="K647">
        <f t="shared" si="100"/>
        <v>695</v>
      </c>
      <c r="Q647" t="b">
        <f t="shared" si="102"/>
        <v>0</v>
      </c>
      <c r="R647" t="b">
        <f t="shared" si="103"/>
        <v>0</v>
      </c>
      <c r="S647" t="b">
        <f t="shared" si="104"/>
        <v>0</v>
      </c>
    </row>
    <row r="648" spans="1:19" x14ac:dyDescent="0.2">
      <c r="A648" s="106">
        <f>_xlfn.XLOOKUP(B648,pratos!B:B,pratos!A:A,"não")</f>
        <v>433</v>
      </c>
      <c r="B648" s="108" t="s">
        <v>252</v>
      </c>
      <c r="C648" s="105">
        <f>_xlfn.XLOOKUP(D648,ingredientes!B:B,ingredientes!A:A,"não")</f>
        <v>265</v>
      </c>
      <c r="D648" s="20" t="s">
        <v>175</v>
      </c>
      <c r="E648" s="19">
        <v>20</v>
      </c>
      <c r="H648">
        <f t="shared" si="99"/>
        <v>433</v>
      </c>
      <c r="I648">
        <f t="shared" si="97"/>
        <v>265</v>
      </c>
      <c r="J648">
        <f t="shared" si="98"/>
        <v>20</v>
      </c>
      <c r="K648">
        <f t="shared" si="100"/>
        <v>698</v>
      </c>
      <c r="Q648" t="b">
        <f t="shared" si="102"/>
        <v>0</v>
      </c>
      <c r="R648" t="b">
        <f t="shared" si="103"/>
        <v>0</v>
      </c>
      <c r="S648" t="b">
        <f t="shared" si="104"/>
        <v>0</v>
      </c>
    </row>
    <row r="649" spans="1:19" x14ac:dyDescent="0.2">
      <c r="A649" s="106">
        <f>_xlfn.XLOOKUP(B649,pratos!B:B,pratos!A:A,"não")</f>
        <v>434</v>
      </c>
      <c r="B649" s="52" t="s">
        <v>417</v>
      </c>
      <c r="C649" s="105">
        <f>_xlfn.XLOOKUP(D649,ingredientes!B:B,ingredientes!A:A,"não")</f>
        <v>307</v>
      </c>
      <c r="D649" s="30" t="s">
        <v>703</v>
      </c>
      <c r="E649" s="65">
        <v>100</v>
      </c>
      <c r="H649">
        <f t="shared" si="99"/>
        <v>434</v>
      </c>
      <c r="I649">
        <f t="shared" si="97"/>
        <v>307</v>
      </c>
      <c r="J649">
        <f t="shared" si="98"/>
        <v>100</v>
      </c>
      <c r="K649">
        <f t="shared" si="100"/>
        <v>741</v>
      </c>
      <c r="M649">
        <v>434</v>
      </c>
      <c r="N649">
        <v>307</v>
      </c>
      <c r="O649">
        <v>100</v>
      </c>
      <c r="Q649" t="b">
        <f t="shared" si="102"/>
        <v>1</v>
      </c>
      <c r="R649" t="b">
        <f t="shared" si="103"/>
        <v>1</v>
      </c>
      <c r="S649" t="b">
        <f t="shared" si="104"/>
        <v>1</v>
      </c>
    </row>
    <row r="650" spans="1:19" x14ac:dyDescent="0.2">
      <c r="A650" s="106">
        <f>_xlfn.XLOOKUP(B650,pratos!B:B,pratos!A:A,"não")</f>
        <v>435</v>
      </c>
      <c r="B650" s="111" t="s">
        <v>323</v>
      </c>
      <c r="C650" s="105">
        <f>_xlfn.XLOOKUP(D650,ingredientes!B:B,ingredientes!A:A,"não")</f>
        <v>246</v>
      </c>
      <c r="D650" s="40" t="s">
        <v>324</v>
      </c>
      <c r="E650" s="19">
        <v>25</v>
      </c>
      <c r="H650">
        <f t="shared" si="99"/>
        <v>435</v>
      </c>
      <c r="I650">
        <f t="shared" si="97"/>
        <v>246</v>
      </c>
      <c r="J650">
        <f t="shared" si="98"/>
        <v>25</v>
      </c>
      <c r="K650">
        <f t="shared" si="100"/>
        <v>681</v>
      </c>
      <c r="M650">
        <v>435</v>
      </c>
      <c r="N650">
        <v>246</v>
      </c>
      <c r="O650">
        <v>25</v>
      </c>
      <c r="Q650" t="b">
        <f t="shared" si="102"/>
        <v>1</v>
      </c>
      <c r="R650" t="b">
        <f t="shared" si="103"/>
        <v>1</v>
      </c>
      <c r="S650" t="b">
        <f t="shared" si="104"/>
        <v>1</v>
      </c>
    </row>
    <row r="651" spans="1:19" x14ac:dyDescent="0.2">
      <c r="A651" s="106">
        <f>_xlfn.XLOOKUP(B651,pratos!B:B,pratos!A:A,"não")</f>
        <v>435</v>
      </c>
      <c r="B651" s="111" t="s">
        <v>323</v>
      </c>
      <c r="C651" s="105">
        <f>_xlfn.XLOOKUP(D651,ingredientes!B:B,ingredientes!A:A,"não")</f>
        <v>313</v>
      </c>
      <c r="D651" s="43" t="s">
        <v>25</v>
      </c>
      <c r="E651" s="19">
        <v>25</v>
      </c>
      <c r="H651">
        <f t="shared" si="99"/>
        <v>435</v>
      </c>
      <c r="I651">
        <f t="shared" si="97"/>
        <v>313</v>
      </c>
      <c r="J651">
        <f t="shared" si="98"/>
        <v>25</v>
      </c>
      <c r="K651">
        <f t="shared" si="100"/>
        <v>748</v>
      </c>
      <c r="M651">
        <v>435</v>
      </c>
      <c r="N651">
        <v>313</v>
      </c>
      <c r="O651">
        <v>25</v>
      </c>
      <c r="Q651" t="b">
        <f t="shared" si="102"/>
        <v>1</v>
      </c>
      <c r="R651" t="b">
        <f t="shared" si="103"/>
        <v>1</v>
      </c>
      <c r="S651" t="b">
        <f t="shared" si="104"/>
        <v>1</v>
      </c>
    </row>
    <row r="652" spans="1:19" x14ac:dyDescent="0.2">
      <c r="A652" s="106">
        <f>_xlfn.XLOOKUP(B652,pratos!B:B,pratos!A:A,"não")</f>
        <v>436</v>
      </c>
      <c r="B652" s="123" t="s">
        <v>393</v>
      </c>
      <c r="C652" s="105">
        <f>_xlfn.XLOOKUP(D652,ingredientes!B:B,ingredientes!A:A,"não")</f>
        <v>313</v>
      </c>
      <c r="D652" s="70" t="s">
        <v>25</v>
      </c>
      <c r="E652" s="51">
        <v>50</v>
      </c>
      <c r="H652">
        <f t="shared" si="99"/>
        <v>436</v>
      </c>
      <c r="I652">
        <f t="shared" si="97"/>
        <v>313</v>
      </c>
      <c r="J652">
        <f t="shared" si="98"/>
        <v>50</v>
      </c>
      <c r="K652">
        <f t="shared" si="100"/>
        <v>749</v>
      </c>
      <c r="M652">
        <v>436</v>
      </c>
      <c r="N652">
        <v>313</v>
      </c>
      <c r="O652">
        <v>50</v>
      </c>
      <c r="Q652" t="b">
        <f t="shared" si="102"/>
        <v>1</v>
      </c>
      <c r="R652" t="b">
        <f t="shared" si="103"/>
        <v>1</v>
      </c>
      <c r="S652" t="b">
        <f t="shared" si="104"/>
        <v>1</v>
      </c>
    </row>
    <row r="653" spans="1:19" x14ac:dyDescent="0.2">
      <c r="A653" s="106">
        <f>_xlfn.XLOOKUP(B653,pratos!B:B,pratos!A:A,"não")</f>
        <v>437</v>
      </c>
      <c r="B653" s="109" t="s">
        <v>281</v>
      </c>
      <c r="C653" s="105">
        <f>_xlfn.XLOOKUP(D653,ingredientes!B:B,ingredientes!A:A,"não")</f>
        <v>317</v>
      </c>
      <c r="D653" s="29" t="s">
        <v>282</v>
      </c>
      <c r="E653" s="19">
        <v>100</v>
      </c>
      <c r="H653">
        <f t="shared" si="99"/>
        <v>437</v>
      </c>
      <c r="I653">
        <f t="shared" si="97"/>
        <v>317</v>
      </c>
      <c r="J653">
        <f t="shared" si="98"/>
        <v>100</v>
      </c>
      <c r="K653">
        <f t="shared" si="100"/>
        <v>754</v>
      </c>
      <c r="M653">
        <v>437</v>
      </c>
      <c r="N653">
        <v>317</v>
      </c>
      <c r="O653">
        <v>100</v>
      </c>
      <c r="Q653" t="b">
        <f t="shared" si="102"/>
        <v>1</v>
      </c>
      <c r="R653" t="b">
        <f t="shared" si="103"/>
        <v>1</v>
      </c>
      <c r="S653" t="b">
        <f t="shared" si="104"/>
        <v>1</v>
      </c>
    </row>
    <row r="654" spans="1:19" x14ac:dyDescent="0.2">
      <c r="A654" s="106">
        <f>_xlfn.XLOOKUP(B654,pratos!B:B,pratos!A:A,"não")</f>
        <v>439</v>
      </c>
      <c r="B654" s="52" t="s">
        <v>36</v>
      </c>
      <c r="C654" s="105">
        <f>_xlfn.XLOOKUP(D654,ingredientes!B:B,ingredientes!A:A,"não")</f>
        <v>321</v>
      </c>
      <c r="D654" s="9" t="s">
        <v>36</v>
      </c>
      <c r="E654" s="10">
        <v>8</v>
      </c>
      <c r="H654">
        <f t="shared" si="99"/>
        <v>439</v>
      </c>
      <c r="I654">
        <f t="shared" si="97"/>
        <v>321</v>
      </c>
      <c r="J654">
        <f t="shared" si="98"/>
        <v>8</v>
      </c>
      <c r="K654">
        <f t="shared" si="100"/>
        <v>760</v>
      </c>
      <c r="M654">
        <v>439</v>
      </c>
      <c r="N654">
        <v>321</v>
      </c>
      <c r="O654">
        <v>8</v>
      </c>
      <c r="Q654" t="b">
        <f t="shared" si="102"/>
        <v>1</v>
      </c>
      <c r="R654" t="b">
        <f t="shared" si="103"/>
        <v>1</v>
      </c>
      <c r="S654" t="b">
        <f t="shared" si="104"/>
        <v>1</v>
      </c>
    </row>
    <row r="655" spans="1:19" x14ac:dyDescent="0.2">
      <c r="A655" s="106">
        <f>_xlfn.XLOOKUP(B655,pratos!B:B,pratos!A:A,"não")</f>
        <v>440</v>
      </c>
      <c r="B655" s="52" t="s">
        <v>346</v>
      </c>
      <c r="C655" s="105">
        <f>_xlfn.XLOOKUP(D655,ingredientes!B:B,ingredientes!A:A,"não")</f>
        <v>10</v>
      </c>
      <c r="D655" s="30" t="s">
        <v>600</v>
      </c>
      <c r="E655" s="17">
        <v>30</v>
      </c>
      <c r="H655">
        <f t="shared" si="99"/>
        <v>440</v>
      </c>
      <c r="I655">
        <f t="shared" si="97"/>
        <v>10</v>
      </c>
      <c r="J655">
        <f t="shared" si="98"/>
        <v>30</v>
      </c>
      <c r="K655">
        <f t="shared" si="100"/>
        <v>450</v>
      </c>
      <c r="M655">
        <v>440</v>
      </c>
      <c r="N655">
        <v>10</v>
      </c>
      <c r="O655">
        <v>30</v>
      </c>
      <c r="Q655" t="b">
        <f t="shared" si="102"/>
        <v>1</v>
      </c>
      <c r="R655" t="b">
        <f t="shared" si="103"/>
        <v>1</v>
      </c>
      <c r="S655" t="b">
        <f t="shared" si="104"/>
        <v>1</v>
      </c>
    </row>
    <row r="656" spans="1:19" x14ac:dyDescent="0.2">
      <c r="A656" s="106">
        <f>_xlfn.XLOOKUP(B656,pratos!B:B,pratos!A:A,"não")</f>
        <v>440</v>
      </c>
      <c r="B656" s="52" t="s">
        <v>346</v>
      </c>
      <c r="C656" s="105">
        <f>_xlfn.XLOOKUP(D656,ingredientes!B:B,ingredientes!A:A,"não")</f>
        <v>136</v>
      </c>
      <c r="D656" s="12" t="s">
        <v>347</v>
      </c>
      <c r="E656" s="17">
        <v>50</v>
      </c>
      <c r="H656">
        <f t="shared" si="99"/>
        <v>440</v>
      </c>
      <c r="I656">
        <f t="shared" si="97"/>
        <v>136</v>
      </c>
      <c r="J656">
        <f t="shared" si="98"/>
        <v>50</v>
      </c>
      <c r="K656">
        <f t="shared" si="100"/>
        <v>576</v>
      </c>
      <c r="M656">
        <v>440</v>
      </c>
      <c r="N656">
        <v>136</v>
      </c>
      <c r="O656">
        <v>50</v>
      </c>
      <c r="Q656" t="b">
        <f t="shared" si="102"/>
        <v>1</v>
      </c>
      <c r="R656" t="b">
        <f t="shared" si="103"/>
        <v>1</v>
      </c>
      <c r="S656" t="b">
        <f t="shared" si="104"/>
        <v>1</v>
      </c>
    </row>
    <row r="657" spans="1:19" x14ac:dyDescent="0.2">
      <c r="A657" s="106">
        <f>_xlfn.XLOOKUP(B657,pratos!B:B,pratos!A:A,"não")</f>
        <v>440</v>
      </c>
      <c r="B657" s="52" t="s">
        <v>346</v>
      </c>
      <c r="C657" s="105">
        <f>_xlfn.XLOOKUP(D657,ingredientes!B:B,ingredientes!A:A,"não")</f>
        <v>199</v>
      </c>
      <c r="D657" s="151" t="s">
        <v>95</v>
      </c>
      <c r="E657" s="26">
        <v>5</v>
      </c>
      <c r="H657">
        <f t="shared" si="99"/>
        <v>440</v>
      </c>
      <c r="I657">
        <f t="shared" si="97"/>
        <v>199</v>
      </c>
      <c r="J657">
        <f t="shared" si="98"/>
        <v>5</v>
      </c>
      <c r="K657">
        <f t="shared" si="100"/>
        <v>639</v>
      </c>
      <c r="M657">
        <v>440</v>
      </c>
      <c r="N657">
        <v>199</v>
      </c>
      <c r="O657">
        <v>5</v>
      </c>
      <c r="Q657" t="b">
        <f t="shared" si="102"/>
        <v>1</v>
      </c>
      <c r="R657" t="b">
        <f t="shared" si="103"/>
        <v>1</v>
      </c>
      <c r="S657" t="b">
        <f t="shared" si="104"/>
        <v>1</v>
      </c>
    </row>
    <row r="658" spans="1:19" x14ac:dyDescent="0.2">
      <c r="A658" s="106">
        <f>_xlfn.XLOOKUP(B658,pratos!B:B,pratos!A:A,"não")</f>
        <v>440</v>
      </c>
      <c r="B658" s="52" t="s">
        <v>346</v>
      </c>
      <c r="C658" s="105">
        <f>_xlfn.XLOOKUP(D658,ingredientes!B:B,ingredientes!A:A,"não")</f>
        <v>223</v>
      </c>
      <c r="D658" s="154" t="s">
        <v>348</v>
      </c>
      <c r="E658" s="17">
        <v>15</v>
      </c>
      <c r="H658">
        <f t="shared" si="99"/>
        <v>440</v>
      </c>
      <c r="I658">
        <f t="shared" si="97"/>
        <v>223</v>
      </c>
      <c r="J658">
        <f t="shared" si="98"/>
        <v>15</v>
      </c>
      <c r="K658">
        <f t="shared" si="100"/>
        <v>663</v>
      </c>
      <c r="M658">
        <v>440</v>
      </c>
      <c r="N658">
        <v>223</v>
      </c>
      <c r="O658">
        <v>15</v>
      </c>
      <c r="Q658" t="b">
        <f t="shared" si="102"/>
        <v>1</v>
      </c>
      <c r="R658" t="b">
        <f t="shared" si="103"/>
        <v>1</v>
      </c>
      <c r="S658" t="b">
        <f t="shared" si="104"/>
        <v>1</v>
      </c>
    </row>
    <row r="659" spans="1:19" x14ac:dyDescent="0.2">
      <c r="A659" s="106">
        <f>_xlfn.XLOOKUP(B659,pratos!B:B,pratos!A:A,"não")</f>
        <v>441</v>
      </c>
      <c r="B659" s="52" t="s">
        <v>454</v>
      </c>
      <c r="C659" s="105">
        <f>_xlfn.XLOOKUP(D659,ingredientes!B:B,ingredientes!A:A,"não")</f>
        <v>111</v>
      </c>
      <c r="D659" s="152" t="s">
        <v>455</v>
      </c>
      <c r="E659" s="17">
        <v>15</v>
      </c>
      <c r="H659">
        <f t="shared" si="99"/>
        <v>441</v>
      </c>
      <c r="I659">
        <f t="shared" si="97"/>
        <v>111</v>
      </c>
      <c r="J659">
        <f t="shared" si="98"/>
        <v>15</v>
      </c>
      <c r="K659">
        <f t="shared" si="100"/>
        <v>552</v>
      </c>
      <c r="M659">
        <v>441</v>
      </c>
      <c r="N659">
        <v>111</v>
      </c>
      <c r="O659">
        <v>15</v>
      </c>
      <c r="Q659" t="b">
        <f t="shared" si="102"/>
        <v>1</v>
      </c>
      <c r="R659" t="b">
        <f t="shared" si="103"/>
        <v>1</v>
      </c>
      <c r="S659" t="b">
        <f t="shared" si="104"/>
        <v>1</v>
      </c>
    </row>
    <row r="660" spans="1:19" x14ac:dyDescent="0.2">
      <c r="A660" s="106">
        <f>_xlfn.XLOOKUP(B660,pratos!B:B,pratos!A:A,"não")</f>
        <v>441</v>
      </c>
      <c r="B660" s="52" t="s">
        <v>454</v>
      </c>
      <c r="C660" s="105">
        <f>_xlfn.XLOOKUP(D660,ingredientes!B:B,ingredientes!A:A,"não")</f>
        <v>136</v>
      </c>
      <c r="D660" s="151" t="s">
        <v>347</v>
      </c>
      <c r="E660" s="17">
        <v>55</v>
      </c>
      <c r="H660">
        <f t="shared" si="99"/>
        <v>441</v>
      </c>
      <c r="I660">
        <f t="shared" si="97"/>
        <v>136</v>
      </c>
      <c r="J660">
        <f t="shared" si="98"/>
        <v>55</v>
      </c>
      <c r="K660">
        <f t="shared" si="100"/>
        <v>577</v>
      </c>
      <c r="M660">
        <v>441</v>
      </c>
      <c r="N660">
        <v>136</v>
      </c>
      <c r="O660">
        <v>55</v>
      </c>
      <c r="Q660" t="b">
        <f t="shared" si="102"/>
        <v>1</v>
      </c>
      <c r="R660" t="b">
        <f t="shared" si="103"/>
        <v>1</v>
      </c>
      <c r="S660" t="b">
        <f t="shared" si="104"/>
        <v>1</v>
      </c>
    </row>
    <row r="661" spans="1:19" x14ac:dyDescent="0.2">
      <c r="A661" s="106">
        <f>_xlfn.XLOOKUP(B661,pratos!B:B,pratos!A:A,"não")</f>
        <v>441</v>
      </c>
      <c r="B661" s="52" t="s">
        <v>454</v>
      </c>
      <c r="C661" s="105">
        <f>_xlfn.XLOOKUP(D661,ingredientes!B:B,ingredientes!A:A,"não")</f>
        <v>320</v>
      </c>
      <c r="D661" t="s">
        <v>705</v>
      </c>
      <c r="E661" s="17">
        <v>25</v>
      </c>
      <c r="H661">
        <f t="shared" si="99"/>
        <v>441</v>
      </c>
      <c r="I661">
        <f t="shared" si="97"/>
        <v>320</v>
      </c>
      <c r="J661">
        <f t="shared" si="98"/>
        <v>25</v>
      </c>
      <c r="K661">
        <f t="shared" si="100"/>
        <v>761</v>
      </c>
      <c r="M661">
        <v>441</v>
      </c>
      <c r="N661">
        <v>320</v>
      </c>
      <c r="O661">
        <v>25</v>
      </c>
      <c r="Q661" t="b">
        <f t="shared" si="102"/>
        <v>1</v>
      </c>
      <c r="R661" t="b">
        <f t="shared" si="103"/>
        <v>1</v>
      </c>
      <c r="S661" t="b">
        <f t="shared" si="104"/>
        <v>1</v>
      </c>
    </row>
    <row r="662" spans="1:19" x14ac:dyDescent="0.2">
      <c r="A662" s="106">
        <f>_xlfn.XLOOKUP(B662,pratos!B:B,pratos!A:A,"não")</f>
        <v>442</v>
      </c>
      <c r="B662" s="109" t="s">
        <v>437</v>
      </c>
      <c r="C662" s="105">
        <f>_xlfn.XLOOKUP(D662,ingredientes!B:B,ingredientes!A:A,"não")</f>
        <v>182</v>
      </c>
      <c r="D662" s="155" t="s">
        <v>408</v>
      </c>
      <c r="E662" s="65">
        <v>10</v>
      </c>
      <c r="H662">
        <f t="shared" si="99"/>
        <v>442</v>
      </c>
      <c r="I662">
        <f t="shared" si="97"/>
        <v>182</v>
      </c>
      <c r="J662">
        <f t="shared" si="98"/>
        <v>10</v>
      </c>
      <c r="K662">
        <f t="shared" si="100"/>
        <v>624</v>
      </c>
      <c r="M662">
        <v>442</v>
      </c>
      <c r="N662">
        <v>182</v>
      </c>
      <c r="O662">
        <v>10</v>
      </c>
      <c r="Q662" t="b">
        <f t="shared" si="102"/>
        <v>1</v>
      </c>
      <c r="R662" t="b">
        <f t="shared" si="103"/>
        <v>1</v>
      </c>
      <c r="S662" t="b">
        <f t="shared" si="104"/>
        <v>1</v>
      </c>
    </row>
    <row r="663" spans="1:19" x14ac:dyDescent="0.2">
      <c r="A663" s="106">
        <f>_xlfn.XLOOKUP(B663,pratos!B:B,pratos!A:A,"não")</f>
        <v>442</v>
      </c>
      <c r="B663" s="52" t="s">
        <v>437</v>
      </c>
      <c r="C663" s="105">
        <f>_xlfn.XLOOKUP(D663,ingredientes!B:B,ingredientes!A:A,"não")</f>
        <v>223</v>
      </c>
      <c r="D663" s="144" t="s">
        <v>348</v>
      </c>
      <c r="E663" s="10">
        <v>15</v>
      </c>
      <c r="H663">
        <f t="shared" si="99"/>
        <v>442</v>
      </c>
      <c r="I663">
        <f t="shared" si="97"/>
        <v>223</v>
      </c>
      <c r="J663">
        <f t="shared" si="98"/>
        <v>15</v>
      </c>
      <c r="K663">
        <f t="shared" si="100"/>
        <v>665</v>
      </c>
      <c r="M663">
        <v>442</v>
      </c>
      <c r="N663">
        <v>223</v>
      </c>
      <c r="O663">
        <v>15</v>
      </c>
      <c r="Q663" t="b">
        <f t="shared" si="102"/>
        <v>1</v>
      </c>
      <c r="R663" t="b">
        <f t="shared" si="103"/>
        <v>1</v>
      </c>
      <c r="S663" t="b">
        <f t="shared" si="104"/>
        <v>1</v>
      </c>
    </row>
    <row r="664" spans="1:19" x14ac:dyDescent="0.2">
      <c r="A664" s="106">
        <f>_xlfn.XLOOKUP(B664,pratos!B:B,pratos!A:A,"não")</f>
        <v>444</v>
      </c>
      <c r="B664" s="111" t="s">
        <v>130</v>
      </c>
      <c r="C664" s="105">
        <f>_xlfn.XLOOKUP(D664,ingredientes!B:B,ingredientes!A:A,"não")</f>
        <v>39</v>
      </c>
      <c r="D664" s="149" t="s">
        <v>132</v>
      </c>
      <c r="E664" s="10">
        <v>20</v>
      </c>
      <c r="H664">
        <f t="shared" si="99"/>
        <v>444</v>
      </c>
      <c r="I664">
        <f t="shared" si="97"/>
        <v>39</v>
      </c>
      <c r="J664">
        <f t="shared" si="98"/>
        <v>20</v>
      </c>
      <c r="K664">
        <f t="shared" si="100"/>
        <v>483</v>
      </c>
      <c r="M664">
        <v>444</v>
      </c>
      <c r="N664">
        <v>39</v>
      </c>
      <c r="O664">
        <v>20</v>
      </c>
      <c r="Q664" t="b">
        <f t="shared" si="102"/>
        <v>1</v>
      </c>
      <c r="R664" t="b">
        <f t="shared" si="103"/>
        <v>1</v>
      </c>
      <c r="S664" t="b">
        <f t="shared" si="104"/>
        <v>1</v>
      </c>
    </row>
    <row r="665" spans="1:19" x14ac:dyDescent="0.2">
      <c r="A665" s="106">
        <f>_xlfn.XLOOKUP(B665,pratos!B:B,pratos!A:A,"não")</f>
        <v>444</v>
      </c>
      <c r="B665" s="111" t="s">
        <v>130</v>
      </c>
      <c r="C665" s="105">
        <f>_xlfn.XLOOKUP(D665,ingredientes!B:B,ingredientes!A:A,"não")</f>
        <v>177</v>
      </c>
      <c r="D665" s="149" t="s">
        <v>6</v>
      </c>
      <c r="E665" s="10">
        <v>100</v>
      </c>
      <c r="H665">
        <f t="shared" si="99"/>
        <v>444</v>
      </c>
      <c r="I665">
        <f t="shared" si="97"/>
        <v>177</v>
      </c>
      <c r="J665">
        <f t="shared" si="98"/>
        <v>100</v>
      </c>
      <c r="K665">
        <f t="shared" si="100"/>
        <v>621</v>
      </c>
      <c r="M665">
        <v>444</v>
      </c>
      <c r="N665">
        <v>177</v>
      </c>
      <c r="O665">
        <v>100</v>
      </c>
      <c r="Q665" t="b">
        <f t="shared" si="102"/>
        <v>1</v>
      </c>
      <c r="R665" t="b">
        <f t="shared" si="103"/>
        <v>1</v>
      </c>
      <c r="S665" t="b">
        <f t="shared" si="104"/>
        <v>1</v>
      </c>
    </row>
    <row r="666" spans="1:19" x14ac:dyDescent="0.2">
      <c r="A666" s="106">
        <f>_xlfn.XLOOKUP(B666,pratos!B:B,pratos!A:A,"não")</f>
        <v>444</v>
      </c>
      <c r="B666" s="111" t="s">
        <v>130</v>
      </c>
      <c r="C666" s="105">
        <f>_xlfn.XLOOKUP(D666,ingredientes!B:B,ingredientes!A:A,"não")</f>
        <v>260</v>
      </c>
      <c r="D666" s="149" t="s">
        <v>131</v>
      </c>
      <c r="E666" s="10">
        <v>50</v>
      </c>
      <c r="H666">
        <f t="shared" si="99"/>
        <v>444</v>
      </c>
      <c r="I666">
        <f t="shared" si="97"/>
        <v>260</v>
      </c>
      <c r="J666">
        <f t="shared" si="98"/>
        <v>50</v>
      </c>
      <c r="K666">
        <f t="shared" si="100"/>
        <v>704</v>
      </c>
      <c r="M666">
        <v>444</v>
      </c>
      <c r="N666">
        <v>260</v>
      </c>
      <c r="O666">
        <v>50</v>
      </c>
      <c r="Q666" t="b">
        <f t="shared" si="102"/>
        <v>1</v>
      </c>
      <c r="R666" t="b">
        <f t="shared" si="103"/>
        <v>1</v>
      </c>
      <c r="S666" t="b">
        <f t="shared" si="104"/>
        <v>1</v>
      </c>
    </row>
    <row r="667" spans="1:19" x14ac:dyDescent="0.2">
      <c r="A667" s="106">
        <f>_xlfn.XLOOKUP(B667,pratos!B:B,pratos!A:A,"não")</f>
        <v>444</v>
      </c>
      <c r="B667" s="111" t="s">
        <v>130</v>
      </c>
      <c r="C667" s="105">
        <f>_xlfn.XLOOKUP(D667,ingredientes!B:B,ingredientes!A:A,"não")</f>
        <v>309</v>
      </c>
      <c r="D667" s="149" t="s">
        <v>133</v>
      </c>
      <c r="E667" s="10">
        <v>5</v>
      </c>
      <c r="H667">
        <f t="shared" si="99"/>
        <v>444</v>
      </c>
      <c r="I667">
        <f t="shared" si="97"/>
        <v>309</v>
      </c>
      <c r="J667">
        <f t="shared" si="98"/>
        <v>5</v>
      </c>
      <c r="K667">
        <f t="shared" si="100"/>
        <v>753</v>
      </c>
      <c r="M667">
        <v>444</v>
      </c>
      <c r="N667">
        <v>309</v>
      </c>
      <c r="O667">
        <v>5</v>
      </c>
      <c r="Q667" t="b">
        <f t="shared" si="102"/>
        <v>1</v>
      </c>
      <c r="R667" t="b">
        <f t="shared" si="103"/>
        <v>1</v>
      </c>
      <c r="S667" t="b">
        <f t="shared" si="104"/>
        <v>1</v>
      </c>
    </row>
    <row r="668" spans="1:19" x14ac:dyDescent="0.2">
      <c r="A668" s="106">
        <f>_xlfn.XLOOKUP(B668,pratos!B:B,pratos!A:A,"não")</f>
        <v>445</v>
      </c>
      <c r="B668" s="52" t="s">
        <v>355</v>
      </c>
      <c r="C668" s="105">
        <f>_xlfn.XLOOKUP(D668,ingredientes!B:B,ingredientes!A:A,"não")</f>
        <v>17</v>
      </c>
      <c r="D668" s="138" t="s">
        <v>7</v>
      </c>
      <c r="E668" s="10">
        <v>5</v>
      </c>
      <c r="H668">
        <f t="shared" si="99"/>
        <v>445</v>
      </c>
      <c r="I668">
        <f t="shared" si="97"/>
        <v>17</v>
      </c>
      <c r="J668">
        <f t="shared" si="98"/>
        <v>5</v>
      </c>
      <c r="K668">
        <f t="shared" si="100"/>
        <v>462</v>
      </c>
      <c r="M668">
        <v>445</v>
      </c>
      <c r="N668">
        <v>17</v>
      </c>
      <c r="O668">
        <v>5</v>
      </c>
      <c r="Q668" t="b">
        <f t="shared" si="102"/>
        <v>1</v>
      </c>
      <c r="R668" t="b">
        <f t="shared" si="103"/>
        <v>1</v>
      </c>
      <c r="S668" t="b">
        <f t="shared" si="104"/>
        <v>1</v>
      </c>
    </row>
    <row r="669" spans="1:19" x14ac:dyDescent="0.2">
      <c r="A669" s="106">
        <f>_xlfn.XLOOKUP(B669,pratos!B:B,pratos!A:A,"não")</f>
        <v>445</v>
      </c>
      <c r="B669" s="52" t="s">
        <v>355</v>
      </c>
      <c r="C669" s="105">
        <f>_xlfn.XLOOKUP(D669,ingredientes!B:B,ingredientes!A:A,"não")</f>
        <v>179</v>
      </c>
      <c r="D669" s="9" t="s">
        <v>62</v>
      </c>
      <c r="E669" s="5">
        <v>20</v>
      </c>
      <c r="H669">
        <f t="shared" si="99"/>
        <v>445</v>
      </c>
      <c r="I669">
        <f t="shared" si="97"/>
        <v>179</v>
      </c>
      <c r="J669">
        <f t="shared" si="98"/>
        <v>20</v>
      </c>
      <c r="K669">
        <f t="shared" si="100"/>
        <v>624</v>
      </c>
      <c r="M669">
        <v>445</v>
      </c>
      <c r="N669">
        <v>179</v>
      </c>
      <c r="O669">
        <v>20</v>
      </c>
      <c r="Q669" t="b">
        <f t="shared" si="102"/>
        <v>1</v>
      </c>
      <c r="R669" t="b">
        <f t="shared" si="103"/>
        <v>1</v>
      </c>
      <c r="S669" t="b">
        <f t="shared" si="104"/>
        <v>1</v>
      </c>
    </row>
    <row r="670" spans="1:19" x14ac:dyDescent="0.2">
      <c r="A670" s="106">
        <f>_xlfn.XLOOKUP(B670,pratos!B:B,pratos!A:A,"não")</f>
        <v>445</v>
      </c>
      <c r="B670" s="52" t="s">
        <v>355</v>
      </c>
      <c r="C670" s="105">
        <f>_xlfn.XLOOKUP(D670,ingredientes!B:B,ingredientes!A:A,"não")</f>
        <v>263</v>
      </c>
      <c r="D670" s="9" t="s">
        <v>338</v>
      </c>
      <c r="E670" s="10">
        <v>50</v>
      </c>
      <c r="H670">
        <f t="shared" si="99"/>
        <v>445</v>
      </c>
      <c r="I670">
        <f t="shared" si="97"/>
        <v>263</v>
      </c>
      <c r="J670">
        <f t="shared" si="98"/>
        <v>50</v>
      </c>
      <c r="K670">
        <f t="shared" si="100"/>
        <v>708</v>
      </c>
      <c r="M670">
        <v>445</v>
      </c>
      <c r="N670">
        <v>263</v>
      </c>
      <c r="O670">
        <v>50</v>
      </c>
      <c r="Q670" t="b">
        <f t="shared" si="102"/>
        <v>1</v>
      </c>
      <c r="R670" t="b">
        <f t="shared" si="103"/>
        <v>1</v>
      </c>
      <c r="S670" t="b">
        <f t="shared" si="104"/>
        <v>1</v>
      </c>
    </row>
    <row r="671" spans="1:19" x14ac:dyDescent="0.2">
      <c r="A671" s="106">
        <f>_xlfn.XLOOKUP(B671,pratos!B:B,pratos!A:A,"não")</f>
        <v>446</v>
      </c>
      <c r="B671" s="52" t="s">
        <v>61</v>
      </c>
      <c r="C671" s="105">
        <f>_xlfn.XLOOKUP(D671,ingredientes!B:B,ingredientes!A:A,"não")</f>
        <v>17</v>
      </c>
      <c r="D671" s="9" t="s">
        <v>7</v>
      </c>
      <c r="E671" s="10">
        <v>10</v>
      </c>
      <c r="H671">
        <f t="shared" si="99"/>
        <v>446</v>
      </c>
      <c r="I671">
        <f t="shared" si="97"/>
        <v>17</v>
      </c>
      <c r="J671">
        <f t="shared" si="98"/>
        <v>10</v>
      </c>
      <c r="K671">
        <f t="shared" si="100"/>
        <v>463</v>
      </c>
      <c r="M671">
        <v>446</v>
      </c>
      <c r="N671">
        <v>17</v>
      </c>
      <c r="O671">
        <v>10</v>
      </c>
      <c r="Q671" t="b">
        <f t="shared" si="102"/>
        <v>1</v>
      </c>
      <c r="R671" t="b">
        <f t="shared" si="103"/>
        <v>1</v>
      </c>
      <c r="S671" t="b">
        <f t="shared" si="104"/>
        <v>1</v>
      </c>
    </row>
    <row r="672" spans="1:19" x14ac:dyDescent="0.2">
      <c r="A672" s="106">
        <f>_xlfn.XLOOKUP(B672,pratos!B:B,pratos!A:A,"não")</f>
        <v>446</v>
      </c>
      <c r="B672" s="52" t="s">
        <v>61</v>
      </c>
      <c r="C672" s="105">
        <f>_xlfn.XLOOKUP(D672,ingredientes!B:B,ingredientes!A:A,"não")</f>
        <v>138</v>
      </c>
      <c r="D672" s="9" t="s">
        <v>64</v>
      </c>
      <c r="E672" s="10">
        <v>10</v>
      </c>
      <c r="H672">
        <f t="shared" si="99"/>
        <v>446</v>
      </c>
      <c r="I672">
        <f t="shared" si="97"/>
        <v>138</v>
      </c>
      <c r="J672">
        <f t="shared" si="98"/>
        <v>10</v>
      </c>
      <c r="K672">
        <f t="shared" si="100"/>
        <v>584</v>
      </c>
      <c r="M672">
        <v>446</v>
      </c>
      <c r="N672">
        <v>138</v>
      </c>
      <c r="O672">
        <v>10</v>
      </c>
      <c r="Q672" t="b">
        <f t="shared" si="102"/>
        <v>1</v>
      </c>
      <c r="R672" t="b">
        <f t="shared" si="103"/>
        <v>1</v>
      </c>
      <c r="S672" t="b">
        <f t="shared" si="104"/>
        <v>1</v>
      </c>
    </row>
    <row r="673" spans="1:19" x14ac:dyDescent="0.2">
      <c r="A673" s="106">
        <f>_xlfn.XLOOKUP(B673,pratos!B:B,pratos!A:A,"não")</f>
        <v>446</v>
      </c>
      <c r="B673" s="52" t="s">
        <v>61</v>
      </c>
      <c r="C673" s="105">
        <f>_xlfn.XLOOKUP(D673,ingredientes!B:B,ingredientes!A:A,"não")</f>
        <v>179</v>
      </c>
      <c r="D673" s="9" t="s">
        <v>62</v>
      </c>
      <c r="E673" s="5">
        <v>20</v>
      </c>
      <c r="H673">
        <f t="shared" si="99"/>
        <v>446</v>
      </c>
      <c r="I673">
        <f t="shared" si="97"/>
        <v>179</v>
      </c>
      <c r="J673">
        <f t="shared" si="98"/>
        <v>20</v>
      </c>
      <c r="K673">
        <f t="shared" si="100"/>
        <v>625</v>
      </c>
      <c r="M673">
        <v>446</v>
      </c>
      <c r="N673">
        <v>179</v>
      </c>
      <c r="O673">
        <v>20</v>
      </c>
      <c r="Q673" t="b">
        <f t="shared" si="102"/>
        <v>1</v>
      </c>
      <c r="R673" t="b">
        <f t="shared" si="103"/>
        <v>1</v>
      </c>
      <c r="S673" t="b">
        <f t="shared" si="104"/>
        <v>1</v>
      </c>
    </row>
    <row r="674" spans="1:19" x14ac:dyDescent="0.2">
      <c r="A674" s="106">
        <f>_xlfn.XLOOKUP(B674,pratos!B:B,pratos!A:A,"não")</f>
        <v>446</v>
      </c>
      <c r="B674" s="52" t="s">
        <v>61</v>
      </c>
      <c r="C674" s="105">
        <f>_xlfn.XLOOKUP(D674,ingredientes!B:B,ingredientes!A:A,"não")</f>
        <v>264</v>
      </c>
      <c r="D674" s="9" t="s">
        <v>63</v>
      </c>
      <c r="E674" s="10">
        <v>50</v>
      </c>
      <c r="H674">
        <f t="shared" si="99"/>
        <v>446</v>
      </c>
      <c r="I674">
        <f t="shared" si="97"/>
        <v>264</v>
      </c>
      <c r="J674">
        <f t="shared" si="98"/>
        <v>50</v>
      </c>
      <c r="K674">
        <f t="shared" si="100"/>
        <v>710</v>
      </c>
      <c r="M674">
        <v>446</v>
      </c>
      <c r="N674">
        <v>264</v>
      </c>
      <c r="O674">
        <v>50</v>
      </c>
      <c r="Q674" t="b">
        <f t="shared" si="102"/>
        <v>1</v>
      </c>
      <c r="R674" t="b">
        <f t="shared" si="103"/>
        <v>1</v>
      </c>
      <c r="S674" t="b">
        <f t="shared" si="104"/>
        <v>1</v>
      </c>
    </row>
    <row r="675" spans="1:19" x14ac:dyDescent="0.2">
      <c r="A675" s="106">
        <f>_xlfn.XLOOKUP(B675,pratos!B:B,pratos!A:A,"não")</f>
        <v>447</v>
      </c>
      <c r="B675" s="125" t="s">
        <v>119</v>
      </c>
      <c r="C675" s="105">
        <f>_xlfn.XLOOKUP(D675,ingredientes!B:B,ingredientes!A:A,"não")</f>
        <v>323</v>
      </c>
      <c r="D675" s="75" t="s">
        <v>119</v>
      </c>
      <c r="E675" s="68">
        <v>160</v>
      </c>
      <c r="H675">
        <f t="shared" si="99"/>
        <v>447</v>
      </c>
      <c r="I675">
        <f>C675</f>
        <v>323</v>
      </c>
      <c r="J675">
        <f>E675</f>
        <v>160</v>
      </c>
      <c r="K675">
        <f t="shared" si="100"/>
        <v>770</v>
      </c>
      <c r="M675">
        <v>447</v>
      </c>
      <c r="N675">
        <v>323</v>
      </c>
      <c r="O675">
        <v>160</v>
      </c>
      <c r="Q675" t="b">
        <f t="shared" si="102"/>
        <v>1</v>
      </c>
      <c r="R675" t="b">
        <f t="shared" si="103"/>
        <v>1</v>
      </c>
      <c r="S675" t="b">
        <f t="shared" si="104"/>
        <v>1</v>
      </c>
    </row>
  </sheetData>
  <autoFilter ref="A1:E675" xr:uid="{99DDE4B2-ED16-49ED-A74A-E7C4F571D382}"/>
  <conditionalFormatting sqref="C1:C1048576">
    <cfRule type="cellIs" dxfId="3" priority="2" operator="equal">
      <formula>"não"</formula>
    </cfRule>
  </conditionalFormatting>
  <conditionalFormatting sqref="K2:K675">
    <cfRule type="duplicateValues" dxfId="2" priority="1102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CAE7A-2D83-4E66-AD7C-F857C8AD1BAD}">
  <dimension ref="A1:B675"/>
  <sheetViews>
    <sheetView topLeftCell="A334" workbookViewId="0">
      <selection sqref="A1:B675"/>
    </sheetView>
  </sheetViews>
  <sheetFormatPr defaultRowHeight="12.75" x14ac:dyDescent="0.2"/>
  <cols>
    <col min="1" max="1" width="9.7109375" style="106" customWidth="1"/>
    <col min="2" max="2" width="63.85546875" customWidth="1"/>
  </cols>
  <sheetData>
    <row r="1" spans="1:2" ht="15" x14ac:dyDescent="0.2">
      <c r="A1" s="187" t="s">
        <v>706</v>
      </c>
      <c r="B1" s="188" t="s">
        <v>0</v>
      </c>
    </row>
    <row r="2" spans="1:2" x14ac:dyDescent="0.2">
      <c r="A2" s="187">
        <f>_xlfn.XLOOKUP(B2,pratos!B:B,pratos!A:A,"não")</f>
        <v>39</v>
      </c>
      <c r="B2" s="189" t="s">
        <v>184</v>
      </c>
    </row>
    <row r="3" spans="1:2" x14ac:dyDescent="0.2">
      <c r="A3" s="187">
        <f>_xlfn.XLOOKUP(B3,pratos!B:B,pratos!A:A,"não")</f>
        <v>40</v>
      </c>
      <c r="B3" s="190" t="s">
        <v>382</v>
      </c>
    </row>
    <row r="4" spans="1:2" x14ac:dyDescent="0.2">
      <c r="A4" s="187">
        <f>_xlfn.XLOOKUP(B4,pratos!B:B,pratos!A:A,"não")</f>
        <v>41</v>
      </c>
      <c r="B4" s="191" t="s">
        <v>284</v>
      </c>
    </row>
    <row r="5" spans="1:2" x14ac:dyDescent="0.2">
      <c r="A5" s="187">
        <f>_xlfn.XLOOKUP(B5,pratos!B:B,pratos!A:A,"não")</f>
        <v>43</v>
      </c>
      <c r="B5" s="191" t="s">
        <v>260</v>
      </c>
    </row>
    <row r="6" spans="1:2" x14ac:dyDescent="0.2">
      <c r="A6" s="187">
        <f>_xlfn.XLOOKUP(B6,pratos!B:B,pratos!A:A,"não")</f>
        <v>44</v>
      </c>
      <c r="B6" s="192" t="s">
        <v>279</v>
      </c>
    </row>
    <row r="7" spans="1:2" x14ac:dyDescent="0.2">
      <c r="A7" s="187">
        <f>_xlfn.XLOOKUP(B7,pratos!B:B,pratos!A:A,"não")</f>
        <v>45</v>
      </c>
      <c r="B7" s="192" t="s">
        <v>161</v>
      </c>
    </row>
    <row r="8" spans="1:2" x14ac:dyDescent="0.2">
      <c r="A8" s="187">
        <f>_xlfn.XLOOKUP(B8,pratos!B:B,pratos!A:A,"não")</f>
        <v>46</v>
      </c>
      <c r="B8" s="193" t="s">
        <v>383</v>
      </c>
    </row>
    <row r="9" spans="1:2" x14ac:dyDescent="0.2">
      <c r="A9" s="187">
        <f>_xlfn.XLOOKUP(B9,pratos!B:B,pratos!A:A,"não")</f>
        <v>47</v>
      </c>
      <c r="B9" s="191" t="s">
        <v>552</v>
      </c>
    </row>
    <row r="10" spans="1:2" x14ac:dyDescent="0.2">
      <c r="A10" s="187">
        <f>_xlfn.XLOOKUP(B10,pratos!B:B,pratos!A:A,"não")</f>
        <v>48</v>
      </c>
      <c r="B10" s="191" t="s">
        <v>556</v>
      </c>
    </row>
    <row r="11" spans="1:2" x14ac:dyDescent="0.2">
      <c r="A11" s="187">
        <f>_xlfn.XLOOKUP(B11,pratos!B:B,pratos!A:A,"não")</f>
        <v>49</v>
      </c>
      <c r="B11" s="194" t="s">
        <v>416</v>
      </c>
    </row>
    <row r="12" spans="1:2" x14ac:dyDescent="0.2">
      <c r="A12" s="187">
        <f>_xlfn.XLOOKUP(B12,pratos!B:B,pratos!A:A,"não")</f>
        <v>50</v>
      </c>
      <c r="B12" s="195" t="s">
        <v>229</v>
      </c>
    </row>
    <row r="13" spans="1:2" x14ac:dyDescent="0.2">
      <c r="A13" s="187">
        <f>_xlfn.XLOOKUP(B13,pratos!B:B,pratos!A:A,"não")</f>
        <v>51</v>
      </c>
      <c r="B13" s="192" t="s">
        <v>298</v>
      </c>
    </row>
    <row r="14" spans="1:2" x14ac:dyDescent="0.2">
      <c r="A14" s="187">
        <f>_xlfn.XLOOKUP(B14,pratos!B:B,pratos!A:A,"não")</f>
        <v>52</v>
      </c>
      <c r="B14" s="192" t="s">
        <v>311</v>
      </c>
    </row>
    <row r="15" spans="1:2" x14ac:dyDescent="0.2">
      <c r="A15" s="187">
        <f>_xlfn.XLOOKUP(B15,pratos!B:B,pratos!A:A,"não")</f>
        <v>53</v>
      </c>
      <c r="B15" s="192" t="s">
        <v>503</v>
      </c>
    </row>
    <row r="16" spans="1:2" x14ac:dyDescent="0.2">
      <c r="A16" s="187">
        <f>_xlfn.XLOOKUP(B16,pratos!B:B,pratos!A:A,"não")</f>
        <v>55</v>
      </c>
      <c r="B16" s="189" t="s">
        <v>77</v>
      </c>
    </row>
    <row r="17" spans="1:2" x14ac:dyDescent="0.2">
      <c r="A17" s="187">
        <f>_xlfn.XLOOKUP(B17,pratos!B:B,pratos!A:A,"não")</f>
        <v>56</v>
      </c>
      <c r="B17" s="189" t="s">
        <v>273</v>
      </c>
    </row>
    <row r="18" spans="1:2" x14ac:dyDescent="0.2">
      <c r="A18" s="187">
        <f>_xlfn.XLOOKUP(B18,pratos!B:B,pratos!A:A,"não")</f>
        <v>57</v>
      </c>
      <c r="B18" s="189" t="s">
        <v>182</v>
      </c>
    </row>
    <row r="19" spans="1:2" x14ac:dyDescent="0.2">
      <c r="A19" s="187" t="str">
        <f>_xlfn.XLOOKUP(B19,pratos!B:B,pratos!A:A,"não")</f>
        <v>não</v>
      </c>
      <c r="B19" s="195" t="s">
        <v>11</v>
      </c>
    </row>
    <row r="20" spans="1:2" x14ac:dyDescent="0.2">
      <c r="A20" s="187">
        <f>_xlfn.XLOOKUP(B20,pratos!B:B,pratos!A:A,"não")</f>
        <v>59</v>
      </c>
      <c r="B20" s="192" t="s">
        <v>366</v>
      </c>
    </row>
    <row r="21" spans="1:2" x14ac:dyDescent="0.2">
      <c r="A21" s="187">
        <f>_xlfn.XLOOKUP(B21,pratos!B:B,pratos!A:A,"não")</f>
        <v>60</v>
      </c>
      <c r="B21" s="192" t="s">
        <v>401</v>
      </c>
    </row>
    <row r="22" spans="1:2" x14ac:dyDescent="0.2">
      <c r="A22" s="187">
        <f>_xlfn.XLOOKUP(B22,pratos!B:B,pratos!A:A,"não")</f>
        <v>61</v>
      </c>
      <c r="B22" s="194" t="s">
        <v>494</v>
      </c>
    </row>
    <row r="23" spans="1:2" x14ac:dyDescent="0.2">
      <c r="A23" s="187">
        <f>_xlfn.XLOOKUP(B23,pratos!B:B,pratos!A:A,"não")</f>
        <v>62</v>
      </c>
      <c r="B23" s="196" t="s">
        <v>422</v>
      </c>
    </row>
    <row r="24" spans="1:2" x14ac:dyDescent="0.2">
      <c r="A24" s="187">
        <f>_xlfn.XLOOKUP(B24,pratos!B:B,pratos!A:A,"não")</f>
        <v>63</v>
      </c>
      <c r="B24" s="195" t="s">
        <v>207</v>
      </c>
    </row>
    <row r="25" spans="1:2" x14ac:dyDescent="0.2">
      <c r="A25" s="187">
        <f>_xlfn.XLOOKUP(B25,pratos!B:B,pratos!A:A,"não")</f>
        <v>64</v>
      </c>
      <c r="B25" s="191" t="s">
        <v>473</v>
      </c>
    </row>
    <row r="26" spans="1:2" x14ac:dyDescent="0.2">
      <c r="A26" s="187">
        <f>_xlfn.XLOOKUP(B26,pratos!B:B,pratos!A:A,"não")</f>
        <v>65</v>
      </c>
      <c r="B26" s="196" t="s">
        <v>424</v>
      </c>
    </row>
    <row r="27" spans="1:2" x14ac:dyDescent="0.2">
      <c r="A27" s="187">
        <f>_xlfn.XLOOKUP(B27,pratos!B:B,pratos!A:A,"não")</f>
        <v>66</v>
      </c>
      <c r="B27" s="191" t="s">
        <v>106</v>
      </c>
    </row>
    <row r="28" spans="1:2" x14ac:dyDescent="0.2">
      <c r="A28" s="187">
        <f>_xlfn.XLOOKUP(B28,pratos!B:B,pratos!A:A,"não")</f>
        <v>67</v>
      </c>
      <c r="B28" s="193" t="s">
        <v>395</v>
      </c>
    </row>
    <row r="29" spans="1:2" x14ac:dyDescent="0.2">
      <c r="A29" s="187">
        <f>_xlfn.XLOOKUP(B29,pratos!B:B,pratos!A:A,"não")</f>
        <v>68</v>
      </c>
      <c r="B29" s="189" t="s">
        <v>283</v>
      </c>
    </row>
    <row r="30" spans="1:2" x14ac:dyDescent="0.2">
      <c r="A30" s="187">
        <f>_xlfn.XLOOKUP(B30,pratos!B:B,pratos!A:A,"não")</f>
        <v>69</v>
      </c>
      <c r="B30" s="190" t="s">
        <v>379</v>
      </c>
    </row>
    <row r="31" spans="1:2" x14ac:dyDescent="0.2">
      <c r="A31" s="187">
        <f>_xlfn.XLOOKUP(B31,pratos!B:B,pratos!A:A,"não")</f>
        <v>70</v>
      </c>
      <c r="B31" s="196" t="s">
        <v>390</v>
      </c>
    </row>
    <row r="32" spans="1:2" x14ac:dyDescent="0.2">
      <c r="A32" s="187">
        <f>_xlfn.XLOOKUP(B32,pratos!B:B,pratos!A:A,"não")</f>
        <v>71</v>
      </c>
      <c r="B32" s="191" t="s">
        <v>18</v>
      </c>
    </row>
    <row r="33" spans="1:2" x14ac:dyDescent="0.2">
      <c r="A33" s="187" t="str">
        <f>_xlfn.XLOOKUP(B33,pratos!B:B,pratos!A:A,"não")</f>
        <v>não</v>
      </c>
      <c r="B33" s="192" t="s">
        <v>263</v>
      </c>
    </row>
    <row r="34" spans="1:2" x14ac:dyDescent="0.2">
      <c r="A34" s="187">
        <f>_xlfn.XLOOKUP(B34,pratos!B:B,pratos!A:A,"não")</f>
        <v>75</v>
      </c>
      <c r="B34" s="192" t="s">
        <v>268</v>
      </c>
    </row>
    <row r="35" spans="1:2" x14ac:dyDescent="0.2">
      <c r="A35" s="187">
        <f>_xlfn.XLOOKUP(B35,pratos!B:B,pratos!A:A,"não")</f>
        <v>77</v>
      </c>
      <c r="B35" s="189" t="s">
        <v>113</v>
      </c>
    </row>
    <row r="36" spans="1:2" x14ac:dyDescent="0.2">
      <c r="A36" s="187">
        <f>_xlfn.XLOOKUP(B36,pratos!B:B,pratos!A:A,"não")</f>
        <v>80</v>
      </c>
      <c r="B36" s="191" t="s">
        <v>35</v>
      </c>
    </row>
    <row r="37" spans="1:2" x14ac:dyDescent="0.2">
      <c r="A37" s="187">
        <f>_xlfn.XLOOKUP(B37,pratos!B:B,pratos!A:A,"não")</f>
        <v>81</v>
      </c>
      <c r="B37" s="197" t="s">
        <v>183</v>
      </c>
    </row>
    <row r="38" spans="1:2" x14ac:dyDescent="0.2">
      <c r="A38" s="187">
        <f>_xlfn.XLOOKUP(B38,pratos!B:B,pratos!A:A,"não")</f>
        <v>82</v>
      </c>
      <c r="B38" s="198" t="s">
        <v>460</v>
      </c>
    </row>
    <row r="39" spans="1:2" x14ac:dyDescent="0.2">
      <c r="A39" s="187">
        <f>_xlfn.XLOOKUP(B39,pratos!B:B,pratos!A:A,"não")</f>
        <v>83</v>
      </c>
      <c r="B39" s="195" t="s">
        <v>156</v>
      </c>
    </row>
    <row r="40" spans="1:2" x14ac:dyDescent="0.2">
      <c r="A40" s="187">
        <f>_xlfn.XLOOKUP(B40,pratos!B:B,pratos!A:A,"não")</f>
        <v>84</v>
      </c>
      <c r="B40" s="194" t="s">
        <v>349</v>
      </c>
    </row>
    <row r="41" spans="1:2" x14ac:dyDescent="0.2">
      <c r="A41" s="187">
        <f>_xlfn.XLOOKUP(B41,pratos!B:B,pratos!A:A,"não")</f>
        <v>85</v>
      </c>
      <c r="B41" s="189" t="s">
        <v>724</v>
      </c>
    </row>
    <row r="42" spans="1:2" x14ac:dyDescent="0.2">
      <c r="A42" s="187">
        <f>_xlfn.XLOOKUP(B42,pratos!B:B,pratos!A:A,"não")</f>
        <v>87</v>
      </c>
      <c r="B42" s="189" t="s">
        <v>318</v>
      </c>
    </row>
    <row r="43" spans="1:2" x14ac:dyDescent="0.2">
      <c r="A43" s="187">
        <f>_xlfn.XLOOKUP(B43,pratos!B:B,pratos!A:A,"não")</f>
        <v>88</v>
      </c>
      <c r="B43" s="191" t="s">
        <v>169</v>
      </c>
    </row>
    <row r="44" spans="1:2" x14ac:dyDescent="0.2">
      <c r="A44" s="187">
        <f>_xlfn.XLOOKUP(B44,pratos!B:B,pratos!A:A,"não")</f>
        <v>89</v>
      </c>
      <c r="B44" s="196" t="s">
        <v>419</v>
      </c>
    </row>
    <row r="45" spans="1:2" x14ac:dyDescent="0.2">
      <c r="A45" s="187">
        <f>_xlfn.XLOOKUP(B45,pratos!B:B,pratos!A:A,"não")</f>
        <v>90</v>
      </c>
      <c r="B45" s="189" t="s">
        <v>65</v>
      </c>
    </row>
    <row r="46" spans="1:2" x14ac:dyDescent="0.2">
      <c r="A46" s="187">
        <f>_xlfn.XLOOKUP(B46,pratos!B:B,pratos!A:A,"não")</f>
        <v>91</v>
      </c>
      <c r="B46" s="189" t="s">
        <v>317</v>
      </c>
    </row>
    <row r="47" spans="1:2" x14ac:dyDescent="0.2">
      <c r="A47" s="187">
        <f>_xlfn.XLOOKUP(B47,pratos!B:B,pratos!A:A,"não")</f>
        <v>92</v>
      </c>
      <c r="B47" s="191" t="s">
        <v>476</v>
      </c>
    </row>
    <row r="48" spans="1:2" x14ac:dyDescent="0.2">
      <c r="A48" s="187">
        <f>_xlfn.XLOOKUP(B48,pratos!B:B,pratos!A:A,"não")</f>
        <v>93</v>
      </c>
      <c r="B48" s="191" t="s">
        <v>493</v>
      </c>
    </row>
    <row r="49" spans="1:2" x14ac:dyDescent="0.2">
      <c r="A49" s="187">
        <f>_xlfn.XLOOKUP(B49,pratos!B:B,pratos!A:A,"não")</f>
        <v>94</v>
      </c>
      <c r="B49" s="192" t="s">
        <v>140</v>
      </c>
    </row>
    <row r="50" spans="1:2" x14ac:dyDescent="0.2">
      <c r="A50" s="187">
        <f>_xlfn.XLOOKUP(B50,pratos!B:B,pratos!A:A,"não")</f>
        <v>95</v>
      </c>
      <c r="B50" s="192" t="s">
        <v>159</v>
      </c>
    </row>
    <row r="51" spans="1:2" x14ac:dyDescent="0.2">
      <c r="A51" s="187">
        <f>_xlfn.XLOOKUP(B51,pratos!B:B,pratos!A:A,"não")</f>
        <v>96</v>
      </c>
      <c r="B51" s="189" t="s">
        <v>350</v>
      </c>
    </row>
    <row r="52" spans="1:2" x14ac:dyDescent="0.2">
      <c r="A52" s="187">
        <f>_xlfn.XLOOKUP(B52,pratos!B:B,pratos!A:A,"não")</f>
        <v>97</v>
      </c>
      <c r="B52" s="194" t="s">
        <v>525</v>
      </c>
    </row>
    <row r="53" spans="1:2" x14ac:dyDescent="0.2">
      <c r="A53" s="187">
        <f>_xlfn.XLOOKUP(B53,pratos!B:B,pratos!A:A,"não")</f>
        <v>98</v>
      </c>
      <c r="B53" s="194" t="s">
        <v>516</v>
      </c>
    </row>
    <row r="54" spans="1:2" x14ac:dyDescent="0.2">
      <c r="A54" s="187">
        <f>_xlfn.XLOOKUP(B54,pratos!B:B,pratos!A:A,"não")</f>
        <v>99</v>
      </c>
      <c r="B54" s="192" t="s">
        <v>540</v>
      </c>
    </row>
    <row r="55" spans="1:2" x14ac:dyDescent="0.2">
      <c r="A55" s="187">
        <f>_xlfn.XLOOKUP(B55,pratos!B:B,pratos!A:A,"não")</f>
        <v>100</v>
      </c>
      <c r="B55" s="189" t="s">
        <v>271</v>
      </c>
    </row>
    <row r="56" spans="1:2" x14ac:dyDescent="0.2">
      <c r="A56" s="187">
        <f>_xlfn.XLOOKUP(B56,pratos!B:B,pratos!A:A,"não")</f>
        <v>101</v>
      </c>
      <c r="B56" s="200" t="s">
        <v>385</v>
      </c>
    </row>
    <row r="57" spans="1:2" x14ac:dyDescent="0.2">
      <c r="A57" s="187">
        <f>_xlfn.XLOOKUP(B57,pratos!B:B,pratos!A:A,"não")</f>
        <v>102</v>
      </c>
      <c r="B57" s="200" t="s">
        <v>378</v>
      </c>
    </row>
    <row r="58" spans="1:2" x14ac:dyDescent="0.2">
      <c r="A58" s="187">
        <f>_xlfn.XLOOKUP(B58,pratos!B:B,pratos!A:A,"não")</f>
        <v>103</v>
      </c>
      <c r="B58" s="192" t="s">
        <v>541</v>
      </c>
    </row>
    <row r="59" spans="1:2" x14ac:dyDescent="0.2">
      <c r="A59" s="187">
        <f>_xlfn.XLOOKUP(B59,pratos!B:B,pratos!A:A,"não")</f>
        <v>104</v>
      </c>
      <c r="B59" s="191" t="s">
        <v>146</v>
      </c>
    </row>
    <row r="60" spans="1:2" x14ac:dyDescent="0.2">
      <c r="A60" s="187">
        <f>_xlfn.XLOOKUP(B60,pratos!B:B,pratos!A:A,"não")</f>
        <v>105</v>
      </c>
      <c r="B60" s="192" t="s">
        <v>436</v>
      </c>
    </row>
    <row r="61" spans="1:2" x14ac:dyDescent="0.2">
      <c r="A61" s="187" t="str">
        <f>_xlfn.XLOOKUP(B61,pratos!B:B,pratos!A:A,"não")</f>
        <v>não</v>
      </c>
      <c r="B61" s="189" t="s">
        <v>713</v>
      </c>
    </row>
    <row r="62" spans="1:2" x14ac:dyDescent="0.2">
      <c r="A62" s="187">
        <f>_xlfn.XLOOKUP(B62,pratos!B:B,pratos!A:A,"não")</f>
        <v>108</v>
      </c>
      <c r="B62" s="189" t="s">
        <v>171</v>
      </c>
    </row>
    <row r="63" spans="1:2" x14ac:dyDescent="0.2">
      <c r="A63" s="187">
        <f>_xlfn.XLOOKUP(B63,pratos!B:B,pratos!A:A,"não")</f>
        <v>109</v>
      </c>
      <c r="B63" s="192" t="s">
        <v>301</v>
      </c>
    </row>
    <row r="64" spans="1:2" x14ac:dyDescent="0.2">
      <c r="A64" s="187">
        <f>_xlfn.XLOOKUP(B64,pratos!B:B,pratos!A:A,"não")</f>
        <v>110</v>
      </c>
      <c r="B64" s="191" t="s">
        <v>509</v>
      </c>
    </row>
    <row r="65" spans="1:2" x14ac:dyDescent="0.2">
      <c r="A65" s="187">
        <f>_xlfn.XLOOKUP(B65,pratos!B:B,pratos!A:A,"não")</f>
        <v>111</v>
      </c>
      <c r="B65" s="191" t="s">
        <v>442</v>
      </c>
    </row>
    <row r="66" spans="1:2" x14ac:dyDescent="0.2">
      <c r="A66" s="187">
        <f>_xlfn.XLOOKUP(B66,pratos!B:B,pratos!A:A,"não")</f>
        <v>112</v>
      </c>
      <c r="B66" s="194" t="s">
        <v>572</v>
      </c>
    </row>
    <row r="67" spans="1:2" x14ac:dyDescent="0.2">
      <c r="A67" s="187">
        <f>_xlfn.XLOOKUP(B67,pratos!B:B,pratos!A:A,"não")</f>
        <v>113</v>
      </c>
      <c r="B67" s="194" t="s">
        <v>558</v>
      </c>
    </row>
    <row r="68" spans="1:2" x14ac:dyDescent="0.2">
      <c r="A68" s="187">
        <f>_xlfn.XLOOKUP(B68,pratos!B:B,pratos!A:A,"não")</f>
        <v>115</v>
      </c>
      <c r="B68" s="198" t="s">
        <v>459</v>
      </c>
    </row>
    <row r="69" spans="1:2" x14ac:dyDescent="0.2">
      <c r="A69" s="187">
        <f>_xlfn.XLOOKUP(B69,pratos!B:B,pratos!A:A,"não")</f>
        <v>116</v>
      </c>
      <c r="B69" s="191" t="s">
        <v>14</v>
      </c>
    </row>
    <row r="70" spans="1:2" x14ac:dyDescent="0.2">
      <c r="A70" s="187">
        <f>_xlfn.XLOOKUP(B70,pratos!B:B,pratos!A:A,"não")</f>
        <v>117</v>
      </c>
      <c r="B70" s="191" t="s">
        <v>79</v>
      </c>
    </row>
    <row r="71" spans="1:2" x14ac:dyDescent="0.2">
      <c r="A71" s="187">
        <f>_xlfn.XLOOKUP(B71,pratos!B:B,pratos!A:A,"não")</f>
        <v>118</v>
      </c>
      <c r="B71" s="189" t="s">
        <v>242</v>
      </c>
    </row>
    <row r="72" spans="1:2" x14ac:dyDescent="0.2">
      <c r="A72" s="187">
        <f>_xlfn.XLOOKUP(B72,pratos!B:B,pratos!A:A,"não")</f>
        <v>119</v>
      </c>
      <c r="B72" s="192" t="s">
        <v>367</v>
      </c>
    </row>
    <row r="73" spans="1:2" x14ac:dyDescent="0.2">
      <c r="A73" s="187">
        <f>_xlfn.XLOOKUP(B73,pratos!B:B,pratos!A:A,"não")</f>
        <v>120</v>
      </c>
      <c r="B73" s="189" t="s">
        <v>325</v>
      </c>
    </row>
    <row r="74" spans="1:2" x14ac:dyDescent="0.2">
      <c r="A74" s="187">
        <f>_xlfn.XLOOKUP(B74,pratos!B:B,pratos!A:A,"não")</f>
        <v>123</v>
      </c>
      <c r="B74" s="195" t="s">
        <v>41</v>
      </c>
    </row>
    <row r="75" spans="1:2" x14ac:dyDescent="0.2">
      <c r="A75" s="187">
        <f>_xlfn.XLOOKUP(B75,pratos!B:B,pratos!A:A,"não")</f>
        <v>125</v>
      </c>
      <c r="B75" s="195" t="s">
        <v>241</v>
      </c>
    </row>
    <row r="76" spans="1:2" x14ac:dyDescent="0.2">
      <c r="A76" s="187">
        <f>_xlfn.XLOOKUP(B76,pratos!B:B,pratos!A:A,"não")</f>
        <v>126</v>
      </c>
      <c r="B76" s="199" t="s">
        <v>46</v>
      </c>
    </row>
    <row r="77" spans="1:2" x14ac:dyDescent="0.2">
      <c r="A77" s="187">
        <f>_xlfn.XLOOKUP(B77,pratos!B:B,pratos!A:A,"não")</f>
        <v>127</v>
      </c>
      <c r="B77" s="195" t="s">
        <v>96</v>
      </c>
    </row>
    <row r="78" spans="1:2" x14ac:dyDescent="0.2">
      <c r="A78" s="187">
        <f>_xlfn.XLOOKUP(B78,pratos!B:B,pratos!A:A,"não")</f>
        <v>128</v>
      </c>
      <c r="B78" s="196" t="s">
        <v>464</v>
      </c>
    </row>
    <row r="79" spans="1:2" x14ac:dyDescent="0.2">
      <c r="A79" s="187">
        <f>_xlfn.XLOOKUP(B79,pratos!B:B,pratos!A:A,"não")</f>
        <v>129</v>
      </c>
      <c r="B79" s="196" t="s">
        <v>452</v>
      </c>
    </row>
    <row r="80" spans="1:2" x14ac:dyDescent="0.2">
      <c r="A80" s="187">
        <f>_xlfn.XLOOKUP(B80,pratos!B:B,pratos!A:A,"não")</f>
        <v>130</v>
      </c>
      <c r="B80" s="189" t="s">
        <v>129</v>
      </c>
    </row>
    <row r="81" spans="1:2" x14ac:dyDescent="0.2">
      <c r="A81" s="187">
        <f>_xlfn.XLOOKUP(B81,pratos!B:B,pratos!A:A,"não")</f>
        <v>132</v>
      </c>
      <c r="B81" s="189" t="s">
        <v>122</v>
      </c>
    </row>
    <row r="82" spans="1:2" x14ac:dyDescent="0.2">
      <c r="A82" s="187">
        <f>_xlfn.XLOOKUP(B82,pratos!B:B,pratos!A:A,"não")</f>
        <v>134</v>
      </c>
      <c r="B82" s="189" t="s">
        <v>328</v>
      </c>
    </row>
    <row r="83" spans="1:2" x14ac:dyDescent="0.2">
      <c r="A83" s="187">
        <f>_xlfn.XLOOKUP(B83,pratos!B:B,pratos!A:A,"não")</f>
        <v>135</v>
      </c>
      <c r="B83" s="191" t="s">
        <v>288</v>
      </c>
    </row>
    <row r="84" spans="1:2" x14ac:dyDescent="0.2">
      <c r="A84" s="187">
        <f>_xlfn.XLOOKUP(B84,pratos!B:B,pratos!A:A,"não")</f>
        <v>136</v>
      </c>
      <c r="B84" s="202" t="s">
        <v>287</v>
      </c>
    </row>
    <row r="85" spans="1:2" x14ac:dyDescent="0.2">
      <c r="A85" s="187">
        <f>_xlfn.XLOOKUP(B85,pratos!B:B,pratos!A:A,"não")</f>
        <v>137</v>
      </c>
      <c r="B85" s="202" t="s">
        <v>292</v>
      </c>
    </row>
    <row r="86" spans="1:2" x14ac:dyDescent="0.2">
      <c r="A86" s="187">
        <f>_xlfn.XLOOKUP(B86,pratos!B:B,pratos!A:A,"não")</f>
        <v>138</v>
      </c>
      <c r="B86" s="189" t="s">
        <v>278</v>
      </c>
    </row>
    <row r="87" spans="1:2" x14ac:dyDescent="0.2">
      <c r="A87" s="187">
        <f>_xlfn.XLOOKUP(B87,pratos!B:B,pratos!A:A,"não")</f>
        <v>139</v>
      </c>
      <c r="B87" s="196" t="s">
        <v>428</v>
      </c>
    </row>
    <row r="88" spans="1:2" x14ac:dyDescent="0.2">
      <c r="A88" s="187">
        <f>_xlfn.XLOOKUP(B88,pratos!B:B,pratos!A:A,"não")</f>
        <v>140</v>
      </c>
      <c r="B88" s="196" t="s">
        <v>430</v>
      </c>
    </row>
    <row r="89" spans="1:2" x14ac:dyDescent="0.2">
      <c r="A89" s="187">
        <f>_xlfn.XLOOKUP(B89,pratos!B:B,pratos!A:A,"não")</f>
        <v>141</v>
      </c>
      <c r="B89" s="191" t="s">
        <v>414</v>
      </c>
    </row>
    <row r="90" spans="1:2" x14ac:dyDescent="0.2">
      <c r="A90" s="187">
        <f>_xlfn.XLOOKUP(B90,pratos!B:B,pratos!A:A,"não")</f>
        <v>142</v>
      </c>
      <c r="B90" s="191" t="s">
        <v>450</v>
      </c>
    </row>
    <row r="91" spans="1:2" x14ac:dyDescent="0.2">
      <c r="A91" s="187" t="str">
        <f>_xlfn.XLOOKUP(B91,pratos!B:B,pratos!A:A,"não")</f>
        <v>não</v>
      </c>
      <c r="B91" s="191" t="s">
        <v>711</v>
      </c>
    </row>
    <row r="92" spans="1:2" x14ac:dyDescent="0.2">
      <c r="A92" s="187">
        <f>_xlfn.XLOOKUP(B92,pratos!B:B,pratos!A:A,"não")</f>
        <v>144</v>
      </c>
      <c r="B92" s="191" t="s">
        <v>26</v>
      </c>
    </row>
    <row r="93" spans="1:2" x14ac:dyDescent="0.2">
      <c r="A93" s="187">
        <f>_xlfn.XLOOKUP(B93,pratos!B:B,pratos!A:A,"não")</f>
        <v>145</v>
      </c>
      <c r="B93" s="191" t="s">
        <v>82</v>
      </c>
    </row>
    <row r="94" spans="1:2" x14ac:dyDescent="0.2">
      <c r="A94" s="187">
        <f>_xlfn.XLOOKUP(B94,pratos!B:B,pratos!A:A,"não")</f>
        <v>146</v>
      </c>
      <c r="B94" s="189" t="s">
        <v>117</v>
      </c>
    </row>
    <row r="95" spans="1:2" x14ac:dyDescent="0.2">
      <c r="A95" s="187">
        <f>_xlfn.XLOOKUP(B95,pratos!B:B,pratos!A:A,"não")</f>
        <v>147</v>
      </c>
      <c r="B95" s="195" t="s">
        <v>227</v>
      </c>
    </row>
    <row r="96" spans="1:2" x14ac:dyDescent="0.2">
      <c r="A96" s="187">
        <f>_xlfn.XLOOKUP(B96,pratos!B:B,pratos!A:A,"não")</f>
        <v>148</v>
      </c>
      <c r="B96" s="192" t="s">
        <v>405</v>
      </c>
    </row>
    <row r="97" spans="1:2" x14ac:dyDescent="0.2">
      <c r="A97" s="187">
        <f>_xlfn.XLOOKUP(B97,pratos!B:B,pratos!A:A,"não")</f>
        <v>149</v>
      </c>
      <c r="B97" s="192" t="s">
        <v>138</v>
      </c>
    </row>
    <row r="98" spans="1:2" x14ac:dyDescent="0.2">
      <c r="A98" s="187">
        <f>_xlfn.XLOOKUP(B98,pratos!B:B,pratos!A:A,"não")</f>
        <v>150</v>
      </c>
      <c r="B98" s="192" t="s">
        <v>237</v>
      </c>
    </row>
    <row r="99" spans="1:2" x14ac:dyDescent="0.2">
      <c r="A99" s="187">
        <f>_xlfn.XLOOKUP(B99,pratos!B:B,pratos!A:A,"não")</f>
        <v>151</v>
      </c>
      <c r="B99" s="189" t="s">
        <v>78</v>
      </c>
    </row>
    <row r="100" spans="1:2" x14ac:dyDescent="0.2">
      <c r="A100" s="187">
        <f>_xlfn.XLOOKUP(B100,pratos!B:B,pratos!A:A,"não")</f>
        <v>152</v>
      </c>
      <c r="B100" s="191" t="s">
        <v>550</v>
      </c>
    </row>
    <row r="101" spans="1:2" x14ac:dyDescent="0.2">
      <c r="A101" s="187">
        <f>_xlfn.XLOOKUP(B101,pratos!B:B,pratos!A:A,"não")</f>
        <v>153</v>
      </c>
      <c r="B101" s="189" t="s">
        <v>359</v>
      </c>
    </row>
    <row r="102" spans="1:2" x14ac:dyDescent="0.2">
      <c r="A102" s="187">
        <f>_xlfn.XLOOKUP(B102,pratos!B:B,pratos!A:A,"não")</f>
        <v>154</v>
      </c>
      <c r="B102" s="194" t="s">
        <v>561</v>
      </c>
    </row>
    <row r="103" spans="1:2" x14ac:dyDescent="0.2">
      <c r="A103" s="187">
        <f>_xlfn.XLOOKUP(B103,pratos!B:B,pratos!A:A,"não")</f>
        <v>155</v>
      </c>
      <c r="B103" s="191" t="s">
        <v>23</v>
      </c>
    </row>
    <row r="104" spans="1:2" x14ac:dyDescent="0.2">
      <c r="A104" s="187">
        <f>_xlfn.XLOOKUP(B104,pratos!B:B,pratos!A:A,"não")</f>
        <v>157</v>
      </c>
      <c r="B104" s="192" t="s">
        <v>315</v>
      </c>
    </row>
    <row r="105" spans="1:2" x14ac:dyDescent="0.2">
      <c r="A105" s="187">
        <f>_xlfn.XLOOKUP(B105,pratos!B:B,pratos!A:A,"não")</f>
        <v>158</v>
      </c>
      <c r="B105" s="191" t="s">
        <v>351</v>
      </c>
    </row>
    <row r="106" spans="1:2" x14ac:dyDescent="0.2">
      <c r="A106" s="187">
        <f>_xlfn.XLOOKUP(B106,pratos!B:B,pratos!A:A,"não")</f>
        <v>159</v>
      </c>
      <c r="B106" s="199" t="s">
        <v>86</v>
      </c>
    </row>
    <row r="107" spans="1:2" x14ac:dyDescent="0.2">
      <c r="A107" s="187">
        <f>_xlfn.XLOOKUP(B107,pratos!B:B,pratos!A:A,"não")</f>
        <v>160</v>
      </c>
      <c r="B107" s="189" t="s">
        <v>172</v>
      </c>
    </row>
    <row r="108" spans="1:2" x14ac:dyDescent="0.2">
      <c r="A108" s="187">
        <f>_xlfn.XLOOKUP(B108,pratos!B:B,pratos!A:A,"não")</f>
        <v>161</v>
      </c>
      <c r="B108" s="189" t="s">
        <v>73</v>
      </c>
    </row>
    <row r="109" spans="1:2" x14ac:dyDescent="0.2">
      <c r="A109" s="187">
        <f>_xlfn.XLOOKUP(B109,pratos!B:B,pratos!A:A,"não")</f>
        <v>162</v>
      </c>
      <c r="B109" s="196" t="s">
        <v>421</v>
      </c>
    </row>
    <row r="110" spans="1:2" x14ac:dyDescent="0.2">
      <c r="A110" s="187">
        <f>_xlfn.XLOOKUP(B110,pratos!B:B,pratos!A:A,"não")</f>
        <v>163</v>
      </c>
      <c r="B110" s="191" t="s">
        <v>520</v>
      </c>
    </row>
    <row r="111" spans="1:2" x14ac:dyDescent="0.2">
      <c r="A111" s="187">
        <f>_xlfn.XLOOKUP(B111,pratos!B:B,pratos!A:A,"não")</f>
        <v>164</v>
      </c>
      <c r="B111" s="192" t="s">
        <v>526</v>
      </c>
    </row>
    <row r="112" spans="1:2" x14ac:dyDescent="0.2">
      <c r="A112" s="187">
        <f>_xlfn.XLOOKUP(B112,pratos!B:B,pratos!A:A,"não")</f>
        <v>165</v>
      </c>
      <c r="B112" s="198" t="s">
        <v>448</v>
      </c>
    </row>
    <row r="113" spans="1:2" x14ac:dyDescent="0.2">
      <c r="A113" s="187">
        <f>_xlfn.XLOOKUP(B113,pratos!B:B,pratos!A:A,"não")</f>
        <v>166</v>
      </c>
      <c r="B113" s="191" t="s">
        <v>309</v>
      </c>
    </row>
    <row r="114" spans="1:2" x14ac:dyDescent="0.2">
      <c r="A114" s="187">
        <f>_xlfn.XLOOKUP(B114,pratos!B:B,pratos!A:A,"não")</f>
        <v>167</v>
      </c>
      <c r="B114" s="194" t="s">
        <v>491</v>
      </c>
    </row>
    <row r="115" spans="1:2" x14ac:dyDescent="0.2">
      <c r="A115" s="187">
        <f>_xlfn.XLOOKUP(B115,pratos!B:B,pratos!A:A,"não")</f>
        <v>168</v>
      </c>
      <c r="B115" s="191" t="s">
        <v>68</v>
      </c>
    </row>
    <row r="116" spans="1:2" x14ac:dyDescent="0.2">
      <c r="A116" s="187">
        <f>_xlfn.XLOOKUP(B116,pratos!B:B,pratos!A:A,"não")</f>
        <v>169</v>
      </c>
      <c r="B116" s="191" t="s">
        <v>50</v>
      </c>
    </row>
    <row r="117" spans="1:2" x14ac:dyDescent="0.2">
      <c r="A117" s="187">
        <f>_xlfn.XLOOKUP(B117,pratos!B:B,pratos!A:A,"não")</f>
        <v>170</v>
      </c>
      <c r="B117" s="189" t="s">
        <v>305</v>
      </c>
    </row>
    <row r="118" spans="1:2" x14ac:dyDescent="0.2">
      <c r="A118" s="187">
        <f>_xlfn.XLOOKUP(B118,pratos!B:B,pratos!A:A,"não")</f>
        <v>171</v>
      </c>
      <c r="B118" s="189" t="s">
        <v>320</v>
      </c>
    </row>
    <row r="119" spans="1:2" x14ac:dyDescent="0.2">
      <c r="A119" s="187">
        <f>_xlfn.XLOOKUP(B119,pratos!B:B,pratos!A:A,"não")</f>
        <v>172</v>
      </c>
      <c r="B119" s="189" t="s">
        <v>327</v>
      </c>
    </row>
    <row r="120" spans="1:2" x14ac:dyDescent="0.2">
      <c r="A120" s="187">
        <f>_xlfn.XLOOKUP(B120,pratos!B:B,pratos!A:A,"não")</f>
        <v>173</v>
      </c>
      <c r="B120" s="192" t="s">
        <v>505</v>
      </c>
    </row>
    <row r="121" spans="1:2" x14ac:dyDescent="0.2">
      <c r="A121" s="187">
        <f>_xlfn.XLOOKUP(B121,pratos!B:B,pratos!A:A,"não")</f>
        <v>174</v>
      </c>
      <c r="B121" s="198" t="s">
        <v>480</v>
      </c>
    </row>
    <row r="122" spans="1:2" x14ac:dyDescent="0.2">
      <c r="A122" s="187">
        <f>_xlfn.XLOOKUP(B122,pratos!B:B,pratos!A:A,"não")</f>
        <v>175</v>
      </c>
      <c r="B122" s="191" t="s">
        <v>404</v>
      </c>
    </row>
    <row r="123" spans="1:2" x14ac:dyDescent="0.2">
      <c r="A123" s="187">
        <f>_xlfn.XLOOKUP(B123,pratos!B:B,pratos!A:A,"não")</f>
        <v>176</v>
      </c>
      <c r="B123" s="189" t="s">
        <v>97</v>
      </c>
    </row>
    <row r="124" spans="1:2" x14ac:dyDescent="0.2">
      <c r="A124" s="187">
        <f>_xlfn.XLOOKUP(B124,pratos!B:B,pratos!A:A,"não")</f>
        <v>177</v>
      </c>
      <c r="B124" s="191" t="s">
        <v>49</v>
      </c>
    </row>
    <row r="125" spans="1:2" x14ac:dyDescent="0.2">
      <c r="A125" s="187">
        <f>_xlfn.XLOOKUP(B125,pratos!B:B,pratos!A:A,"não")</f>
        <v>178</v>
      </c>
      <c r="B125" s="204" t="s">
        <v>497</v>
      </c>
    </row>
    <row r="126" spans="1:2" x14ac:dyDescent="0.2">
      <c r="A126" s="187">
        <f>_xlfn.XLOOKUP(B126,pratos!B:B,pratos!A:A,"não")</f>
        <v>179</v>
      </c>
      <c r="B126" s="189" t="s">
        <v>331</v>
      </c>
    </row>
    <row r="127" spans="1:2" x14ac:dyDescent="0.2">
      <c r="A127" s="187">
        <f>_xlfn.XLOOKUP(B127,pratos!B:B,pratos!A:A,"não")</f>
        <v>180</v>
      </c>
      <c r="B127" s="192" t="s">
        <v>256</v>
      </c>
    </row>
    <row r="128" spans="1:2" x14ac:dyDescent="0.2">
      <c r="A128" s="187">
        <f>_xlfn.XLOOKUP(B128,pratos!B:B,pratos!A:A,"não")</f>
        <v>181</v>
      </c>
      <c r="B128" s="189" t="s">
        <v>321</v>
      </c>
    </row>
    <row r="129" spans="1:2" x14ac:dyDescent="0.2">
      <c r="A129" s="187">
        <f>_xlfn.XLOOKUP(B129,pratos!B:B,pratos!A:A,"não")</f>
        <v>182</v>
      </c>
      <c r="B129" s="189" t="s">
        <v>307</v>
      </c>
    </row>
    <row r="130" spans="1:2" x14ac:dyDescent="0.2">
      <c r="A130" s="187">
        <f>_xlfn.XLOOKUP(B130,pratos!B:B,pratos!A:A,"não")</f>
        <v>183</v>
      </c>
      <c r="B130" s="189" t="s">
        <v>300</v>
      </c>
    </row>
    <row r="131" spans="1:2" x14ac:dyDescent="0.2">
      <c r="A131" s="187">
        <f>_xlfn.XLOOKUP(B131,pratos!B:B,pratos!A:A,"não")</f>
        <v>184</v>
      </c>
      <c r="B131" s="189" t="s">
        <v>126</v>
      </c>
    </row>
    <row r="132" spans="1:2" x14ac:dyDescent="0.2">
      <c r="A132" s="187">
        <f>_xlfn.XLOOKUP(B132,pratos!B:B,pratos!A:A,"não")</f>
        <v>185</v>
      </c>
      <c r="B132" s="191" t="s">
        <v>551</v>
      </c>
    </row>
    <row r="133" spans="1:2" x14ac:dyDescent="0.2">
      <c r="A133" s="187">
        <f>_xlfn.XLOOKUP(B133,pratos!B:B,pratos!A:A,"não")</f>
        <v>186</v>
      </c>
      <c r="B133" s="191" t="s">
        <v>259</v>
      </c>
    </row>
    <row r="134" spans="1:2" x14ac:dyDescent="0.2">
      <c r="A134" s="187">
        <f>_xlfn.XLOOKUP(B134,pratos!B:B,pratos!A:A,"não")</f>
        <v>187</v>
      </c>
      <c r="B134" s="190" t="s">
        <v>380</v>
      </c>
    </row>
    <row r="135" spans="1:2" x14ac:dyDescent="0.2">
      <c r="A135" s="187">
        <f>_xlfn.XLOOKUP(B135,pratos!B:B,pratos!A:A,"não")</f>
        <v>188</v>
      </c>
      <c r="B135" s="194" t="s">
        <v>489</v>
      </c>
    </row>
    <row r="136" spans="1:2" x14ac:dyDescent="0.2">
      <c r="A136" s="187">
        <f>_xlfn.XLOOKUP(B136,pratos!B:B,pratos!A:A,"não")</f>
        <v>189</v>
      </c>
      <c r="B136" s="205" t="s">
        <v>391</v>
      </c>
    </row>
    <row r="137" spans="1:2" x14ac:dyDescent="0.2">
      <c r="A137" s="187">
        <f>_xlfn.XLOOKUP(B137,pratos!B:B,pratos!A:A,"não")</f>
        <v>190</v>
      </c>
      <c r="B137" s="194" t="s">
        <v>470</v>
      </c>
    </row>
    <row r="138" spans="1:2" x14ac:dyDescent="0.2">
      <c r="A138" s="187">
        <f>_xlfn.XLOOKUP(B138,pratos!B:B,pratos!A:A,"não")</f>
        <v>191</v>
      </c>
      <c r="B138" s="192" t="s">
        <v>446</v>
      </c>
    </row>
    <row r="139" spans="1:2" x14ac:dyDescent="0.2">
      <c r="A139" s="187">
        <f>_xlfn.XLOOKUP(B139,pratos!B:B,pratos!A:A,"não")</f>
        <v>192</v>
      </c>
      <c r="B139" s="192" t="s">
        <v>542</v>
      </c>
    </row>
    <row r="140" spans="1:2" x14ac:dyDescent="0.2">
      <c r="A140" s="187">
        <f>_xlfn.XLOOKUP(B140,pratos!B:B,pratos!A:A,"não")</f>
        <v>193</v>
      </c>
      <c r="B140" s="191" t="s">
        <v>31</v>
      </c>
    </row>
    <row r="141" spans="1:2" x14ac:dyDescent="0.2">
      <c r="A141" s="187">
        <f>_xlfn.XLOOKUP(B141,pratos!B:B,pratos!A:A,"não")</f>
        <v>195</v>
      </c>
      <c r="B141" s="189" t="s">
        <v>69</v>
      </c>
    </row>
    <row r="142" spans="1:2" x14ac:dyDescent="0.2">
      <c r="A142" s="187">
        <f>_xlfn.XLOOKUP(B142,pratos!B:B,pratos!A:A,"não")</f>
        <v>196</v>
      </c>
      <c r="B142" s="194" t="s">
        <v>573</v>
      </c>
    </row>
    <row r="143" spans="1:2" x14ac:dyDescent="0.2">
      <c r="A143" s="187">
        <f>_xlfn.XLOOKUP(B143,pratos!B:B,pratos!A:A,"não")</f>
        <v>197</v>
      </c>
      <c r="B143" s="191" t="s">
        <v>510</v>
      </c>
    </row>
    <row r="144" spans="1:2" x14ac:dyDescent="0.2">
      <c r="A144" s="187">
        <f>_xlfn.XLOOKUP(B144,pratos!B:B,pratos!A:A,"não")</f>
        <v>199</v>
      </c>
      <c r="B144" s="191" t="s">
        <v>66</v>
      </c>
    </row>
    <row r="145" spans="1:2" x14ac:dyDescent="0.2">
      <c r="A145" s="187" t="str">
        <f>_xlfn.XLOOKUP(B145,pratos!B:B,pratos!A:A,"não")</f>
        <v>não</v>
      </c>
      <c r="B145" s="189" t="s">
        <v>720</v>
      </c>
    </row>
    <row r="146" spans="1:2" x14ac:dyDescent="0.2">
      <c r="A146" s="187">
        <f>_xlfn.XLOOKUP(B146,pratos!B:B,pratos!A:A,"não")</f>
        <v>203</v>
      </c>
      <c r="B146" s="192" t="s">
        <v>264</v>
      </c>
    </row>
    <row r="147" spans="1:2" x14ac:dyDescent="0.2">
      <c r="A147" s="187">
        <f>_xlfn.XLOOKUP(B147,pratos!B:B,pratos!A:A,"não")</f>
        <v>204</v>
      </c>
      <c r="B147" s="192" t="s">
        <v>255</v>
      </c>
    </row>
    <row r="148" spans="1:2" x14ac:dyDescent="0.2">
      <c r="A148" s="187">
        <f>_xlfn.XLOOKUP(B148,pratos!B:B,pratos!A:A,"não")</f>
        <v>205</v>
      </c>
      <c r="B148" s="192" t="s">
        <v>139</v>
      </c>
    </row>
    <row r="149" spans="1:2" x14ac:dyDescent="0.2">
      <c r="A149" s="187">
        <f>_xlfn.XLOOKUP(B149,pratos!B:B,pratos!A:A,"não")</f>
        <v>206</v>
      </c>
      <c r="B149" s="192" t="s">
        <v>185</v>
      </c>
    </row>
    <row r="150" spans="1:2" x14ac:dyDescent="0.2">
      <c r="A150" s="187">
        <f>_xlfn.XLOOKUP(B150,pratos!B:B,pratos!A:A,"não")</f>
        <v>207</v>
      </c>
      <c r="B150" s="189" t="s">
        <v>286</v>
      </c>
    </row>
    <row r="151" spans="1:2" x14ac:dyDescent="0.2">
      <c r="A151" s="187">
        <f>_xlfn.XLOOKUP(B151,pratos!B:B,pratos!A:A,"não")</f>
        <v>209</v>
      </c>
      <c r="B151" s="198" t="s">
        <v>453</v>
      </c>
    </row>
    <row r="152" spans="1:2" x14ac:dyDescent="0.2">
      <c r="A152" s="187">
        <f>_xlfn.XLOOKUP(B152,pratos!B:B,pratos!A:A,"não")</f>
        <v>210</v>
      </c>
      <c r="B152" s="198" t="s">
        <v>457</v>
      </c>
    </row>
    <row r="153" spans="1:2" x14ac:dyDescent="0.2">
      <c r="A153" s="187">
        <f>_xlfn.XLOOKUP(B153,pratos!B:B,pratos!A:A,"não")</f>
        <v>211</v>
      </c>
      <c r="B153" s="198" t="s">
        <v>447</v>
      </c>
    </row>
    <row r="154" spans="1:2" x14ac:dyDescent="0.2">
      <c r="A154" s="187">
        <f>_xlfn.XLOOKUP(B154,pratos!B:B,pratos!A:A,"não")</f>
        <v>212</v>
      </c>
      <c r="B154" s="192" t="s">
        <v>587</v>
      </c>
    </row>
    <row r="155" spans="1:2" x14ac:dyDescent="0.2">
      <c r="A155" s="187">
        <f>_xlfn.XLOOKUP(B155,pratos!B:B,pratos!A:A,"não")</f>
        <v>213</v>
      </c>
      <c r="B155" s="194" t="s">
        <v>581</v>
      </c>
    </row>
    <row r="156" spans="1:2" x14ac:dyDescent="0.2">
      <c r="A156" s="187">
        <f>_xlfn.XLOOKUP(B156,pratos!B:B,pratos!A:A,"não")</f>
        <v>214</v>
      </c>
      <c r="B156" s="195" t="s">
        <v>213</v>
      </c>
    </row>
    <row r="157" spans="1:2" x14ac:dyDescent="0.2">
      <c r="A157" s="187">
        <f>_xlfn.XLOOKUP(B157,pratos!B:B,pratos!A:A,"não")</f>
        <v>215</v>
      </c>
      <c r="B157" s="189" t="s">
        <v>358</v>
      </c>
    </row>
    <row r="158" spans="1:2" x14ac:dyDescent="0.2">
      <c r="A158" s="187">
        <f>_xlfn.XLOOKUP(B158,pratos!B:B,pratos!A:A,"não")</f>
        <v>216</v>
      </c>
      <c r="B158" s="199" t="s">
        <v>67</v>
      </c>
    </row>
    <row r="159" spans="1:2" x14ac:dyDescent="0.2">
      <c r="A159" s="187">
        <f>_xlfn.XLOOKUP(B159,pratos!B:B,pratos!A:A,"não")</f>
        <v>217</v>
      </c>
      <c r="B159" s="190" t="s">
        <v>377</v>
      </c>
    </row>
    <row r="160" spans="1:2" x14ac:dyDescent="0.2">
      <c r="A160" s="187">
        <f>_xlfn.XLOOKUP(B160,pratos!B:B,pratos!A:A,"não")</f>
        <v>218</v>
      </c>
      <c r="B160" s="194" t="s">
        <v>567</v>
      </c>
    </row>
    <row r="161" spans="1:2" x14ac:dyDescent="0.2">
      <c r="A161" s="187">
        <f>_xlfn.XLOOKUP(B161,pratos!B:B,pratos!A:A,"não")</f>
        <v>219</v>
      </c>
      <c r="B161" s="191" t="s">
        <v>230</v>
      </c>
    </row>
    <row r="162" spans="1:2" x14ac:dyDescent="0.2">
      <c r="A162" s="187">
        <f>_xlfn.XLOOKUP(B162,pratos!B:B,pratos!A:A,"não")</f>
        <v>220</v>
      </c>
      <c r="B162" s="191" t="s">
        <v>352</v>
      </c>
    </row>
    <row r="163" spans="1:2" x14ac:dyDescent="0.2">
      <c r="A163" s="187">
        <f>_xlfn.XLOOKUP(B163,pratos!B:B,pratos!A:A,"não")</f>
        <v>221</v>
      </c>
      <c r="B163" s="191" t="s">
        <v>316</v>
      </c>
    </row>
    <row r="164" spans="1:2" x14ac:dyDescent="0.2">
      <c r="A164" s="187">
        <f>_xlfn.XLOOKUP(B164,pratos!B:B,pratos!A:A,"não")</f>
        <v>222</v>
      </c>
      <c r="B164" s="194" t="s">
        <v>535</v>
      </c>
    </row>
    <row r="165" spans="1:2" x14ac:dyDescent="0.2">
      <c r="A165" s="187">
        <f>_xlfn.XLOOKUP(B165,pratos!B:B,pratos!A:A,"não")</f>
        <v>223</v>
      </c>
      <c r="B165" s="189" t="s">
        <v>195</v>
      </c>
    </row>
    <row r="166" spans="1:2" x14ac:dyDescent="0.2">
      <c r="A166" s="187">
        <f>_xlfn.XLOOKUP(B166,pratos!B:B,pratos!A:A,"não")</f>
        <v>225</v>
      </c>
      <c r="B166" s="189" t="s">
        <v>179</v>
      </c>
    </row>
    <row r="167" spans="1:2" x14ac:dyDescent="0.2">
      <c r="A167" s="187">
        <f>_xlfn.XLOOKUP(B167,pratos!B:B,pratos!A:A,"não")</f>
        <v>226</v>
      </c>
      <c r="B167" s="192" t="s">
        <v>403</v>
      </c>
    </row>
    <row r="168" spans="1:2" x14ac:dyDescent="0.2">
      <c r="A168" s="187">
        <f>_xlfn.XLOOKUP(B168,pratos!B:B,pratos!A:A,"não")</f>
        <v>228</v>
      </c>
      <c r="B168" s="189" t="s">
        <v>356</v>
      </c>
    </row>
    <row r="169" spans="1:2" x14ac:dyDescent="0.2">
      <c r="A169" s="187">
        <f>_xlfn.XLOOKUP(B169,pratos!B:B,pratos!A:A,"não")</f>
        <v>229</v>
      </c>
      <c r="B169" s="189" t="s">
        <v>363</v>
      </c>
    </row>
    <row r="170" spans="1:2" x14ac:dyDescent="0.2">
      <c r="A170" s="187">
        <f>_xlfn.XLOOKUP(B170,pratos!B:B,pratos!A:A,"não")</f>
        <v>230</v>
      </c>
      <c r="B170" s="205" t="s">
        <v>389</v>
      </c>
    </row>
    <row r="171" spans="1:2" x14ac:dyDescent="0.2">
      <c r="A171" s="187">
        <f>_xlfn.XLOOKUP(B171,pratos!B:B,pratos!A:A,"não")</f>
        <v>231</v>
      </c>
      <c r="B171" s="191" t="s">
        <v>360</v>
      </c>
    </row>
    <row r="172" spans="1:2" x14ac:dyDescent="0.2">
      <c r="A172" s="187">
        <f>_xlfn.XLOOKUP(B172,pratos!B:B,pratos!A:A,"não")</f>
        <v>232</v>
      </c>
      <c r="B172" s="191" t="s">
        <v>345</v>
      </c>
    </row>
    <row r="173" spans="1:2" x14ac:dyDescent="0.2">
      <c r="A173" s="187">
        <f>_xlfn.XLOOKUP(B173,pratos!B:B,pratos!A:A,"não")</f>
        <v>233</v>
      </c>
      <c r="B173" s="189" t="s">
        <v>364</v>
      </c>
    </row>
    <row r="174" spans="1:2" x14ac:dyDescent="0.2">
      <c r="A174" s="187">
        <f>_xlfn.XLOOKUP(B174,pratos!B:B,pratos!A:A,"não")</f>
        <v>234</v>
      </c>
      <c r="B174" s="194" t="s">
        <v>555</v>
      </c>
    </row>
    <row r="175" spans="1:2" x14ac:dyDescent="0.2">
      <c r="A175" s="187">
        <f>_xlfn.XLOOKUP(B175,pratos!B:B,pratos!A:A,"não")</f>
        <v>235</v>
      </c>
      <c r="B175" s="194" t="s">
        <v>565</v>
      </c>
    </row>
    <row r="176" spans="1:2" x14ac:dyDescent="0.2">
      <c r="A176" s="187" t="str">
        <f>_xlfn.XLOOKUP(B176,pratos!B:B,pratos!A:A,"não")</f>
        <v>não</v>
      </c>
      <c r="B176" s="194" t="s">
        <v>732</v>
      </c>
    </row>
    <row r="177" spans="1:2" x14ac:dyDescent="0.2">
      <c r="A177" s="187" t="str">
        <f>_xlfn.XLOOKUP(B177,pratos!B:B,pratos!A:A,"não")</f>
        <v>não</v>
      </c>
      <c r="B177" s="194" t="s">
        <v>733</v>
      </c>
    </row>
    <row r="178" spans="1:2" x14ac:dyDescent="0.2">
      <c r="A178" s="187">
        <f>_xlfn.XLOOKUP(B178,pratos!B:B,pratos!A:A,"não")</f>
        <v>238</v>
      </c>
      <c r="B178" s="194" t="s">
        <v>560</v>
      </c>
    </row>
    <row r="179" spans="1:2" x14ac:dyDescent="0.2">
      <c r="A179" s="187">
        <f>_xlfn.XLOOKUP(B179,pratos!B:B,pratos!A:A,"não")</f>
        <v>240</v>
      </c>
      <c r="B179" s="195" t="s">
        <v>236</v>
      </c>
    </row>
    <row r="180" spans="1:2" x14ac:dyDescent="0.2">
      <c r="A180" s="187" t="str">
        <f>_xlfn.XLOOKUP(B180,pratos!B:B,pratos!A:A,"não")</f>
        <v>não</v>
      </c>
      <c r="B180" s="189" t="s">
        <v>723</v>
      </c>
    </row>
    <row r="181" spans="1:2" x14ac:dyDescent="0.2">
      <c r="A181" s="187">
        <f>_xlfn.XLOOKUP(B181,pratos!B:B,pratos!A:A,"não")</f>
        <v>242</v>
      </c>
      <c r="B181" s="192" t="s">
        <v>361</v>
      </c>
    </row>
    <row r="182" spans="1:2" x14ac:dyDescent="0.2">
      <c r="A182" s="187">
        <f>_xlfn.XLOOKUP(B182,pratos!B:B,pratos!A:A,"não")</f>
        <v>243</v>
      </c>
      <c r="B182" s="192" t="s">
        <v>339</v>
      </c>
    </row>
    <row r="183" spans="1:2" x14ac:dyDescent="0.2">
      <c r="A183" s="187">
        <f>_xlfn.XLOOKUP(B183,pratos!B:B,pratos!A:A,"não")</f>
        <v>244</v>
      </c>
      <c r="B183" s="189" t="s">
        <v>303</v>
      </c>
    </row>
    <row r="184" spans="1:2" x14ac:dyDescent="0.2">
      <c r="A184" s="187">
        <f>_xlfn.XLOOKUP(B184,pratos!B:B,pratos!A:A,"não")</f>
        <v>245</v>
      </c>
      <c r="B184" s="189" t="s">
        <v>336</v>
      </c>
    </row>
    <row r="185" spans="1:2" x14ac:dyDescent="0.2">
      <c r="A185" s="187">
        <f>_xlfn.XLOOKUP(B185,pratos!B:B,pratos!A:A,"não")</f>
        <v>247</v>
      </c>
      <c r="B185" s="191" t="s">
        <v>370</v>
      </c>
    </row>
    <row r="186" spans="1:2" x14ac:dyDescent="0.2">
      <c r="A186" s="187">
        <f>_xlfn.XLOOKUP(B186,pratos!B:B,pratos!A:A,"não")</f>
        <v>248</v>
      </c>
      <c r="B186" s="189" t="s">
        <v>137</v>
      </c>
    </row>
    <row r="187" spans="1:2" x14ac:dyDescent="0.2">
      <c r="A187" s="187">
        <f>_xlfn.XLOOKUP(B187,pratos!B:B,pratos!A:A,"não")</f>
        <v>249</v>
      </c>
      <c r="B187" s="195" t="s">
        <v>222</v>
      </c>
    </row>
    <row r="188" spans="1:2" x14ac:dyDescent="0.2">
      <c r="A188" s="187">
        <f>_xlfn.XLOOKUP(B188,pratos!B:B,pratos!A:A,"não")</f>
        <v>250</v>
      </c>
      <c r="B188" s="206" t="s">
        <v>513</v>
      </c>
    </row>
    <row r="189" spans="1:2" x14ac:dyDescent="0.2">
      <c r="A189" s="187">
        <f>_xlfn.XLOOKUP(B189,pratos!B:B,pratos!A:A,"não")</f>
        <v>251</v>
      </c>
      <c r="B189" s="206" t="s">
        <v>522</v>
      </c>
    </row>
    <row r="190" spans="1:2" x14ac:dyDescent="0.2">
      <c r="A190" s="187">
        <f>_xlfn.XLOOKUP(B190,pratos!B:B,pratos!A:A,"não")</f>
        <v>252</v>
      </c>
      <c r="B190" s="191" t="s">
        <v>511</v>
      </c>
    </row>
    <row r="191" spans="1:2" x14ac:dyDescent="0.2">
      <c r="A191" s="187">
        <f>_xlfn.XLOOKUP(B191,pratos!B:B,pratos!A:A,"não")</f>
        <v>253</v>
      </c>
      <c r="B191" s="206" t="s">
        <v>529</v>
      </c>
    </row>
    <row r="192" spans="1:2" x14ac:dyDescent="0.2">
      <c r="A192" s="187">
        <f>_xlfn.XLOOKUP(B192,pratos!B:B,pratos!A:A,"não")</f>
        <v>255</v>
      </c>
      <c r="B192" s="201" t="s">
        <v>212</v>
      </c>
    </row>
    <row r="193" spans="1:2" x14ac:dyDescent="0.2">
      <c r="A193" s="187">
        <f>_xlfn.XLOOKUP(B193,pratos!B:B,pratos!A:A,"não")</f>
        <v>256</v>
      </c>
      <c r="B193" s="192" t="s">
        <v>234</v>
      </c>
    </row>
    <row r="194" spans="1:2" x14ac:dyDescent="0.2">
      <c r="A194" s="187">
        <f>_xlfn.XLOOKUP(B194,pratos!B:B,pratos!A:A,"não")</f>
        <v>258</v>
      </c>
      <c r="B194" s="207" t="s">
        <v>37</v>
      </c>
    </row>
    <row r="195" spans="1:2" x14ac:dyDescent="0.2">
      <c r="A195" s="187" t="str">
        <f>_xlfn.XLOOKUP(B195,pratos!B:B,pratos!A:A,"não")</f>
        <v>não</v>
      </c>
      <c r="B195" s="189" t="s">
        <v>714</v>
      </c>
    </row>
    <row r="196" spans="1:2" x14ac:dyDescent="0.2">
      <c r="A196" s="187">
        <f>_xlfn.XLOOKUP(B196,pratos!B:B,pratos!A:A,"não")</f>
        <v>260</v>
      </c>
      <c r="B196" s="189" t="s">
        <v>83</v>
      </c>
    </row>
    <row r="197" spans="1:2" x14ac:dyDescent="0.2">
      <c r="A197" s="187">
        <f>_xlfn.XLOOKUP(B197,pratos!B:B,pratos!A:A,"não")</f>
        <v>261</v>
      </c>
      <c r="B197" s="191" t="s">
        <v>342</v>
      </c>
    </row>
    <row r="198" spans="1:2" x14ac:dyDescent="0.2">
      <c r="A198" s="187">
        <f>_xlfn.XLOOKUP(B198,pratos!B:B,pratos!A:A,"não")</f>
        <v>262</v>
      </c>
      <c r="B198" s="208" t="s">
        <v>205</v>
      </c>
    </row>
    <row r="199" spans="1:2" x14ac:dyDescent="0.2">
      <c r="A199" s="187">
        <f>_xlfn.XLOOKUP(B199,pratos!B:B,pratos!A:A,"não")</f>
        <v>264</v>
      </c>
      <c r="B199" s="191" t="s">
        <v>354</v>
      </c>
    </row>
    <row r="200" spans="1:2" x14ac:dyDescent="0.2">
      <c r="A200" s="187">
        <f>_xlfn.XLOOKUP(B200,pratos!B:B,pratos!A:A,"não")</f>
        <v>267</v>
      </c>
      <c r="B200" s="191" t="s">
        <v>547</v>
      </c>
    </row>
    <row r="201" spans="1:2" x14ac:dyDescent="0.2">
      <c r="A201" s="187">
        <f>_xlfn.XLOOKUP(B201,pratos!B:B,pratos!A:A,"não")</f>
        <v>268</v>
      </c>
      <c r="B201" s="194" t="s">
        <v>578</v>
      </c>
    </row>
    <row r="202" spans="1:2" x14ac:dyDescent="0.2">
      <c r="A202" s="187">
        <f>_xlfn.XLOOKUP(B202,pratos!B:B,pratos!A:A,"não")</f>
        <v>269</v>
      </c>
      <c r="B202" s="191" t="s">
        <v>32</v>
      </c>
    </row>
    <row r="203" spans="1:2" x14ac:dyDescent="0.2">
      <c r="A203" s="187">
        <f>_xlfn.XLOOKUP(B203,pratos!B:B,pratos!A:A,"não")</f>
        <v>270</v>
      </c>
      <c r="B203" s="191" t="s">
        <v>135</v>
      </c>
    </row>
    <row r="204" spans="1:2" x14ac:dyDescent="0.2">
      <c r="A204" s="187">
        <f>_xlfn.XLOOKUP(B204,pratos!B:B,pratos!A:A,"não")</f>
        <v>272</v>
      </c>
      <c r="B204" s="189" t="s">
        <v>224</v>
      </c>
    </row>
    <row r="205" spans="1:2" x14ac:dyDescent="0.2">
      <c r="A205" s="187">
        <f>_xlfn.XLOOKUP(B205,pratos!B:B,pratos!A:A,"não")</f>
        <v>274</v>
      </c>
      <c r="B205" s="189" t="s">
        <v>51</v>
      </c>
    </row>
    <row r="206" spans="1:2" x14ac:dyDescent="0.2">
      <c r="A206" s="187">
        <f>_xlfn.XLOOKUP(B206,pratos!B:B,pratos!A:A,"não")</f>
        <v>275</v>
      </c>
      <c r="B206" s="191" t="s">
        <v>297</v>
      </c>
    </row>
    <row r="207" spans="1:2" x14ac:dyDescent="0.2">
      <c r="A207" s="187">
        <f>_xlfn.XLOOKUP(B207,pratos!B:B,pratos!A:A,"não")</f>
        <v>276</v>
      </c>
      <c r="B207" s="191" t="s">
        <v>167</v>
      </c>
    </row>
    <row r="208" spans="1:2" x14ac:dyDescent="0.2">
      <c r="A208" s="187">
        <f>_xlfn.XLOOKUP(B208,pratos!B:B,pratos!A:A,"não")</f>
        <v>277</v>
      </c>
      <c r="B208" s="189" t="s">
        <v>290</v>
      </c>
    </row>
    <row r="209" spans="1:2" x14ac:dyDescent="0.2">
      <c r="A209" s="187">
        <f>_xlfn.XLOOKUP(B209,pratos!B:B,pratos!A:A,"não")</f>
        <v>278</v>
      </c>
      <c r="B209" s="191" t="s">
        <v>154</v>
      </c>
    </row>
    <row r="210" spans="1:2" x14ac:dyDescent="0.2">
      <c r="A210" s="187">
        <f>_xlfn.XLOOKUP(B210,pratos!B:B,pratos!A:A,"não")</f>
        <v>279</v>
      </c>
      <c r="B210" s="194" t="s">
        <v>538</v>
      </c>
    </row>
    <row r="211" spans="1:2" x14ac:dyDescent="0.2">
      <c r="A211" s="187">
        <f>_xlfn.XLOOKUP(B211,pratos!B:B,pratos!A:A,"não")</f>
        <v>280</v>
      </c>
      <c r="B211" s="189" t="s">
        <v>333</v>
      </c>
    </row>
    <row r="212" spans="1:2" x14ac:dyDescent="0.2">
      <c r="A212" s="187">
        <f>_xlfn.XLOOKUP(B212,pratos!B:B,pratos!A:A,"não")</f>
        <v>281</v>
      </c>
      <c r="B212" s="209" t="s">
        <v>431</v>
      </c>
    </row>
    <row r="213" spans="1:2" x14ac:dyDescent="0.2">
      <c r="A213" s="187">
        <f>_xlfn.XLOOKUP(B213,pratos!B:B,pratos!A:A,"não")</f>
        <v>282</v>
      </c>
      <c r="B213" s="191" t="s">
        <v>127</v>
      </c>
    </row>
    <row r="214" spans="1:2" x14ac:dyDescent="0.2">
      <c r="A214" s="187">
        <f>_xlfn.XLOOKUP(B214,pratos!B:B,pratos!A:A,"não")</f>
        <v>283</v>
      </c>
      <c r="B214" s="195" t="s">
        <v>221</v>
      </c>
    </row>
    <row r="215" spans="1:2" x14ac:dyDescent="0.2">
      <c r="A215" s="187">
        <f>_xlfn.XLOOKUP(B215,pratos!B:B,pratos!A:A,"não")</f>
        <v>284</v>
      </c>
      <c r="B215" s="191" t="s">
        <v>293</v>
      </c>
    </row>
    <row r="216" spans="1:2" x14ac:dyDescent="0.2">
      <c r="A216" s="187">
        <f>_xlfn.XLOOKUP(B216,pratos!B:B,pratos!A:A,"não")</f>
        <v>285</v>
      </c>
      <c r="B216" s="191" t="s">
        <v>123</v>
      </c>
    </row>
    <row r="217" spans="1:2" x14ac:dyDescent="0.2">
      <c r="A217" s="187">
        <f>_xlfn.XLOOKUP(B217,pratos!B:B,pratos!A:A,"não")</f>
        <v>286</v>
      </c>
      <c r="B217" s="189" t="s">
        <v>296</v>
      </c>
    </row>
    <row r="218" spans="1:2" x14ac:dyDescent="0.2">
      <c r="A218" s="187">
        <f>_xlfn.XLOOKUP(B218,pratos!B:B,pratos!A:A,"não")</f>
        <v>287</v>
      </c>
      <c r="B218" s="191" t="s">
        <v>33</v>
      </c>
    </row>
    <row r="219" spans="1:2" x14ac:dyDescent="0.2">
      <c r="A219" s="187">
        <f>_xlfn.XLOOKUP(B219,pratos!B:B,pratos!A:A,"não")</f>
        <v>288</v>
      </c>
      <c r="B219" s="192" t="s">
        <v>410</v>
      </c>
    </row>
    <row r="220" spans="1:2" x14ac:dyDescent="0.2">
      <c r="A220" s="187">
        <f>_xlfn.XLOOKUP(B220,pratos!B:B,pratos!A:A,"não")</f>
        <v>289</v>
      </c>
      <c r="B220" s="191" t="s">
        <v>295</v>
      </c>
    </row>
    <row r="221" spans="1:2" x14ac:dyDescent="0.2">
      <c r="A221" s="187">
        <f>_xlfn.XLOOKUP(B221,pratos!B:B,pratos!A:A,"não")</f>
        <v>290</v>
      </c>
      <c r="B221" s="191" t="s">
        <v>199</v>
      </c>
    </row>
    <row r="222" spans="1:2" x14ac:dyDescent="0.2">
      <c r="A222" s="187" t="str">
        <f>_xlfn.XLOOKUP(B222,pratos!B:B,pratos!A:A,"não")</f>
        <v>não</v>
      </c>
      <c r="B222" s="192" t="s">
        <v>710</v>
      </c>
    </row>
    <row r="223" spans="1:2" x14ac:dyDescent="0.2">
      <c r="A223" s="187" t="str">
        <f>_xlfn.XLOOKUP(B223,pratos!B:B,pratos!A:A,"não")</f>
        <v>não</v>
      </c>
      <c r="B223" s="191" t="s">
        <v>712</v>
      </c>
    </row>
    <row r="224" spans="1:2" x14ac:dyDescent="0.2">
      <c r="A224" s="187">
        <f>_xlfn.XLOOKUP(B224,pratos!B:B,pratos!A:A,"não")</f>
        <v>293</v>
      </c>
      <c r="B224" s="191" t="s">
        <v>438</v>
      </c>
    </row>
    <row r="225" spans="1:2" x14ac:dyDescent="0.2">
      <c r="A225" s="187">
        <f>_xlfn.XLOOKUP(B225,pratos!B:B,pratos!A:A,"não")</f>
        <v>294</v>
      </c>
      <c r="B225" s="191" t="s">
        <v>105</v>
      </c>
    </row>
    <row r="226" spans="1:2" x14ac:dyDescent="0.2">
      <c r="A226" s="187">
        <f>_xlfn.XLOOKUP(B226,pratos!B:B,pratos!A:A,"não")</f>
        <v>295</v>
      </c>
      <c r="B226" s="206" t="s">
        <v>523</v>
      </c>
    </row>
    <row r="227" spans="1:2" x14ac:dyDescent="0.2">
      <c r="A227" s="187">
        <f>_xlfn.XLOOKUP(B227,pratos!B:B,pratos!A:A,"não")</f>
        <v>296</v>
      </c>
      <c r="B227" s="191" t="s">
        <v>507</v>
      </c>
    </row>
    <row r="228" spans="1:2" x14ac:dyDescent="0.2">
      <c r="A228" s="187">
        <f>_xlfn.XLOOKUP(B228,pratos!B:B,pratos!A:A,"não")</f>
        <v>297</v>
      </c>
      <c r="B228" s="194" t="s">
        <v>514</v>
      </c>
    </row>
    <row r="229" spans="1:2" x14ac:dyDescent="0.2">
      <c r="A229" s="187">
        <f>_xlfn.XLOOKUP(B229,pratos!B:B,pratos!A:A,"não")</f>
        <v>298</v>
      </c>
      <c r="B229" s="191" t="s">
        <v>341</v>
      </c>
    </row>
    <row r="230" spans="1:2" x14ac:dyDescent="0.2">
      <c r="A230" s="187">
        <f>_xlfn.XLOOKUP(B230,pratos!B:B,pratos!A:A,"não")</f>
        <v>299</v>
      </c>
      <c r="B230" s="191" t="s">
        <v>441</v>
      </c>
    </row>
    <row r="231" spans="1:2" x14ac:dyDescent="0.2">
      <c r="A231" s="187">
        <f>_xlfn.XLOOKUP(B231,pratos!B:B,pratos!A:A,"não")</f>
        <v>300</v>
      </c>
      <c r="B231" s="191" t="s">
        <v>158</v>
      </c>
    </row>
    <row r="232" spans="1:2" x14ac:dyDescent="0.2">
      <c r="A232" s="187">
        <f>_xlfn.XLOOKUP(B232,pratos!B:B,pratos!A:A,"não")</f>
        <v>302</v>
      </c>
      <c r="B232" s="195" t="s">
        <v>53</v>
      </c>
    </row>
    <row r="233" spans="1:2" x14ac:dyDescent="0.2">
      <c r="A233" s="187">
        <f>_xlfn.XLOOKUP(B233,pratos!B:B,pratos!A:A,"não")</f>
        <v>303</v>
      </c>
      <c r="B233" s="189" t="s">
        <v>88</v>
      </c>
    </row>
    <row r="234" spans="1:2" x14ac:dyDescent="0.2">
      <c r="A234" s="187">
        <f>_xlfn.XLOOKUP(B234,pratos!B:B,pratos!A:A,"não")</f>
        <v>304</v>
      </c>
      <c r="B234" s="195" t="s">
        <v>3</v>
      </c>
    </row>
    <row r="235" spans="1:2" x14ac:dyDescent="0.2">
      <c r="A235" s="187">
        <f>_xlfn.XLOOKUP(B235,pratos!B:B,pratos!A:A,"não")</f>
        <v>305</v>
      </c>
      <c r="B235" s="195" t="s">
        <v>44</v>
      </c>
    </row>
    <row r="236" spans="1:2" x14ac:dyDescent="0.2">
      <c r="A236" s="187">
        <f>_xlfn.XLOOKUP(B236,pratos!B:B,pratos!A:A,"não")</f>
        <v>306</v>
      </c>
      <c r="B236" s="191" t="s">
        <v>99</v>
      </c>
    </row>
    <row r="237" spans="1:2" x14ac:dyDescent="0.2">
      <c r="A237" s="187">
        <f>_xlfn.XLOOKUP(B237,pratos!B:B,pratos!A:A,"não")</f>
        <v>308</v>
      </c>
      <c r="B237" s="191" t="s">
        <v>28</v>
      </c>
    </row>
    <row r="238" spans="1:2" x14ac:dyDescent="0.2">
      <c r="A238" s="187">
        <f>_xlfn.XLOOKUP(B238,pratos!B:B,pratos!A:A,"não")</f>
        <v>309</v>
      </c>
      <c r="B238" s="206" t="s">
        <v>524</v>
      </c>
    </row>
    <row r="239" spans="1:2" x14ac:dyDescent="0.2">
      <c r="A239" s="187">
        <f>_xlfn.XLOOKUP(B239,pratos!B:B,pratos!A:A,"não")</f>
        <v>310</v>
      </c>
      <c r="B239" s="191" t="s">
        <v>58</v>
      </c>
    </row>
    <row r="240" spans="1:2" x14ac:dyDescent="0.2">
      <c r="A240" s="187">
        <f>_xlfn.XLOOKUP(B240,pratos!B:B,pratos!A:A,"não")</f>
        <v>311</v>
      </c>
      <c r="B240" s="194" t="s">
        <v>518</v>
      </c>
    </row>
    <row r="241" spans="1:2" x14ac:dyDescent="0.2">
      <c r="A241" s="187">
        <f>_xlfn.XLOOKUP(B241,pratos!B:B,pratos!A:A,"não")</f>
        <v>312</v>
      </c>
      <c r="B241" s="191" t="s">
        <v>409</v>
      </c>
    </row>
    <row r="242" spans="1:2" x14ac:dyDescent="0.2">
      <c r="A242" s="187">
        <f>_xlfn.XLOOKUP(B242,pratos!B:B,pratos!A:A,"não")</f>
        <v>313</v>
      </c>
      <c r="B242" s="191" t="s">
        <v>21</v>
      </c>
    </row>
    <row r="243" spans="1:2" x14ac:dyDescent="0.2">
      <c r="A243" s="187">
        <f>_xlfn.XLOOKUP(B243,pratos!B:B,pratos!A:A,"não")</f>
        <v>314</v>
      </c>
      <c r="B243" s="198" t="s">
        <v>580</v>
      </c>
    </row>
    <row r="244" spans="1:2" x14ac:dyDescent="0.2">
      <c r="A244" s="187">
        <f>_xlfn.XLOOKUP(B244,pratos!B:B,pratos!A:A,"não")</f>
        <v>315</v>
      </c>
      <c r="B244" s="194" t="s">
        <v>492</v>
      </c>
    </row>
    <row r="245" spans="1:2" x14ac:dyDescent="0.2">
      <c r="A245" s="187">
        <f>_xlfn.XLOOKUP(B245,pratos!B:B,pratos!A:A,"não")</f>
        <v>317</v>
      </c>
      <c r="B245" s="192" t="s">
        <v>415</v>
      </c>
    </row>
    <row r="246" spans="1:2" x14ac:dyDescent="0.2">
      <c r="A246" s="187">
        <f>_xlfn.XLOOKUP(B246,pratos!B:B,pratos!A:A,"não")</f>
        <v>318</v>
      </c>
      <c r="B246" s="191" t="s">
        <v>474</v>
      </c>
    </row>
    <row r="247" spans="1:2" x14ac:dyDescent="0.2">
      <c r="A247" s="187">
        <f>_xlfn.XLOOKUP(B247,pratos!B:B,pratos!A:A,"não")</f>
        <v>319</v>
      </c>
      <c r="B247" s="189" t="s">
        <v>101</v>
      </c>
    </row>
    <row r="248" spans="1:2" x14ac:dyDescent="0.2">
      <c r="A248" s="187">
        <f>_xlfn.XLOOKUP(B248,pratos!B:B,pratos!A:A,"não")</f>
        <v>320</v>
      </c>
      <c r="B248" s="189" t="s">
        <v>111</v>
      </c>
    </row>
    <row r="249" spans="1:2" x14ac:dyDescent="0.2">
      <c r="A249" s="187">
        <f>_xlfn.XLOOKUP(B249,pratos!B:B,pratos!A:A,"não")</f>
        <v>321</v>
      </c>
      <c r="B249" s="198" t="s">
        <v>420</v>
      </c>
    </row>
    <row r="250" spans="1:2" x14ac:dyDescent="0.2">
      <c r="A250" s="187">
        <f>_xlfn.XLOOKUP(B250,pratos!B:B,pratos!A:A,"não")</f>
        <v>322</v>
      </c>
      <c r="B250" s="194" t="s">
        <v>570</v>
      </c>
    </row>
    <row r="251" spans="1:2" x14ac:dyDescent="0.2">
      <c r="A251" s="187">
        <f>_xlfn.XLOOKUP(B251,pratos!B:B,pratos!A:A,"não")</f>
        <v>323</v>
      </c>
      <c r="B251" s="192" t="s">
        <v>432</v>
      </c>
    </row>
    <row r="252" spans="1:2" x14ac:dyDescent="0.2">
      <c r="A252" s="187">
        <f>_xlfn.XLOOKUP(B252,pratos!B:B,pratos!A:A,"não")</f>
        <v>324</v>
      </c>
      <c r="B252" s="199" t="s">
        <v>55</v>
      </c>
    </row>
    <row r="253" spans="1:2" x14ac:dyDescent="0.2">
      <c r="A253" s="187">
        <f>_xlfn.XLOOKUP(B253,pratos!B:B,pratos!A:A,"não")</f>
        <v>326</v>
      </c>
      <c r="B253" s="191" t="s">
        <v>98</v>
      </c>
    </row>
    <row r="254" spans="1:2" x14ac:dyDescent="0.2">
      <c r="A254" s="187">
        <f>_xlfn.XLOOKUP(B254,pratos!B:B,pratos!A:A,"não")</f>
        <v>327</v>
      </c>
      <c r="B254" s="191" t="s">
        <v>17</v>
      </c>
    </row>
    <row r="255" spans="1:2" x14ac:dyDescent="0.2">
      <c r="A255" s="187">
        <f>_xlfn.XLOOKUP(B255,pratos!B:B,pratos!A:A,"não")</f>
        <v>328</v>
      </c>
      <c r="B255" s="189" t="s">
        <v>192</v>
      </c>
    </row>
    <row r="256" spans="1:2" x14ac:dyDescent="0.2">
      <c r="A256" s="187">
        <f>_xlfn.XLOOKUP(B256,pratos!B:B,pratos!A:A,"não")</f>
        <v>330</v>
      </c>
      <c r="B256" s="200" t="s">
        <v>376</v>
      </c>
    </row>
    <row r="257" spans="1:2" x14ac:dyDescent="0.2">
      <c r="A257" s="187">
        <f>_xlfn.XLOOKUP(B257,pratos!B:B,pratos!A:A,"não")</f>
        <v>331</v>
      </c>
      <c r="B257" s="191" t="s">
        <v>257</v>
      </c>
    </row>
    <row r="258" spans="1:2" x14ac:dyDescent="0.2">
      <c r="A258" s="187">
        <f>_xlfn.XLOOKUP(B258,pratos!B:B,pratos!A:A,"não")</f>
        <v>332</v>
      </c>
      <c r="B258" s="191" t="s">
        <v>142</v>
      </c>
    </row>
    <row r="259" spans="1:2" x14ac:dyDescent="0.2">
      <c r="A259" s="187">
        <f>_xlfn.XLOOKUP(B259,pratos!B:B,pratos!A:A,"não")</f>
        <v>333</v>
      </c>
      <c r="B259" s="189" t="s">
        <v>201</v>
      </c>
    </row>
    <row r="260" spans="1:2" x14ac:dyDescent="0.2">
      <c r="A260" s="187">
        <f>_xlfn.XLOOKUP(B260,pratos!B:B,pratos!A:A,"não")</f>
        <v>334</v>
      </c>
      <c r="B260" s="191" t="s">
        <v>267</v>
      </c>
    </row>
    <row r="261" spans="1:2" x14ac:dyDescent="0.2">
      <c r="A261" s="187">
        <f>_xlfn.XLOOKUP(B261,pratos!B:B,pratos!A:A,"não")</f>
        <v>335</v>
      </c>
      <c r="B261" s="191" t="s">
        <v>477</v>
      </c>
    </row>
    <row r="262" spans="1:2" x14ac:dyDescent="0.2">
      <c r="A262" s="187">
        <f>_xlfn.XLOOKUP(B262,pratos!B:B,pratos!A:A,"não")</f>
        <v>336</v>
      </c>
      <c r="B262" s="203" t="s">
        <v>163</v>
      </c>
    </row>
    <row r="263" spans="1:2" x14ac:dyDescent="0.2">
      <c r="A263" s="187">
        <f>_xlfn.XLOOKUP(B263,pratos!B:B,pratos!A:A,"não")</f>
        <v>337</v>
      </c>
      <c r="B263" s="194" t="s">
        <v>559</v>
      </c>
    </row>
    <row r="264" spans="1:2" x14ac:dyDescent="0.2">
      <c r="A264" s="187">
        <f>_xlfn.XLOOKUP(B264,pratos!B:B,pratos!A:A,"não")</f>
        <v>338</v>
      </c>
      <c r="B264" s="191" t="s">
        <v>481</v>
      </c>
    </row>
    <row r="265" spans="1:2" x14ac:dyDescent="0.2">
      <c r="A265" s="187">
        <f>_xlfn.XLOOKUP(B265,pratos!B:B,pratos!A:A,"não")</f>
        <v>348</v>
      </c>
      <c r="B265" s="210" t="s">
        <v>178</v>
      </c>
    </row>
    <row r="266" spans="1:2" x14ac:dyDescent="0.2">
      <c r="A266" s="187">
        <f>_xlfn.XLOOKUP(B266,pratos!B:B,pratos!A:A,"não")</f>
        <v>340</v>
      </c>
      <c r="B266" s="189" t="s">
        <v>121</v>
      </c>
    </row>
    <row r="267" spans="1:2" x14ac:dyDescent="0.2">
      <c r="A267" s="187">
        <f>_xlfn.XLOOKUP(B267,pratos!B:B,pratos!A:A,"não")</f>
        <v>341</v>
      </c>
      <c r="B267" s="194" t="s">
        <v>563</v>
      </c>
    </row>
    <row r="268" spans="1:2" x14ac:dyDescent="0.2">
      <c r="A268" s="187">
        <f>_xlfn.XLOOKUP(B268,pratos!B:B,pratos!A:A,"não")</f>
        <v>343</v>
      </c>
      <c r="B268" s="191" t="s">
        <v>152</v>
      </c>
    </row>
    <row r="269" spans="1:2" x14ac:dyDescent="0.2">
      <c r="A269" s="187">
        <f>_xlfn.XLOOKUP(B269,pratos!B:B,pratos!A:A,"não")</f>
        <v>344</v>
      </c>
      <c r="B269" s="194" t="s">
        <v>566</v>
      </c>
    </row>
    <row r="270" spans="1:2" x14ac:dyDescent="0.2">
      <c r="A270" s="187" t="str">
        <f>_xlfn.XLOOKUP(B270,pratos!B:B,pratos!A:A,"não")</f>
        <v>não</v>
      </c>
      <c r="B270" s="194" t="s">
        <v>708</v>
      </c>
    </row>
    <row r="271" spans="1:2" x14ac:dyDescent="0.2">
      <c r="A271" s="187">
        <f>_xlfn.XLOOKUP(B271,pratos!B:B,pratos!A:A,"não")</f>
        <v>346</v>
      </c>
      <c r="B271" s="194" t="s">
        <v>194</v>
      </c>
    </row>
    <row r="272" spans="1:2" x14ac:dyDescent="0.2">
      <c r="A272" s="187">
        <f>_xlfn.XLOOKUP(B272,pratos!B:B,pratos!A:A,"não")</f>
        <v>347</v>
      </c>
      <c r="B272" s="194" t="s">
        <v>499</v>
      </c>
    </row>
    <row r="273" spans="1:2" x14ac:dyDescent="0.2">
      <c r="A273" s="187">
        <f>_xlfn.XLOOKUP(B273,pratos!B:B,pratos!A:A,"não")</f>
        <v>349</v>
      </c>
      <c r="B273" s="189" t="s">
        <v>116</v>
      </c>
    </row>
    <row r="274" spans="1:2" x14ac:dyDescent="0.2">
      <c r="A274" s="187">
        <f>_xlfn.XLOOKUP(B274,pratos!B:B,pratos!A:A,"não")</f>
        <v>350</v>
      </c>
      <c r="B274" s="189" t="s">
        <v>372</v>
      </c>
    </row>
    <row r="275" spans="1:2" x14ac:dyDescent="0.2">
      <c r="A275" s="187">
        <f>_xlfn.XLOOKUP(B275,pratos!B:B,pratos!A:A,"não")</f>
        <v>351</v>
      </c>
      <c r="B275" s="196" t="s">
        <v>427</v>
      </c>
    </row>
    <row r="276" spans="1:2" x14ac:dyDescent="0.2">
      <c r="A276" s="187">
        <f>_xlfn.XLOOKUP(B276,pratos!B:B,pratos!A:A,"não")</f>
        <v>352</v>
      </c>
      <c r="B276" s="194" t="s">
        <v>484</v>
      </c>
    </row>
    <row r="277" spans="1:2" x14ac:dyDescent="0.2">
      <c r="A277" s="187">
        <f>_xlfn.XLOOKUP(B277,pratos!B:B,pratos!A:A,"não")</f>
        <v>353</v>
      </c>
      <c r="B277" s="191" t="s">
        <v>165</v>
      </c>
    </row>
    <row r="278" spans="1:2" x14ac:dyDescent="0.2">
      <c r="A278" s="187">
        <f>_xlfn.XLOOKUP(B278,pratos!B:B,pratos!A:A,"não")</f>
        <v>354</v>
      </c>
      <c r="B278" s="192" t="s">
        <v>479</v>
      </c>
    </row>
    <row r="279" spans="1:2" x14ac:dyDescent="0.2">
      <c r="A279" s="187">
        <f>_xlfn.XLOOKUP(B279,pratos!B:B,pratos!A:A,"não")</f>
        <v>355</v>
      </c>
      <c r="B279" s="191" t="s">
        <v>219</v>
      </c>
    </row>
    <row r="280" spans="1:2" x14ac:dyDescent="0.2">
      <c r="A280" s="187" t="str">
        <f>_xlfn.XLOOKUP(B280,pratos!B:B,pratos!A:A,"não")</f>
        <v>não</v>
      </c>
      <c r="B280" s="192" t="s">
        <v>728</v>
      </c>
    </row>
    <row r="281" spans="1:2" x14ac:dyDescent="0.2">
      <c r="A281" s="187">
        <f>_xlfn.XLOOKUP(B281,pratos!B:B,pratos!A:A,"não")</f>
        <v>357</v>
      </c>
      <c r="B281" s="196" t="s">
        <v>456</v>
      </c>
    </row>
    <row r="282" spans="1:2" x14ac:dyDescent="0.2">
      <c r="A282" s="187">
        <f>_xlfn.XLOOKUP(B282,pratos!B:B,pratos!A:A,"não")</f>
        <v>358</v>
      </c>
      <c r="B282" s="191" t="s">
        <v>56</v>
      </c>
    </row>
    <row r="283" spans="1:2" x14ac:dyDescent="0.2">
      <c r="A283" s="187">
        <f>_xlfn.XLOOKUP(B283,pratos!B:B,pratos!A:A,"não")</f>
        <v>359</v>
      </c>
      <c r="B283" s="195" t="s">
        <v>226</v>
      </c>
    </row>
    <row r="284" spans="1:2" x14ac:dyDescent="0.2">
      <c r="A284" s="187">
        <f>_xlfn.XLOOKUP(B284,pratos!B:B,pratos!A:A,"não")</f>
        <v>360</v>
      </c>
      <c r="B284" s="200" t="s">
        <v>374</v>
      </c>
    </row>
    <row r="285" spans="1:2" x14ac:dyDescent="0.2">
      <c r="A285" s="187">
        <f>_xlfn.XLOOKUP(B285,pratos!B:B,pratos!A:A,"não")</f>
        <v>361</v>
      </c>
      <c r="B285" s="191" t="s">
        <v>188</v>
      </c>
    </row>
    <row r="286" spans="1:2" x14ac:dyDescent="0.2">
      <c r="A286" s="187">
        <f>_xlfn.XLOOKUP(B286,pratos!B:B,pratos!A:A,"não")</f>
        <v>362</v>
      </c>
      <c r="B286" s="189" t="s">
        <v>143</v>
      </c>
    </row>
    <row r="287" spans="1:2" x14ac:dyDescent="0.2">
      <c r="A287" s="187">
        <f>_xlfn.XLOOKUP(B287,pratos!B:B,pratos!A:A,"não")</f>
        <v>363</v>
      </c>
      <c r="B287" s="191" t="s">
        <v>43</v>
      </c>
    </row>
    <row r="288" spans="1:2" x14ac:dyDescent="0.2">
      <c r="A288" s="187">
        <f>_xlfn.XLOOKUP(B288,pratos!B:B,pratos!A:A,"não")</f>
        <v>364</v>
      </c>
      <c r="B288" s="189" t="s">
        <v>272</v>
      </c>
    </row>
    <row r="289" spans="1:2" x14ac:dyDescent="0.2">
      <c r="A289" s="187">
        <f>_xlfn.XLOOKUP(B289,pratos!B:B,pratos!A:A,"não")</f>
        <v>365</v>
      </c>
      <c r="B289" s="189" t="s">
        <v>353</v>
      </c>
    </row>
    <row r="290" spans="1:2" x14ac:dyDescent="0.2">
      <c r="A290" s="187">
        <f>_xlfn.XLOOKUP(B290,pratos!B:B,pratos!A:A,"não")</f>
        <v>367</v>
      </c>
      <c r="B290" s="191" t="s">
        <v>553</v>
      </c>
    </row>
    <row r="291" spans="1:2" x14ac:dyDescent="0.2">
      <c r="A291" s="187" t="str">
        <f>_xlfn.XLOOKUP(B291,pratos!B:B,pratos!A:A,"não")</f>
        <v>não</v>
      </c>
      <c r="B291" s="189" t="s">
        <v>715</v>
      </c>
    </row>
    <row r="292" spans="1:2" x14ac:dyDescent="0.2">
      <c r="A292" s="187" t="str">
        <f>_xlfn.XLOOKUP(B292,pratos!B:B,pratos!A:A,"não")</f>
        <v>não</v>
      </c>
      <c r="B292" s="189" t="s">
        <v>722</v>
      </c>
    </row>
    <row r="293" spans="1:2" x14ac:dyDescent="0.2">
      <c r="A293" s="187">
        <f>_xlfn.XLOOKUP(B293,pratos!B:B,pratos!A:A,"não")</f>
        <v>372</v>
      </c>
      <c r="B293" s="210" t="s">
        <v>717</v>
      </c>
    </row>
    <row r="294" spans="1:2" x14ac:dyDescent="0.2">
      <c r="A294" s="187">
        <f>_xlfn.XLOOKUP(B294,pratos!B:B,pratos!A:A,"não")</f>
        <v>371</v>
      </c>
      <c r="B294" s="194" t="s">
        <v>469</v>
      </c>
    </row>
    <row r="295" spans="1:2" x14ac:dyDescent="0.2">
      <c r="A295" s="187">
        <f>_xlfn.XLOOKUP(B295,pratos!B:B,pratos!A:A,"não")</f>
        <v>373</v>
      </c>
      <c r="B295" s="192" t="s">
        <v>413</v>
      </c>
    </row>
    <row r="296" spans="1:2" x14ac:dyDescent="0.2">
      <c r="A296" s="187">
        <f>_xlfn.XLOOKUP(B296,pratos!B:B,pratos!A:A,"não")</f>
        <v>374</v>
      </c>
      <c r="B296" s="200" t="s">
        <v>375</v>
      </c>
    </row>
    <row r="297" spans="1:2" x14ac:dyDescent="0.2">
      <c r="A297" s="187">
        <f>_xlfn.XLOOKUP(B297,pratos!B:B,pratos!A:A,"não")</f>
        <v>375</v>
      </c>
      <c r="B297" s="194" t="s">
        <v>478</v>
      </c>
    </row>
    <row r="298" spans="1:2" x14ac:dyDescent="0.2">
      <c r="A298" s="187">
        <f>_xlfn.XLOOKUP(B298,pratos!B:B,pratos!A:A,"não")</f>
        <v>376</v>
      </c>
      <c r="B298" s="191" t="s">
        <v>228</v>
      </c>
    </row>
    <row r="299" spans="1:2" x14ac:dyDescent="0.2">
      <c r="A299" s="187">
        <f>_xlfn.XLOOKUP(B299,pratos!B:B,pratos!A:A,"não")</f>
        <v>378</v>
      </c>
      <c r="B299" s="194" t="s">
        <v>488</v>
      </c>
    </row>
    <row r="300" spans="1:2" x14ac:dyDescent="0.2">
      <c r="A300" s="187">
        <f>_xlfn.XLOOKUP(B300,pratos!B:B,pratos!A:A,"não")</f>
        <v>379</v>
      </c>
      <c r="B300" s="191" t="s">
        <v>386</v>
      </c>
    </row>
    <row r="301" spans="1:2" x14ac:dyDescent="0.2">
      <c r="A301" s="187" t="str">
        <f>_xlfn.XLOOKUP(B301,pratos!B:B,pratos!A:A,"não")</f>
        <v>não</v>
      </c>
      <c r="B301" s="192" t="s">
        <v>726</v>
      </c>
    </row>
    <row r="302" spans="1:2" x14ac:dyDescent="0.2">
      <c r="A302" s="187">
        <f>_xlfn.XLOOKUP(B302,pratos!B:B,pratos!A:A,"não")</f>
        <v>383</v>
      </c>
      <c r="B302" s="195" t="s">
        <v>108</v>
      </c>
    </row>
    <row r="303" spans="1:2" x14ac:dyDescent="0.2">
      <c r="A303" s="187">
        <f>_xlfn.XLOOKUP(B303,pratos!B:B,pratos!A:A,"não")</f>
        <v>384</v>
      </c>
      <c r="B303" s="189" t="s">
        <v>120</v>
      </c>
    </row>
    <row r="304" spans="1:2" x14ac:dyDescent="0.2">
      <c r="A304" s="187">
        <f>_xlfn.XLOOKUP(B304,pratos!B:B,pratos!A:A,"não")</f>
        <v>385</v>
      </c>
      <c r="B304" s="189" t="s">
        <v>590</v>
      </c>
    </row>
    <row r="305" spans="1:2" x14ac:dyDescent="0.2">
      <c r="A305" s="187" t="str">
        <f>_xlfn.XLOOKUP(B305,pratos!B:B,pratos!A:A,"não")</f>
        <v>não</v>
      </c>
      <c r="B305" s="196" t="s">
        <v>727</v>
      </c>
    </row>
    <row r="306" spans="1:2" x14ac:dyDescent="0.2">
      <c r="A306" s="187">
        <f>_xlfn.XLOOKUP(B306,pratos!B:B,pratos!A:A,"não")</f>
        <v>387</v>
      </c>
      <c r="B306" s="196" t="s">
        <v>400</v>
      </c>
    </row>
    <row r="307" spans="1:2" x14ac:dyDescent="0.2">
      <c r="A307" s="187">
        <f>_xlfn.XLOOKUP(B307,pratos!B:B,pratos!A:A,"não")</f>
        <v>388</v>
      </c>
      <c r="B307" s="189" t="s">
        <v>193</v>
      </c>
    </row>
    <row r="308" spans="1:2" x14ac:dyDescent="0.2">
      <c r="A308" s="187" t="str">
        <f>_xlfn.XLOOKUP(B308,pratos!B:B,pratos!A:A,"não")</f>
        <v>não</v>
      </c>
      <c r="B308" s="194" t="s">
        <v>731</v>
      </c>
    </row>
    <row r="309" spans="1:2" x14ac:dyDescent="0.2">
      <c r="A309" s="187">
        <f>_xlfn.XLOOKUP(B309,pratos!B:B,pratos!A:A,"não")</f>
        <v>390</v>
      </c>
      <c r="B309" s="194" t="s">
        <v>537</v>
      </c>
    </row>
    <row r="310" spans="1:2" x14ac:dyDescent="0.2">
      <c r="A310" s="187">
        <f>_xlfn.XLOOKUP(B310,pratos!B:B,pratos!A:A,"não")</f>
        <v>391</v>
      </c>
      <c r="B310" s="189" t="s">
        <v>203</v>
      </c>
    </row>
    <row r="311" spans="1:2" x14ac:dyDescent="0.2">
      <c r="A311" s="187" t="str">
        <f>_xlfn.XLOOKUP(B311,pratos!B:B,pratos!A:A,"não")</f>
        <v>não</v>
      </c>
      <c r="B311" s="198" t="s">
        <v>730</v>
      </c>
    </row>
    <row r="312" spans="1:2" x14ac:dyDescent="0.2">
      <c r="A312" s="187">
        <f>_xlfn.XLOOKUP(B312,pratos!B:B,pratos!A:A,"não")</f>
        <v>393</v>
      </c>
      <c r="B312" s="194" t="s">
        <v>487</v>
      </c>
    </row>
    <row r="313" spans="1:2" x14ac:dyDescent="0.2">
      <c r="A313" s="187">
        <f>_xlfn.XLOOKUP(B313,pratos!B:B,pratos!A:A,"não")</f>
        <v>394</v>
      </c>
      <c r="B313" s="198" t="s">
        <v>501</v>
      </c>
    </row>
    <row r="314" spans="1:2" x14ac:dyDescent="0.2">
      <c r="A314" s="187" t="str">
        <f>_xlfn.XLOOKUP(B314,pratos!B:B,pratos!A:A,"não")</f>
        <v>não</v>
      </c>
      <c r="B314" s="189" t="s">
        <v>719</v>
      </c>
    </row>
    <row r="315" spans="1:2" x14ac:dyDescent="0.2">
      <c r="A315" s="187">
        <f>_xlfn.XLOOKUP(B315,pratos!B:B,pratos!A:A,"não")</f>
        <v>396</v>
      </c>
      <c r="B315" s="189" t="s">
        <v>249</v>
      </c>
    </row>
    <row r="316" spans="1:2" x14ac:dyDescent="0.2">
      <c r="A316" s="187">
        <f>_xlfn.XLOOKUP(B316,pratos!B:B,pratos!A:A,"não")</f>
        <v>397</v>
      </c>
      <c r="B316" s="194" t="s">
        <v>579</v>
      </c>
    </row>
    <row r="317" spans="1:2" x14ac:dyDescent="0.2">
      <c r="A317" s="187" t="str">
        <f>_xlfn.XLOOKUP(B317,pratos!B:B,pratos!A:A,"não")</f>
        <v>não</v>
      </c>
      <c r="B317" s="189" t="s">
        <v>716</v>
      </c>
    </row>
    <row r="318" spans="1:2" x14ac:dyDescent="0.2">
      <c r="A318" s="187">
        <f>_xlfn.XLOOKUP(B318,pratos!B:B,pratos!A:A,"não")</f>
        <v>399</v>
      </c>
      <c r="B318" s="189" t="s">
        <v>197</v>
      </c>
    </row>
    <row r="319" spans="1:2" x14ac:dyDescent="0.2">
      <c r="A319" s="187">
        <f>_xlfn.XLOOKUP(B319,pratos!B:B,pratos!A:A,"não")</f>
        <v>402</v>
      </c>
      <c r="B319" s="196" t="s">
        <v>462</v>
      </c>
    </row>
    <row r="320" spans="1:2" x14ac:dyDescent="0.2">
      <c r="A320" s="187">
        <f>_xlfn.XLOOKUP(B320,pratos!B:B,pratos!A:A,"não")</f>
        <v>403</v>
      </c>
      <c r="B320" s="194" t="s">
        <v>498</v>
      </c>
    </row>
    <row r="321" spans="1:2" x14ac:dyDescent="0.2">
      <c r="A321" s="187">
        <f>_xlfn.XLOOKUP(B321,pratos!B:B,pratos!A:A,"não")</f>
        <v>404</v>
      </c>
      <c r="B321" s="196" t="s">
        <v>466</v>
      </c>
    </row>
    <row r="322" spans="1:2" x14ac:dyDescent="0.2">
      <c r="A322" s="187">
        <f>_xlfn.XLOOKUP(B322,pratos!B:B,pratos!A:A,"não")</f>
        <v>405</v>
      </c>
      <c r="B322" s="194" t="s">
        <v>502</v>
      </c>
    </row>
    <row r="323" spans="1:2" x14ac:dyDescent="0.2">
      <c r="A323" s="187" t="str">
        <f>_xlfn.XLOOKUP(B323,pratos!B:B,pratos!A:A,"não")</f>
        <v>não</v>
      </c>
      <c r="B323" s="209" t="s">
        <v>729</v>
      </c>
    </row>
    <row r="324" spans="1:2" x14ac:dyDescent="0.2">
      <c r="A324" s="187">
        <f>_xlfn.XLOOKUP(B324,pratos!B:B,pratos!A:A,"não")</f>
        <v>407</v>
      </c>
      <c r="B324" s="195" t="s">
        <v>114</v>
      </c>
    </row>
    <row r="325" spans="1:2" x14ac:dyDescent="0.2">
      <c r="A325" s="187">
        <f>_xlfn.XLOOKUP(B325,pratos!B:B,pratos!A:A,"não")</f>
        <v>408</v>
      </c>
      <c r="B325" s="189" t="s">
        <v>125</v>
      </c>
    </row>
    <row r="326" spans="1:2" x14ac:dyDescent="0.2">
      <c r="A326" s="187" t="str">
        <f>_xlfn.XLOOKUP(B326,pratos!B:B,pratos!A:A,"não")</f>
        <v>não</v>
      </c>
      <c r="B326" s="189" t="s">
        <v>725</v>
      </c>
    </row>
    <row r="327" spans="1:2" x14ac:dyDescent="0.2">
      <c r="A327" s="187" t="str">
        <f>_xlfn.XLOOKUP(B327,pratos!B:B,pratos!A:A,"não")</f>
        <v>não</v>
      </c>
      <c r="B327" s="203" t="s">
        <v>718</v>
      </c>
    </row>
    <row r="328" spans="1:2" x14ac:dyDescent="0.2">
      <c r="A328" s="187">
        <f>_xlfn.XLOOKUP(B328,pratos!B:B,pratos!A:A,"não")</f>
        <v>411</v>
      </c>
      <c r="B328" s="189" t="s">
        <v>248</v>
      </c>
    </row>
    <row r="329" spans="1:2" x14ac:dyDescent="0.2">
      <c r="A329" s="187">
        <f>_xlfn.XLOOKUP(B329,pratos!B:B,pratos!A:A,"não")</f>
        <v>412</v>
      </c>
      <c r="B329" s="189" t="s">
        <v>371</v>
      </c>
    </row>
    <row r="330" spans="1:2" x14ac:dyDescent="0.2">
      <c r="A330" s="187">
        <f>_xlfn.XLOOKUP(B330,pratos!B:B,pratos!A:A,"não")</f>
        <v>413</v>
      </c>
      <c r="B330" s="192" t="s">
        <v>586</v>
      </c>
    </row>
    <row r="331" spans="1:2" x14ac:dyDescent="0.2">
      <c r="A331" s="187">
        <f>_xlfn.XLOOKUP(B331,pratos!B:B,pratos!A:A,"não")</f>
        <v>414</v>
      </c>
      <c r="B331" s="205" t="s">
        <v>396</v>
      </c>
    </row>
    <row r="332" spans="1:2" x14ac:dyDescent="0.2">
      <c r="A332" s="187">
        <f>_xlfn.XLOOKUP(B332,pratos!B:B,pratos!A:A,"não")</f>
        <v>415</v>
      </c>
      <c r="B332" s="205" t="s">
        <v>399</v>
      </c>
    </row>
    <row r="333" spans="1:2" x14ac:dyDescent="0.2">
      <c r="A333" s="187" t="str">
        <f>_xlfn.XLOOKUP(B333,pratos!B:B,pratos!A:A,"não")</f>
        <v>não</v>
      </c>
      <c r="B333" s="189" t="s">
        <v>721</v>
      </c>
    </row>
    <row r="334" spans="1:2" x14ac:dyDescent="0.2">
      <c r="A334" s="187">
        <f>_xlfn.XLOOKUP(B334,pratos!B:B,pratos!A:A,"não")</f>
        <v>417</v>
      </c>
      <c r="B334" s="189" t="s">
        <v>289</v>
      </c>
    </row>
    <row r="335" spans="1:2" x14ac:dyDescent="0.2">
      <c r="A335" s="187">
        <f>_xlfn.XLOOKUP(B335,pratos!B:B,pratos!A:A,"não")</f>
        <v>419</v>
      </c>
      <c r="B335" s="192" t="s">
        <v>340</v>
      </c>
    </row>
    <row r="336" spans="1:2" x14ac:dyDescent="0.2">
      <c r="A336" s="187" t="str">
        <f>_xlfn.XLOOKUP(B336,pratos!B:B,pratos!A:A,"não")</f>
        <v>não</v>
      </c>
      <c r="B336" s="189" t="s">
        <v>753</v>
      </c>
    </row>
    <row r="337" spans="1:2" x14ac:dyDescent="0.2">
      <c r="A337" s="187">
        <f>_xlfn.XLOOKUP(B337,pratos!B:B,pratos!A:A,"não")</f>
        <v>425</v>
      </c>
      <c r="B337" s="198" t="s">
        <v>80</v>
      </c>
    </row>
    <row r="338" spans="1:2" x14ac:dyDescent="0.2">
      <c r="A338" s="187" t="str">
        <f>_xlfn.XLOOKUP(B338,pratos!B:B,pratos!A:A,"não")</f>
        <v>não</v>
      </c>
      <c r="B338" s="189" t="s">
        <v>754</v>
      </c>
    </row>
    <row r="339" spans="1:2" x14ac:dyDescent="0.2">
      <c r="A339" s="187" t="str">
        <f>_xlfn.XLOOKUP(B339,pratos!B:B,pratos!A:A,"não")</f>
        <v>não</v>
      </c>
      <c r="B339" s="195" t="s">
        <v>755</v>
      </c>
    </row>
    <row r="340" spans="1:2" x14ac:dyDescent="0.2">
      <c r="A340" s="187" t="str">
        <f>_xlfn.XLOOKUP(B340,pratos!B:B,pratos!A:A,"não")</f>
        <v>não</v>
      </c>
      <c r="B340" s="189" t="s">
        <v>756</v>
      </c>
    </row>
    <row r="341" spans="1:2" x14ac:dyDescent="0.2">
      <c r="A341" s="187">
        <f>_xlfn.XLOOKUP(B341,pratos!B:B,pratos!A:A,"não")</f>
        <v>432</v>
      </c>
      <c r="B341" s="189" t="s">
        <v>174</v>
      </c>
    </row>
    <row r="342" spans="1:2" x14ac:dyDescent="0.2">
      <c r="A342" s="187">
        <f>_xlfn.XLOOKUP(B342,pratos!B:B,pratos!A:A,"não")</f>
        <v>422</v>
      </c>
      <c r="B342" s="195" t="s">
        <v>8</v>
      </c>
    </row>
    <row r="343" spans="1:2" x14ac:dyDescent="0.2">
      <c r="A343" s="187">
        <f>_xlfn.XLOOKUP(B343,pratos!B:B,pratos!A:A,"não")</f>
        <v>423</v>
      </c>
      <c r="B343" s="198" t="s">
        <v>564</v>
      </c>
    </row>
    <row r="344" spans="1:2" x14ac:dyDescent="0.2">
      <c r="A344" s="187">
        <f>_xlfn.XLOOKUP(B344,pratos!B:B,pratos!A:A,"não")</f>
        <v>426</v>
      </c>
      <c r="B344" s="189" t="s">
        <v>231</v>
      </c>
    </row>
    <row r="345" spans="1:2" x14ac:dyDescent="0.2">
      <c r="A345" s="187">
        <f>_xlfn.XLOOKUP(B345,pratos!B:B,pratos!A:A,"não")</f>
        <v>427</v>
      </c>
      <c r="B345" s="195" t="s">
        <v>136</v>
      </c>
    </row>
    <row r="346" spans="1:2" x14ac:dyDescent="0.2">
      <c r="A346" s="187">
        <f>_xlfn.XLOOKUP(B346,pratos!B:B,pratos!A:A,"não")</f>
        <v>428</v>
      </c>
      <c r="B346" s="189" t="s">
        <v>75</v>
      </c>
    </row>
    <row r="347" spans="1:2" x14ac:dyDescent="0.2">
      <c r="A347" s="187">
        <f>_xlfn.XLOOKUP(B347,pratos!B:B,pratos!A:A,"não")</f>
        <v>429</v>
      </c>
      <c r="B347" s="199" t="s">
        <v>337</v>
      </c>
    </row>
    <row r="348" spans="1:2" x14ac:dyDescent="0.2">
      <c r="A348" s="187">
        <f>_xlfn.XLOOKUP(B348,pratos!B:B,pratos!A:A,"não")</f>
        <v>430</v>
      </c>
      <c r="B348" s="195" t="s">
        <v>181</v>
      </c>
    </row>
    <row r="349" spans="1:2" x14ac:dyDescent="0.2">
      <c r="A349" s="187">
        <f>_xlfn.XLOOKUP(B349,pratos!B:B,pratos!A:A,"não")</f>
        <v>433</v>
      </c>
      <c r="B349" s="195" t="s">
        <v>252</v>
      </c>
    </row>
    <row r="350" spans="1:2" x14ac:dyDescent="0.2">
      <c r="A350" s="187">
        <f>_xlfn.XLOOKUP(B350,pratos!B:B,pratos!A:A,"não")</f>
        <v>434</v>
      </c>
      <c r="B350" s="191" t="s">
        <v>417</v>
      </c>
    </row>
    <row r="351" spans="1:2" x14ac:dyDescent="0.2">
      <c r="A351" s="187">
        <f>_xlfn.XLOOKUP(B351,pratos!B:B,pratos!A:A,"não")</f>
        <v>435</v>
      </c>
      <c r="B351" s="189" t="s">
        <v>323</v>
      </c>
    </row>
    <row r="352" spans="1:2" x14ac:dyDescent="0.2">
      <c r="A352" s="187">
        <f>_xlfn.XLOOKUP(B352,pratos!B:B,pratos!A:A,"não")</f>
        <v>436</v>
      </c>
      <c r="B352" s="200" t="s">
        <v>393</v>
      </c>
    </row>
    <row r="353" spans="1:2" x14ac:dyDescent="0.2">
      <c r="A353" s="187">
        <f>_xlfn.XLOOKUP(B353,pratos!B:B,pratos!A:A,"não")</f>
        <v>437</v>
      </c>
      <c r="B353" s="192" t="s">
        <v>281</v>
      </c>
    </row>
    <row r="354" spans="1:2" x14ac:dyDescent="0.2">
      <c r="A354" s="187">
        <f>_xlfn.XLOOKUP(B354,pratos!B:B,pratos!A:A,"não")</f>
        <v>439</v>
      </c>
      <c r="B354" s="191" t="s">
        <v>36</v>
      </c>
    </row>
    <row r="355" spans="1:2" x14ac:dyDescent="0.2">
      <c r="A355" s="187">
        <f>_xlfn.XLOOKUP(B355,pratos!B:B,pratos!A:A,"não")</f>
        <v>440</v>
      </c>
      <c r="B355" s="191" t="s">
        <v>346</v>
      </c>
    </row>
    <row r="356" spans="1:2" x14ac:dyDescent="0.2">
      <c r="A356" s="187">
        <f>_xlfn.XLOOKUP(B356,pratos!B:B,pratos!A:A,"não")</f>
        <v>441</v>
      </c>
      <c r="B356" s="191" t="s">
        <v>454</v>
      </c>
    </row>
    <row r="357" spans="1:2" x14ac:dyDescent="0.2">
      <c r="A357" s="187">
        <f>_xlfn.XLOOKUP(B357,pratos!B:B,pratos!A:A,"não")</f>
        <v>442</v>
      </c>
      <c r="B357" s="192" t="s">
        <v>437</v>
      </c>
    </row>
    <row r="358" spans="1:2" x14ac:dyDescent="0.2">
      <c r="A358" s="187">
        <f>_xlfn.XLOOKUP(B358,pratos!B:B,pratos!A:A,"não")</f>
        <v>444</v>
      </c>
      <c r="B358" s="189" t="s">
        <v>130</v>
      </c>
    </row>
    <row r="359" spans="1:2" x14ac:dyDescent="0.2">
      <c r="A359" s="187">
        <f>_xlfn.XLOOKUP(B359,pratos!B:B,pratos!A:A,"não")</f>
        <v>445</v>
      </c>
      <c r="B359" s="191" t="s">
        <v>355</v>
      </c>
    </row>
    <row r="360" spans="1:2" x14ac:dyDescent="0.2">
      <c r="A360" s="187">
        <f>_xlfn.XLOOKUP(B360,pratos!B:B,pratos!A:A,"não")</f>
        <v>446</v>
      </c>
      <c r="B360" s="191" t="s">
        <v>61</v>
      </c>
    </row>
    <row r="361" spans="1:2" x14ac:dyDescent="0.2">
      <c r="A361" s="187">
        <f>_xlfn.XLOOKUP(B361,pratos!B:B,pratos!A:A,"não")</f>
        <v>447</v>
      </c>
      <c r="B361" s="193" t="s">
        <v>119</v>
      </c>
    </row>
    <row r="362" spans="1:2" x14ac:dyDescent="0.2">
      <c r="A362"/>
    </row>
    <row r="363" spans="1:2" x14ac:dyDescent="0.2">
      <c r="A363"/>
    </row>
    <row r="364" spans="1:2" x14ac:dyDescent="0.2">
      <c r="A364"/>
    </row>
    <row r="365" spans="1:2" x14ac:dyDescent="0.2">
      <c r="A365"/>
    </row>
    <row r="366" spans="1:2" x14ac:dyDescent="0.2">
      <c r="A366"/>
    </row>
    <row r="367" spans="1:2" x14ac:dyDescent="0.2">
      <c r="A367"/>
    </row>
    <row r="368" spans="1:2" x14ac:dyDescent="0.2">
      <c r="A368"/>
    </row>
    <row r="369" spans="1:1" x14ac:dyDescent="0.2">
      <c r="A369"/>
    </row>
    <row r="370" spans="1:1" x14ac:dyDescent="0.2">
      <c r="A370"/>
    </row>
    <row r="371" spans="1:1" x14ac:dyDescent="0.2">
      <c r="A371"/>
    </row>
    <row r="372" spans="1:1" x14ac:dyDescent="0.2">
      <c r="A372"/>
    </row>
    <row r="373" spans="1:1" x14ac:dyDescent="0.2">
      <c r="A373"/>
    </row>
    <row r="374" spans="1:1" x14ac:dyDescent="0.2">
      <c r="A374"/>
    </row>
    <row r="375" spans="1:1" x14ac:dyDescent="0.2">
      <c r="A375"/>
    </row>
    <row r="376" spans="1:1" x14ac:dyDescent="0.2">
      <c r="A376"/>
    </row>
    <row r="377" spans="1:1" x14ac:dyDescent="0.2">
      <c r="A377"/>
    </row>
    <row r="378" spans="1:1" x14ac:dyDescent="0.2">
      <c r="A378"/>
    </row>
    <row r="379" spans="1:1" x14ac:dyDescent="0.2">
      <c r="A379"/>
    </row>
    <row r="380" spans="1:1" x14ac:dyDescent="0.2">
      <c r="A380"/>
    </row>
    <row r="381" spans="1:1" x14ac:dyDescent="0.2">
      <c r="A381"/>
    </row>
    <row r="382" spans="1:1" x14ac:dyDescent="0.2">
      <c r="A382"/>
    </row>
    <row r="383" spans="1:1" x14ac:dyDescent="0.2">
      <c r="A383"/>
    </row>
    <row r="384" spans="1:1" x14ac:dyDescent="0.2">
      <c r="A384"/>
    </row>
    <row r="385" spans="1:1" x14ac:dyDescent="0.2">
      <c r="A385"/>
    </row>
    <row r="386" spans="1:1" x14ac:dyDescent="0.2">
      <c r="A386"/>
    </row>
    <row r="387" spans="1:1" x14ac:dyDescent="0.2">
      <c r="A387"/>
    </row>
    <row r="388" spans="1:1" x14ac:dyDescent="0.2">
      <c r="A388"/>
    </row>
    <row r="389" spans="1:1" x14ac:dyDescent="0.2">
      <c r="A389"/>
    </row>
    <row r="390" spans="1:1" x14ac:dyDescent="0.2">
      <c r="A390"/>
    </row>
    <row r="391" spans="1:1" x14ac:dyDescent="0.2">
      <c r="A391"/>
    </row>
    <row r="392" spans="1:1" x14ac:dyDescent="0.2">
      <c r="A392"/>
    </row>
    <row r="393" spans="1:1" x14ac:dyDescent="0.2">
      <c r="A393"/>
    </row>
    <row r="394" spans="1:1" x14ac:dyDescent="0.2">
      <c r="A394"/>
    </row>
    <row r="395" spans="1:1" x14ac:dyDescent="0.2">
      <c r="A395"/>
    </row>
    <row r="396" spans="1:1" x14ac:dyDescent="0.2">
      <c r="A396"/>
    </row>
    <row r="397" spans="1:1" x14ac:dyDescent="0.2">
      <c r="A397"/>
    </row>
    <row r="398" spans="1:1" x14ac:dyDescent="0.2">
      <c r="A398"/>
    </row>
    <row r="399" spans="1:1" x14ac:dyDescent="0.2">
      <c r="A399"/>
    </row>
    <row r="400" spans="1:1" x14ac:dyDescent="0.2">
      <c r="A400"/>
    </row>
    <row r="401" spans="1:1" x14ac:dyDescent="0.2">
      <c r="A401"/>
    </row>
    <row r="402" spans="1:1" x14ac:dyDescent="0.2">
      <c r="A402"/>
    </row>
    <row r="403" spans="1:1" x14ac:dyDescent="0.2">
      <c r="A403"/>
    </row>
    <row r="404" spans="1:1" x14ac:dyDescent="0.2">
      <c r="A404"/>
    </row>
    <row r="405" spans="1:1" x14ac:dyDescent="0.2">
      <c r="A405"/>
    </row>
    <row r="406" spans="1:1" x14ac:dyDescent="0.2">
      <c r="A406"/>
    </row>
    <row r="407" spans="1:1" x14ac:dyDescent="0.2">
      <c r="A407"/>
    </row>
    <row r="408" spans="1:1" x14ac:dyDescent="0.2">
      <c r="A408"/>
    </row>
    <row r="409" spans="1:1" x14ac:dyDescent="0.2">
      <c r="A409"/>
    </row>
    <row r="410" spans="1:1" x14ac:dyDescent="0.2">
      <c r="A410"/>
    </row>
    <row r="411" spans="1:1" x14ac:dyDescent="0.2">
      <c r="A411"/>
    </row>
    <row r="412" spans="1:1" x14ac:dyDescent="0.2">
      <c r="A412"/>
    </row>
    <row r="413" spans="1:1" x14ac:dyDescent="0.2">
      <c r="A413"/>
    </row>
    <row r="414" spans="1:1" x14ac:dyDescent="0.2">
      <c r="A414"/>
    </row>
    <row r="415" spans="1:1" x14ac:dyDescent="0.2">
      <c r="A415"/>
    </row>
    <row r="416" spans="1:1" x14ac:dyDescent="0.2">
      <c r="A416"/>
    </row>
    <row r="417" spans="1:1" x14ac:dyDescent="0.2">
      <c r="A417"/>
    </row>
    <row r="418" spans="1:1" x14ac:dyDescent="0.2">
      <c r="A418"/>
    </row>
    <row r="419" spans="1:1" x14ac:dyDescent="0.2">
      <c r="A419"/>
    </row>
    <row r="420" spans="1:1" x14ac:dyDescent="0.2">
      <c r="A420"/>
    </row>
    <row r="421" spans="1:1" x14ac:dyDescent="0.2">
      <c r="A421"/>
    </row>
    <row r="422" spans="1:1" x14ac:dyDescent="0.2">
      <c r="A422"/>
    </row>
    <row r="423" spans="1:1" x14ac:dyDescent="0.2">
      <c r="A423"/>
    </row>
    <row r="424" spans="1:1" x14ac:dyDescent="0.2">
      <c r="A424"/>
    </row>
    <row r="425" spans="1:1" x14ac:dyDescent="0.2">
      <c r="A425"/>
    </row>
    <row r="426" spans="1:1" x14ac:dyDescent="0.2">
      <c r="A426"/>
    </row>
    <row r="427" spans="1:1" x14ac:dyDescent="0.2">
      <c r="A427"/>
    </row>
    <row r="428" spans="1:1" x14ac:dyDescent="0.2">
      <c r="A428"/>
    </row>
    <row r="429" spans="1:1" x14ac:dyDescent="0.2">
      <c r="A429"/>
    </row>
    <row r="430" spans="1:1" x14ac:dyDescent="0.2">
      <c r="A430"/>
    </row>
    <row r="431" spans="1:1" x14ac:dyDescent="0.2">
      <c r="A431"/>
    </row>
    <row r="432" spans="1:1" x14ac:dyDescent="0.2">
      <c r="A432"/>
    </row>
    <row r="433" spans="1:1" x14ac:dyDescent="0.2">
      <c r="A433"/>
    </row>
    <row r="434" spans="1:1" x14ac:dyDescent="0.2">
      <c r="A434"/>
    </row>
    <row r="435" spans="1:1" x14ac:dyDescent="0.2">
      <c r="A435"/>
    </row>
    <row r="436" spans="1:1" x14ac:dyDescent="0.2">
      <c r="A436"/>
    </row>
    <row r="437" spans="1:1" x14ac:dyDescent="0.2">
      <c r="A437"/>
    </row>
    <row r="438" spans="1:1" x14ac:dyDescent="0.2">
      <c r="A438"/>
    </row>
    <row r="439" spans="1:1" x14ac:dyDescent="0.2">
      <c r="A439"/>
    </row>
    <row r="440" spans="1:1" x14ac:dyDescent="0.2">
      <c r="A440"/>
    </row>
    <row r="441" spans="1:1" x14ac:dyDescent="0.2">
      <c r="A441"/>
    </row>
    <row r="442" spans="1:1" x14ac:dyDescent="0.2">
      <c r="A442"/>
    </row>
    <row r="443" spans="1:1" x14ac:dyDescent="0.2">
      <c r="A443"/>
    </row>
    <row r="444" spans="1:1" x14ac:dyDescent="0.2">
      <c r="A444"/>
    </row>
    <row r="445" spans="1:1" x14ac:dyDescent="0.2">
      <c r="A445"/>
    </row>
    <row r="446" spans="1:1" x14ac:dyDescent="0.2">
      <c r="A446"/>
    </row>
    <row r="447" spans="1:1" x14ac:dyDescent="0.2">
      <c r="A447"/>
    </row>
    <row r="448" spans="1:1" x14ac:dyDescent="0.2">
      <c r="A448"/>
    </row>
    <row r="449" spans="1:1" x14ac:dyDescent="0.2">
      <c r="A449"/>
    </row>
    <row r="450" spans="1:1" x14ac:dyDescent="0.2">
      <c r="A450"/>
    </row>
    <row r="451" spans="1:1" x14ac:dyDescent="0.2">
      <c r="A451"/>
    </row>
    <row r="452" spans="1:1" x14ac:dyDescent="0.2">
      <c r="A452"/>
    </row>
    <row r="453" spans="1:1" x14ac:dyDescent="0.2">
      <c r="A453"/>
    </row>
    <row r="454" spans="1:1" x14ac:dyDescent="0.2">
      <c r="A454"/>
    </row>
    <row r="455" spans="1:1" x14ac:dyDescent="0.2">
      <c r="A455"/>
    </row>
    <row r="456" spans="1:1" x14ac:dyDescent="0.2">
      <c r="A456"/>
    </row>
    <row r="457" spans="1:1" x14ac:dyDescent="0.2">
      <c r="A457"/>
    </row>
    <row r="458" spans="1:1" x14ac:dyDescent="0.2">
      <c r="A458"/>
    </row>
    <row r="459" spans="1:1" x14ac:dyDescent="0.2">
      <c r="A459"/>
    </row>
    <row r="460" spans="1:1" x14ac:dyDescent="0.2">
      <c r="A460"/>
    </row>
    <row r="461" spans="1:1" x14ac:dyDescent="0.2">
      <c r="A461"/>
    </row>
    <row r="462" spans="1:1" x14ac:dyDescent="0.2">
      <c r="A462"/>
    </row>
    <row r="463" spans="1:1" x14ac:dyDescent="0.2">
      <c r="A463"/>
    </row>
    <row r="464" spans="1:1" x14ac:dyDescent="0.2">
      <c r="A464"/>
    </row>
    <row r="465" spans="1:1" x14ac:dyDescent="0.2">
      <c r="A465"/>
    </row>
    <row r="466" spans="1:1" x14ac:dyDescent="0.2">
      <c r="A466"/>
    </row>
    <row r="467" spans="1:1" x14ac:dyDescent="0.2">
      <c r="A467"/>
    </row>
    <row r="468" spans="1:1" x14ac:dyDescent="0.2">
      <c r="A468"/>
    </row>
    <row r="469" spans="1:1" x14ac:dyDescent="0.2">
      <c r="A469"/>
    </row>
    <row r="470" spans="1:1" x14ac:dyDescent="0.2">
      <c r="A470"/>
    </row>
    <row r="471" spans="1:1" x14ac:dyDescent="0.2">
      <c r="A471"/>
    </row>
    <row r="472" spans="1:1" x14ac:dyDescent="0.2">
      <c r="A472"/>
    </row>
    <row r="473" spans="1:1" x14ac:dyDescent="0.2">
      <c r="A473"/>
    </row>
    <row r="474" spans="1:1" x14ac:dyDescent="0.2">
      <c r="A474"/>
    </row>
    <row r="475" spans="1:1" x14ac:dyDescent="0.2">
      <c r="A475"/>
    </row>
    <row r="476" spans="1:1" x14ac:dyDescent="0.2">
      <c r="A476"/>
    </row>
    <row r="477" spans="1:1" x14ac:dyDescent="0.2">
      <c r="A477"/>
    </row>
    <row r="478" spans="1:1" x14ac:dyDescent="0.2">
      <c r="A478"/>
    </row>
    <row r="479" spans="1:1" x14ac:dyDescent="0.2">
      <c r="A479"/>
    </row>
    <row r="480" spans="1:1" x14ac:dyDescent="0.2">
      <c r="A480"/>
    </row>
    <row r="481" spans="1:1" x14ac:dyDescent="0.2">
      <c r="A481"/>
    </row>
    <row r="482" spans="1:1" x14ac:dyDescent="0.2">
      <c r="A482"/>
    </row>
    <row r="483" spans="1:1" x14ac:dyDescent="0.2">
      <c r="A483"/>
    </row>
    <row r="484" spans="1:1" x14ac:dyDescent="0.2">
      <c r="A484"/>
    </row>
    <row r="485" spans="1:1" x14ac:dyDescent="0.2">
      <c r="A485"/>
    </row>
    <row r="486" spans="1:1" x14ac:dyDescent="0.2">
      <c r="A486"/>
    </row>
    <row r="487" spans="1:1" x14ac:dyDescent="0.2">
      <c r="A487"/>
    </row>
    <row r="488" spans="1:1" x14ac:dyDescent="0.2">
      <c r="A488"/>
    </row>
    <row r="489" spans="1:1" x14ac:dyDescent="0.2">
      <c r="A489"/>
    </row>
    <row r="490" spans="1:1" x14ac:dyDescent="0.2">
      <c r="A490"/>
    </row>
    <row r="491" spans="1:1" x14ac:dyDescent="0.2">
      <c r="A491"/>
    </row>
    <row r="492" spans="1:1" x14ac:dyDescent="0.2">
      <c r="A492"/>
    </row>
    <row r="493" spans="1:1" x14ac:dyDescent="0.2">
      <c r="A493"/>
    </row>
    <row r="494" spans="1:1" x14ac:dyDescent="0.2">
      <c r="A494"/>
    </row>
    <row r="495" spans="1:1" x14ac:dyDescent="0.2">
      <c r="A495"/>
    </row>
    <row r="496" spans="1:1" x14ac:dyDescent="0.2">
      <c r="A496"/>
    </row>
    <row r="497" spans="1:1" x14ac:dyDescent="0.2">
      <c r="A497"/>
    </row>
    <row r="498" spans="1:1" x14ac:dyDescent="0.2">
      <c r="A498"/>
    </row>
    <row r="499" spans="1:1" x14ac:dyDescent="0.2">
      <c r="A499"/>
    </row>
    <row r="500" spans="1:1" x14ac:dyDescent="0.2">
      <c r="A500"/>
    </row>
    <row r="501" spans="1:1" x14ac:dyDescent="0.2">
      <c r="A501"/>
    </row>
    <row r="502" spans="1:1" x14ac:dyDescent="0.2">
      <c r="A502"/>
    </row>
    <row r="503" spans="1:1" x14ac:dyDescent="0.2">
      <c r="A503"/>
    </row>
    <row r="504" spans="1:1" x14ac:dyDescent="0.2">
      <c r="A504"/>
    </row>
    <row r="505" spans="1:1" x14ac:dyDescent="0.2">
      <c r="A505"/>
    </row>
    <row r="506" spans="1:1" x14ac:dyDescent="0.2">
      <c r="A506"/>
    </row>
    <row r="507" spans="1:1" x14ac:dyDescent="0.2">
      <c r="A507"/>
    </row>
    <row r="508" spans="1:1" x14ac:dyDescent="0.2">
      <c r="A508"/>
    </row>
    <row r="509" spans="1:1" x14ac:dyDescent="0.2">
      <c r="A509"/>
    </row>
    <row r="510" spans="1:1" x14ac:dyDescent="0.2">
      <c r="A510"/>
    </row>
    <row r="511" spans="1:1" x14ac:dyDescent="0.2">
      <c r="A511"/>
    </row>
    <row r="512" spans="1:1" x14ac:dyDescent="0.2">
      <c r="A512"/>
    </row>
    <row r="513" spans="1:1" x14ac:dyDescent="0.2">
      <c r="A513"/>
    </row>
    <row r="514" spans="1:1" x14ac:dyDescent="0.2">
      <c r="A514"/>
    </row>
    <row r="515" spans="1:1" x14ac:dyDescent="0.2">
      <c r="A515"/>
    </row>
    <row r="516" spans="1:1" x14ac:dyDescent="0.2">
      <c r="A516"/>
    </row>
    <row r="517" spans="1:1" x14ac:dyDescent="0.2">
      <c r="A517"/>
    </row>
    <row r="518" spans="1:1" x14ac:dyDescent="0.2">
      <c r="A518"/>
    </row>
    <row r="519" spans="1:1" x14ac:dyDescent="0.2">
      <c r="A519"/>
    </row>
    <row r="520" spans="1:1" x14ac:dyDescent="0.2">
      <c r="A520"/>
    </row>
    <row r="521" spans="1:1" x14ac:dyDescent="0.2">
      <c r="A521"/>
    </row>
    <row r="522" spans="1:1" x14ac:dyDescent="0.2">
      <c r="A522"/>
    </row>
    <row r="523" spans="1:1" x14ac:dyDescent="0.2">
      <c r="A523"/>
    </row>
    <row r="524" spans="1:1" x14ac:dyDescent="0.2">
      <c r="A524"/>
    </row>
    <row r="525" spans="1:1" x14ac:dyDescent="0.2">
      <c r="A525"/>
    </row>
    <row r="526" spans="1:1" x14ac:dyDescent="0.2">
      <c r="A526"/>
    </row>
    <row r="527" spans="1:1" x14ac:dyDescent="0.2">
      <c r="A527"/>
    </row>
    <row r="528" spans="1:1" x14ac:dyDescent="0.2">
      <c r="A528"/>
    </row>
    <row r="529" spans="1:1" x14ac:dyDescent="0.2">
      <c r="A529"/>
    </row>
    <row r="530" spans="1:1" x14ac:dyDescent="0.2">
      <c r="A530"/>
    </row>
    <row r="531" spans="1:1" x14ac:dyDescent="0.2">
      <c r="A531"/>
    </row>
    <row r="532" spans="1:1" x14ac:dyDescent="0.2">
      <c r="A532"/>
    </row>
    <row r="533" spans="1:1" x14ac:dyDescent="0.2">
      <c r="A533"/>
    </row>
    <row r="534" spans="1:1" x14ac:dyDescent="0.2">
      <c r="A534"/>
    </row>
    <row r="535" spans="1:1" x14ac:dyDescent="0.2">
      <c r="A535"/>
    </row>
    <row r="536" spans="1:1" x14ac:dyDescent="0.2">
      <c r="A536"/>
    </row>
    <row r="537" spans="1:1" x14ac:dyDescent="0.2">
      <c r="A537"/>
    </row>
    <row r="538" spans="1:1" x14ac:dyDescent="0.2">
      <c r="A538"/>
    </row>
    <row r="539" spans="1:1" x14ac:dyDescent="0.2">
      <c r="A539"/>
    </row>
    <row r="540" spans="1:1" x14ac:dyDescent="0.2">
      <c r="A540"/>
    </row>
    <row r="541" spans="1:1" x14ac:dyDescent="0.2">
      <c r="A541"/>
    </row>
    <row r="542" spans="1:1" x14ac:dyDescent="0.2">
      <c r="A542"/>
    </row>
    <row r="543" spans="1:1" x14ac:dyDescent="0.2">
      <c r="A543"/>
    </row>
    <row r="544" spans="1:1" x14ac:dyDescent="0.2">
      <c r="A544"/>
    </row>
    <row r="545" spans="1:1" x14ac:dyDescent="0.2">
      <c r="A545"/>
    </row>
    <row r="546" spans="1:1" x14ac:dyDescent="0.2">
      <c r="A546"/>
    </row>
    <row r="547" spans="1:1" x14ac:dyDescent="0.2">
      <c r="A547"/>
    </row>
    <row r="548" spans="1:1" x14ac:dyDescent="0.2">
      <c r="A548"/>
    </row>
    <row r="549" spans="1:1" x14ac:dyDescent="0.2">
      <c r="A549"/>
    </row>
    <row r="550" spans="1:1" x14ac:dyDescent="0.2">
      <c r="A550"/>
    </row>
    <row r="551" spans="1:1" x14ac:dyDescent="0.2">
      <c r="A551"/>
    </row>
    <row r="552" spans="1:1" x14ac:dyDescent="0.2">
      <c r="A552"/>
    </row>
    <row r="553" spans="1:1" x14ac:dyDescent="0.2">
      <c r="A553"/>
    </row>
    <row r="554" spans="1:1" x14ac:dyDescent="0.2">
      <c r="A554"/>
    </row>
    <row r="555" spans="1:1" x14ac:dyDescent="0.2">
      <c r="A555"/>
    </row>
    <row r="556" spans="1:1" x14ac:dyDescent="0.2">
      <c r="A556"/>
    </row>
    <row r="557" spans="1:1" x14ac:dyDescent="0.2">
      <c r="A557"/>
    </row>
    <row r="558" spans="1:1" x14ac:dyDescent="0.2">
      <c r="A558"/>
    </row>
    <row r="559" spans="1:1" x14ac:dyDescent="0.2">
      <c r="A559"/>
    </row>
    <row r="560" spans="1:1" x14ac:dyDescent="0.2">
      <c r="A560"/>
    </row>
    <row r="561" spans="1:1" x14ac:dyDescent="0.2">
      <c r="A561"/>
    </row>
    <row r="562" spans="1:1" x14ac:dyDescent="0.2">
      <c r="A562"/>
    </row>
    <row r="563" spans="1:1" x14ac:dyDescent="0.2">
      <c r="A563"/>
    </row>
    <row r="564" spans="1:1" x14ac:dyDescent="0.2">
      <c r="A564"/>
    </row>
    <row r="565" spans="1:1" x14ac:dyDescent="0.2">
      <c r="A565"/>
    </row>
    <row r="566" spans="1:1" x14ac:dyDescent="0.2">
      <c r="A566"/>
    </row>
    <row r="567" spans="1:1" x14ac:dyDescent="0.2">
      <c r="A567"/>
    </row>
    <row r="568" spans="1:1" x14ac:dyDescent="0.2">
      <c r="A568"/>
    </row>
    <row r="569" spans="1:1" x14ac:dyDescent="0.2">
      <c r="A569"/>
    </row>
    <row r="570" spans="1:1" x14ac:dyDescent="0.2">
      <c r="A570"/>
    </row>
    <row r="571" spans="1:1" x14ac:dyDescent="0.2">
      <c r="A571"/>
    </row>
    <row r="572" spans="1:1" x14ac:dyDescent="0.2">
      <c r="A572"/>
    </row>
    <row r="573" spans="1:1" x14ac:dyDescent="0.2">
      <c r="A573"/>
    </row>
    <row r="574" spans="1:1" x14ac:dyDescent="0.2">
      <c r="A574"/>
    </row>
    <row r="575" spans="1:1" x14ac:dyDescent="0.2">
      <c r="A575"/>
    </row>
    <row r="576" spans="1:1" x14ac:dyDescent="0.2">
      <c r="A576"/>
    </row>
    <row r="577" spans="1:1" x14ac:dyDescent="0.2">
      <c r="A577"/>
    </row>
    <row r="578" spans="1:1" x14ac:dyDescent="0.2">
      <c r="A578"/>
    </row>
    <row r="579" spans="1:1" x14ac:dyDescent="0.2">
      <c r="A579"/>
    </row>
    <row r="580" spans="1:1" x14ac:dyDescent="0.2">
      <c r="A580"/>
    </row>
    <row r="581" spans="1:1" x14ac:dyDescent="0.2">
      <c r="A581"/>
    </row>
    <row r="582" spans="1:1" x14ac:dyDescent="0.2">
      <c r="A582"/>
    </row>
    <row r="583" spans="1:1" x14ac:dyDescent="0.2">
      <c r="A583"/>
    </row>
    <row r="584" spans="1:1" x14ac:dyDescent="0.2">
      <c r="A584"/>
    </row>
    <row r="585" spans="1:1" x14ac:dyDescent="0.2">
      <c r="A585"/>
    </row>
    <row r="586" spans="1:1" x14ac:dyDescent="0.2">
      <c r="A586"/>
    </row>
    <row r="587" spans="1:1" x14ac:dyDescent="0.2">
      <c r="A587"/>
    </row>
    <row r="588" spans="1:1" x14ac:dyDescent="0.2">
      <c r="A588"/>
    </row>
    <row r="589" spans="1:1" x14ac:dyDescent="0.2">
      <c r="A589"/>
    </row>
    <row r="590" spans="1:1" x14ac:dyDescent="0.2">
      <c r="A590"/>
    </row>
    <row r="591" spans="1:1" x14ac:dyDescent="0.2">
      <c r="A591"/>
    </row>
    <row r="592" spans="1:1" x14ac:dyDescent="0.2">
      <c r="A592"/>
    </row>
    <row r="593" spans="1:1" x14ac:dyDescent="0.2">
      <c r="A593"/>
    </row>
    <row r="594" spans="1:1" x14ac:dyDescent="0.2">
      <c r="A594"/>
    </row>
    <row r="595" spans="1:1" x14ac:dyDescent="0.2">
      <c r="A595"/>
    </row>
    <row r="596" spans="1:1" x14ac:dyDescent="0.2">
      <c r="A596"/>
    </row>
    <row r="597" spans="1:1" x14ac:dyDescent="0.2">
      <c r="A597"/>
    </row>
    <row r="598" spans="1:1" x14ac:dyDescent="0.2">
      <c r="A598"/>
    </row>
    <row r="599" spans="1:1" x14ac:dyDescent="0.2">
      <c r="A599"/>
    </row>
    <row r="600" spans="1:1" x14ac:dyDescent="0.2">
      <c r="A600"/>
    </row>
    <row r="601" spans="1:1" x14ac:dyDescent="0.2">
      <c r="A601"/>
    </row>
    <row r="602" spans="1:1" x14ac:dyDescent="0.2">
      <c r="A602"/>
    </row>
    <row r="603" spans="1:1" x14ac:dyDescent="0.2">
      <c r="A603"/>
    </row>
    <row r="604" spans="1:1" x14ac:dyDescent="0.2">
      <c r="A604"/>
    </row>
    <row r="605" spans="1:1" x14ac:dyDescent="0.2">
      <c r="A605"/>
    </row>
    <row r="606" spans="1:1" x14ac:dyDescent="0.2">
      <c r="A606"/>
    </row>
    <row r="607" spans="1:1" x14ac:dyDescent="0.2">
      <c r="A607"/>
    </row>
    <row r="608" spans="1:1" x14ac:dyDescent="0.2">
      <c r="A608"/>
    </row>
    <row r="609" spans="1:1" x14ac:dyDescent="0.2">
      <c r="A609"/>
    </row>
    <row r="610" spans="1:1" x14ac:dyDescent="0.2">
      <c r="A610"/>
    </row>
    <row r="611" spans="1:1" x14ac:dyDescent="0.2">
      <c r="A611"/>
    </row>
    <row r="612" spans="1:1" x14ac:dyDescent="0.2">
      <c r="A612"/>
    </row>
    <row r="613" spans="1:1" x14ac:dyDescent="0.2">
      <c r="A613"/>
    </row>
    <row r="614" spans="1:1" x14ac:dyDescent="0.2">
      <c r="A614"/>
    </row>
    <row r="615" spans="1:1" x14ac:dyDescent="0.2">
      <c r="A615"/>
    </row>
    <row r="616" spans="1:1" x14ac:dyDescent="0.2">
      <c r="A616"/>
    </row>
    <row r="617" spans="1:1" x14ac:dyDescent="0.2">
      <c r="A617"/>
    </row>
    <row r="618" spans="1:1" x14ac:dyDescent="0.2">
      <c r="A618"/>
    </row>
    <row r="619" spans="1:1" x14ac:dyDescent="0.2">
      <c r="A619"/>
    </row>
    <row r="620" spans="1:1" x14ac:dyDescent="0.2">
      <c r="A620"/>
    </row>
    <row r="621" spans="1:1" x14ac:dyDescent="0.2">
      <c r="A621"/>
    </row>
    <row r="622" spans="1:1" x14ac:dyDescent="0.2">
      <c r="A622"/>
    </row>
    <row r="623" spans="1:1" x14ac:dyDescent="0.2">
      <c r="A623"/>
    </row>
    <row r="624" spans="1:1" x14ac:dyDescent="0.2">
      <c r="A624"/>
    </row>
    <row r="625" spans="1:1" x14ac:dyDescent="0.2">
      <c r="A625"/>
    </row>
    <row r="626" spans="1:1" x14ac:dyDescent="0.2">
      <c r="A626"/>
    </row>
    <row r="627" spans="1:1" x14ac:dyDescent="0.2">
      <c r="A627"/>
    </row>
    <row r="628" spans="1:1" x14ac:dyDescent="0.2">
      <c r="A628"/>
    </row>
    <row r="629" spans="1:1" x14ac:dyDescent="0.2">
      <c r="A629"/>
    </row>
    <row r="630" spans="1:1" x14ac:dyDescent="0.2">
      <c r="A630"/>
    </row>
    <row r="631" spans="1:1" x14ac:dyDescent="0.2">
      <c r="A631"/>
    </row>
    <row r="632" spans="1:1" x14ac:dyDescent="0.2">
      <c r="A632"/>
    </row>
    <row r="633" spans="1:1" x14ac:dyDescent="0.2">
      <c r="A633"/>
    </row>
    <row r="634" spans="1:1" x14ac:dyDescent="0.2">
      <c r="A634"/>
    </row>
    <row r="635" spans="1:1" x14ac:dyDescent="0.2">
      <c r="A635"/>
    </row>
    <row r="636" spans="1:1" x14ac:dyDescent="0.2">
      <c r="A636"/>
    </row>
    <row r="637" spans="1:1" x14ac:dyDescent="0.2">
      <c r="A637"/>
    </row>
    <row r="638" spans="1:1" x14ac:dyDescent="0.2">
      <c r="A638"/>
    </row>
    <row r="639" spans="1:1" x14ac:dyDescent="0.2">
      <c r="A639"/>
    </row>
    <row r="640" spans="1:1" x14ac:dyDescent="0.2">
      <c r="A640"/>
    </row>
    <row r="641" spans="1:1" x14ac:dyDescent="0.2">
      <c r="A641"/>
    </row>
    <row r="642" spans="1:1" x14ac:dyDescent="0.2">
      <c r="A642"/>
    </row>
    <row r="643" spans="1:1" x14ac:dyDescent="0.2">
      <c r="A643"/>
    </row>
    <row r="644" spans="1:1" x14ac:dyDescent="0.2">
      <c r="A644"/>
    </row>
    <row r="645" spans="1:1" x14ac:dyDescent="0.2">
      <c r="A645"/>
    </row>
    <row r="646" spans="1:1" x14ac:dyDescent="0.2">
      <c r="A646"/>
    </row>
    <row r="647" spans="1:1" x14ac:dyDescent="0.2">
      <c r="A647"/>
    </row>
    <row r="648" spans="1:1" x14ac:dyDescent="0.2">
      <c r="A648"/>
    </row>
    <row r="649" spans="1:1" x14ac:dyDescent="0.2">
      <c r="A649"/>
    </row>
    <row r="650" spans="1:1" x14ac:dyDescent="0.2">
      <c r="A650"/>
    </row>
    <row r="651" spans="1:1" x14ac:dyDescent="0.2">
      <c r="A651"/>
    </row>
    <row r="652" spans="1:1" x14ac:dyDescent="0.2">
      <c r="A652"/>
    </row>
    <row r="653" spans="1:1" x14ac:dyDescent="0.2">
      <c r="A653"/>
    </row>
    <row r="654" spans="1:1" x14ac:dyDescent="0.2">
      <c r="A654"/>
    </row>
    <row r="655" spans="1:1" x14ac:dyDescent="0.2">
      <c r="A655"/>
    </row>
    <row r="656" spans="1:1" x14ac:dyDescent="0.2">
      <c r="A656"/>
    </row>
    <row r="657" spans="1:1" x14ac:dyDescent="0.2">
      <c r="A657"/>
    </row>
    <row r="658" spans="1:1" x14ac:dyDescent="0.2">
      <c r="A658"/>
    </row>
    <row r="659" spans="1:1" x14ac:dyDescent="0.2">
      <c r="A659"/>
    </row>
    <row r="660" spans="1:1" x14ac:dyDescent="0.2">
      <c r="A660"/>
    </row>
    <row r="661" spans="1:1" x14ac:dyDescent="0.2">
      <c r="A661"/>
    </row>
    <row r="662" spans="1:1" x14ac:dyDescent="0.2">
      <c r="A662"/>
    </row>
    <row r="663" spans="1:1" x14ac:dyDescent="0.2">
      <c r="A663"/>
    </row>
    <row r="664" spans="1:1" x14ac:dyDescent="0.2">
      <c r="A664"/>
    </row>
    <row r="665" spans="1:1" x14ac:dyDescent="0.2">
      <c r="A665"/>
    </row>
    <row r="666" spans="1:1" x14ac:dyDescent="0.2">
      <c r="A666"/>
    </row>
    <row r="667" spans="1:1" x14ac:dyDescent="0.2">
      <c r="A667"/>
    </row>
    <row r="668" spans="1:1" x14ac:dyDescent="0.2">
      <c r="A668"/>
    </row>
    <row r="669" spans="1:1" x14ac:dyDescent="0.2">
      <c r="A669"/>
    </row>
    <row r="670" spans="1:1" x14ac:dyDescent="0.2">
      <c r="A670"/>
    </row>
    <row r="671" spans="1:1" x14ac:dyDescent="0.2">
      <c r="A671"/>
    </row>
    <row r="672" spans="1:1" x14ac:dyDescent="0.2">
      <c r="A672"/>
    </row>
    <row r="673" spans="1:1" x14ac:dyDescent="0.2">
      <c r="A673"/>
    </row>
    <row r="674" spans="1:1" x14ac:dyDescent="0.2">
      <c r="A674"/>
    </row>
    <row r="675" spans="1:1" x14ac:dyDescent="0.2">
      <c r="A675"/>
    </row>
  </sheetData>
  <conditionalFormatting sqref="B1:B361 B676:B1048576">
    <cfRule type="duplicateValues" dxfId="1" priority="1"/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05A18-DB23-46D3-9017-2FF460452DB9}">
  <dimension ref="A3:B1212"/>
  <sheetViews>
    <sheetView topLeftCell="A340" zoomScale="85" zoomScaleNormal="85" workbookViewId="0">
      <selection activeCell="A12" sqref="A12"/>
    </sheetView>
  </sheetViews>
  <sheetFormatPr defaultRowHeight="12.75" x14ac:dyDescent="0.2"/>
  <cols>
    <col min="1" max="1" width="77.5703125" bestFit="1" customWidth="1"/>
    <col min="2" max="2" width="21.7109375" bestFit="1" customWidth="1"/>
  </cols>
  <sheetData>
    <row r="3" spans="1:2" x14ac:dyDescent="0.2">
      <c r="A3" s="179" t="s">
        <v>734</v>
      </c>
      <c r="B3" t="s">
        <v>736</v>
      </c>
    </row>
    <row r="4" spans="1:2" x14ac:dyDescent="0.2">
      <c r="A4" s="180" t="s">
        <v>184</v>
      </c>
      <c r="B4" s="182">
        <v>210</v>
      </c>
    </row>
    <row r="5" spans="1:2" x14ac:dyDescent="0.2">
      <c r="A5" s="181">
        <v>1</v>
      </c>
      <c r="B5" s="182">
        <v>100</v>
      </c>
    </row>
    <row r="6" spans="1:2" x14ac:dyDescent="0.2">
      <c r="A6" s="181">
        <v>2</v>
      </c>
      <c r="B6" s="182">
        <v>100</v>
      </c>
    </row>
    <row r="7" spans="1:2" x14ac:dyDescent="0.2">
      <c r="A7" s="181">
        <v>114</v>
      </c>
      <c r="B7" s="182">
        <v>10</v>
      </c>
    </row>
    <row r="8" spans="1:2" x14ac:dyDescent="0.2">
      <c r="A8" s="180" t="s">
        <v>382</v>
      </c>
      <c r="B8" s="182">
        <v>150</v>
      </c>
    </row>
    <row r="9" spans="1:2" x14ac:dyDescent="0.2">
      <c r="A9" s="181">
        <v>6</v>
      </c>
      <c r="B9" s="182">
        <v>150</v>
      </c>
    </row>
    <row r="10" spans="1:2" x14ac:dyDescent="0.2">
      <c r="A10" s="180" t="s">
        <v>284</v>
      </c>
      <c r="B10" s="182">
        <v>100</v>
      </c>
    </row>
    <row r="11" spans="1:2" x14ac:dyDescent="0.2">
      <c r="A11" s="181">
        <v>6</v>
      </c>
      <c r="B11" s="182">
        <v>100</v>
      </c>
    </row>
    <row r="12" spans="1:2" x14ac:dyDescent="0.2">
      <c r="A12" s="180" t="s">
        <v>266</v>
      </c>
      <c r="B12" s="182">
        <v>100</v>
      </c>
    </row>
    <row r="13" spans="1:2" x14ac:dyDescent="0.2">
      <c r="A13" s="181">
        <v>6</v>
      </c>
      <c r="B13" s="182">
        <v>100</v>
      </c>
    </row>
    <row r="14" spans="1:2" x14ac:dyDescent="0.2">
      <c r="A14" s="180" t="s">
        <v>260</v>
      </c>
      <c r="B14" s="182">
        <v>110</v>
      </c>
    </row>
    <row r="15" spans="1:2" x14ac:dyDescent="0.2">
      <c r="A15" s="181">
        <v>6</v>
      </c>
      <c r="B15" s="182">
        <v>100</v>
      </c>
    </row>
    <row r="16" spans="1:2" x14ac:dyDescent="0.2">
      <c r="A16" s="181">
        <v>44</v>
      </c>
      <c r="B16" s="182">
        <v>10</v>
      </c>
    </row>
    <row r="17" spans="1:2" x14ac:dyDescent="0.2">
      <c r="A17" s="180" t="s">
        <v>279</v>
      </c>
      <c r="B17" s="182">
        <v>100</v>
      </c>
    </row>
    <row r="18" spans="1:2" x14ac:dyDescent="0.2">
      <c r="A18" s="181">
        <v>12</v>
      </c>
      <c r="B18" s="182">
        <v>100</v>
      </c>
    </row>
    <row r="19" spans="1:2" x14ac:dyDescent="0.2">
      <c r="A19" s="180" t="s">
        <v>161</v>
      </c>
      <c r="B19" s="182">
        <v>105</v>
      </c>
    </row>
    <row r="20" spans="1:2" x14ac:dyDescent="0.2">
      <c r="A20" s="181">
        <v>10</v>
      </c>
      <c r="B20" s="182">
        <v>100</v>
      </c>
    </row>
    <row r="21" spans="1:2" x14ac:dyDescent="0.2">
      <c r="A21" s="181">
        <v>150</v>
      </c>
      <c r="B21" s="182">
        <v>5</v>
      </c>
    </row>
    <row r="22" spans="1:2" x14ac:dyDescent="0.2">
      <c r="A22" s="180" t="s">
        <v>383</v>
      </c>
      <c r="B22" s="182">
        <v>100</v>
      </c>
    </row>
    <row r="23" spans="1:2" x14ac:dyDescent="0.2">
      <c r="A23" s="181">
        <v>10</v>
      </c>
      <c r="B23" s="182">
        <v>100</v>
      </c>
    </row>
    <row r="24" spans="1:2" x14ac:dyDescent="0.2">
      <c r="A24" s="180" t="s">
        <v>552</v>
      </c>
      <c r="B24" s="182">
        <v>90</v>
      </c>
    </row>
    <row r="25" spans="1:2" x14ac:dyDescent="0.2">
      <c r="A25" s="181">
        <v>8</v>
      </c>
      <c r="B25" s="182">
        <v>90</v>
      </c>
    </row>
    <row r="26" spans="1:2" x14ac:dyDescent="0.2">
      <c r="A26" s="180" t="s">
        <v>556</v>
      </c>
      <c r="B26" s="182">
        <v>205</v>
      </c>
    </row>
    <row r="27" spans="1:2" x14ac:dyDescent="0.2">
      <c r="A27" s="181">
        <v>8</v>
      </c>
      <c r="B27" s="182">
        <v>190</v>
      </c>
    </row>
    <row r="28" spans="1:2" x14ac:dyDescent="0.2">
      <c r="A28" s="181">
        <v>94</v>
      </c>
      <c r="B28" s="182">
        <v>15</v>
      </c>
    </row>
    <row r="29" spans="1:2" x14ac:dyDescent="0.2">
      <c r="A29" s="180" t="s">
        <v>416</v>
      </c>
      <c r="B29" s="182">
        <v>100</v>
      </c>
    </row>
    <row r="30" spans="1:2" x14ac:dyDescent="0.2">
      <c r="A30" s="181">
        <v>10</v>
      </c>
      <c r="B30" s="182">
        <v>100</v>
      </c>
    </row>
    <row r="31" spans="1:2" x14ac:dyDescent="0.2">
      <c r="A31" s="180" t="s">
        <v>229</v>
      </c>
      <c r="B31" s="182">
        <v>150</v>
      </c>
    </row>
    <row r="32" spans="1:2" x14ac:dyDescent="0.2">
      <c r="A32" s="181">
        <v>12</v>
      </c>
      <c r="B32" s="182">
        <v>150</v>
      </c>
    </row>
    <row r="33" spans="1:2" x14ac:dyDescent="0.2">
      <c r="A33" s="180" t="s">
        <v>298</v>
      </c>
      <c r="B33" s="182">
        <v>130</v>
      </c>
    </row>
    <row r="34" spans="1:2" x14ac:dyDescent="0.2">
      <c r="A34" s="181">
        <v>14</v>
      </c>
      <c r="B34" s="182">
        <v>30</v>
      </c>
    </row>
    <row r="35" spans="1:2" x14ac:dyDescent="0.2">
      <c r="A35" s="181">
        <v>322</v>
      </c>
      <c r="B35" s="182">
        <v>100</v>
      </c>
    </row>
    <row r="36" spans="1:2" x14ac:dyDescent="0.2">
      <c r="A36" s="180" t="s">
        <v>311</v>
      </c>
      <c r="B36" s="182">
        <v>80</v>
      </c>
    </row>
    <row r="37" spans="1:2" x14ac:dyDescent="0.2">
      <c r="A37" s="181">
        <v>14</v>
      </c>
      <c r="B37" s="182">
        <v>50</v>
      </c>
    </row>
    <row r="38" spans="1:2" x14ac:dyDescent="0.2">
      <c r="A38" s="181">
        <v>251</v>
      </c>
      <c r="B38" s="182">
        <v>10</v>
      </c>
    </row>
    <row r="39" spans="1:2" x14ac:dyDescent="0.2">
      <c r="A39" s="181">
        <v>252</v>
      </c>
      <c r="B39" s="182">
        <v>10</v>
      </c>
    </row>
    <row r="40" spans="1:2" x14ac:dyDescent="0.2">
      <c r="A40" s="181">
        <v>253</v>
      </c>
      <c r="B40" s="182">
        <v>10</v>
      </c>
    </row>
    <row r="41" spans="1:2" x14ac:dyDescent="0.2">
      <c r="A41" s="180" t="s">
        <v>503</v>
      </c>
      <c r="B41" s="182">
        <v>280</v>
      </c>
    </row>
    <row r="42" spans="1:2" x14ac:dyDescent="0.2">
      <c r="A42" s="181">
        <v>18</v>
      </c>
      <c r="B42" s="182">
        <v>90</v>
      </c>
    </row>
    <row r="43" spans="1:2" x14ac:dyDescent="0.2">
      <c r="A43" s="181">
        <v>19</v>
      </c>
      <c r="B43" s="182">
        <v>50</v>
      </c>
    </row>
    <row r="44" spans="1:2" x14ac:dyDescent="0.2">
      <c r="A44" s="181">
        <v>313</v>
      </c>
      <c r="B44" s="182">
        <v>140</v>
      </c>
    </row>
    <row r="45" spans="1:2" x14ac:dyDescent="0.2">
      <c r="A45" s="180" t="s">
        <v>243</v>
      </c>
      <c r="B45" s="182">
        <v>50</v>
      </c>
    </row>
    <row r="46" spans="1:2" x14ac:dyDescent="0.2">
      <c r="A46" s="181">
        <v>19</v>
      </c>
      <c r="B46" s="182">
        <v>30</v>
      </c>
    </row>
    <row r="47" spans="1:2" x14ac:dyDescent="0.2">
      <c r="A47" s="181">
        <v>311</v>
      </c>
      <c r="B47" s="182">
        <v>20</v>
      </c>
    </row>
    <row r="48" spans="1:2" x14ac:dyDescent="0.2">
      <c r="A48" s="180" t="s">
        <v>77</v>
      </c>
      <c r="B48" s="182">
        <v>160</v>
      </c>
    </row>
    <row r="49" spans="1:2" x14ac:dyDescent="0.2">
      <c r="A49" s="181">
        <v>20</v>
      </c>
      <c r="B49" s="182">
        <v>160</v>
      </c>
    </row>
    <row r="50" spans="1:2" x14ac:dyDescent="0.2">
      <c r="A50" s="180" t="s">
        <v>273</v>
      </c>
      <c r="B50" s="182">
        <v>100</v>
      </c>
    </row>
    <row r="51" spans="1:2" x14ac:dyDescent="0.2">
      <c r="A51" s="181">
        <v>23</v>
      </c>
      <c r="B51" s="182">
        <v>100</v>
      </c>
    </row>
    <row r="52" spans="1:2" x14ac:dyDescent="0.2">
      <c r="A52" s="180" t="s">
        <v>182</v>
      </c>
      <c r="B52" s="182">
        <v>100</v>
      </c>
    </row>
    <row r="53" spans="1:2" x14ac:dyDescent="0.2">
      <c r="A53" s="181">
        <v>23</v>
      </c>
      <c r="B53" s="182">
        <v>100</v>
      </c>
    </row>
    <row r="54" spans="1:2" x14ac:dyDescent="0.2">
      <c r="A54" s="180" t="s">
        <v>225</v>
      </c>
      <c r="B54" s="182">
        <v>100</v>
      </c>
    </row>
    <row r="55" spans="1:2" x14ac:dyDescent="0.2">
      <c r="A55" s="181">
        <v>26</v>
      </c>
      <c r="B55" s="182">
        <v>80</v>
      </c>
    </row>
    <row r="56" spans="1:2" x14ac:dyDescent="0.2">
      <c r="A56" s="181">
        <v>322</v>
      </c>
      <c r="B56" s="182">
        <v>20</v>
      </c>
    </row>
    <row r="57" spans="1:2" x14ac:dyDescent="0.2">
      <c r="A57" s="180" t="s">
        <v>366</v>
      </c>
      <c r="B57" s="182">
        <v>105</v>
      </c>
    </row>
    <row r="58" spans="1:2" x14ac:dyDescent="0.2">
      <c r="A58" s="181">
        <v>19</v>
      </c>
      <c r="B58" s="182">
        <v>40</v>
      </c>
    </row>
    <row r="59" spans="1:2" x14ac:dyDescent="0.2">
      <c r="A59" s="181">
        <v>25</v>
      </c>
      <c r="B59" s="182">
        <v>25</v>
      </c>
    </row>
    <row r="60" spans="1:2" x14ac:dyDescent="0.2">
      <c r="A60" s="181">
        <v>26</v>
      </c>
      <c r="B60" s="182">
        <v>40</v>
      </c>
    </row>
    <row r="61" spans="1:2" x14ac:dyDescent="0.2">
      <c r="A61" s="180" t="s">
        <v>401</v>
      </c>
      <c r="B61" s="182">
        <v>200</v>
      </c>
    </row>
    <row r="62" spans="1:2" x14ac:dyDescent="0.2">
      <c r="A62" s="181">
        <v>26</v>
      </c>
      <c r="B62" s="182">
        <v>80</v>
      </c>
    </row>
    <row r="63" spans="1:2" x14ac:dyDescent="0.2">
      <c r="A63" s="181">
        <v>66</v>
      </c>
      <c r="B63" s="182">
        <v>120</v>
      </c>
    </row>
    <row r="64" spans="1:2" x14ac:dyDescent="0.2">
      <c r="A64" s="180" t="s">
        <v>494</v>
      </c>
      <c r="B64" s="182">
        <v>50</v>
      </c>
    </row>
    <row r="65" spans="1:2" x14ac:dyDescent="0.2">
      <c r="A65" s="181">
        <v>25</v>
      </c>
      <c r="B65" s="182">
        <v>20</v>
      </c>
    </row>
    <row r="66" spans="1:2" x14ac:dyDescent="0.2">
      <c r="A66" s="181">
        <v>193</v>
      </c>
      <c r="B66" s="182">
        <v>30</v>
      </c>
    </row>
    <row r="67" spans="1:2" x14ac:dyDescent="0.2">
      <c r="A67" s="180" t="s">
        <v>422</v>
      </c>
      <c r="B67" s="182">
        <v>120</v>
      </c>
    </row>
    <row r="68" spans="1:2" x14ac:dyDescent="0.2">
      <c r="A68" s="181">
        <v>26</v>
      </c>
      <c r="B68" s="182">
        <v>30</v>
      </c>
    </row>
    <row r="69" spans="1:2" x14ac:dyDescent="0.2">
      <c r="A69" s="181">
        <v>286</v>
      </c>
      <c r="B69" s="182">
        <v>90</v>
      </c>
    </row>
    <row r="70" spans="1:2" x14ac:dyDescent="0.2">
      <c r="A70" s="180" t="s">
        <v>207</v>
      </c>
      <c r="B70" s="182">
        <v>120</v>
      </c>
    </row>
    <row r="71" spans="1:2" x14ac:dyDescent="0.2">
      <c r="A71" s="181">
        <v>26</v>
      </c>
      <c r="B71" s="182">
        <v>30</v>
      </c>
    </row>
    <row r="72" spans="1:2" x14ac:dyDescent="0.2">
      <c r="A72" s="181">
        <v>290</v>
      </c>
      <c r="B72" s="182">
        <v>90</v>
      </c>
    </row>
    <row r="73" spans="1:2" x14ac:dyDescent="0.2">
      <c r="A73" s="180" t="s">
        <v>473</v>
      </c>
      <c r="B73" s="182">
        <v>150</v>
      </c>
    </row>
    <row r="74" spans="1:2" x14ac:dyDescent="0.2">
      <c r="A74" s="181">
        <v>25</v>
      </c>
      <c r="B74" s="182">
        <v>50</v>
      </c>
    </row>
    <row r="75" spans="1:2" x14ac:dyDescent="0.2">
      <c r="A75" s="181">
        <v>313</v>
      </c>
      <c r="B75" s="182">
        <v>100</v>
      </c>
    </row>
    <row r="76" spans="1:2" x14ac:dyDescent="0.2">
      <c r="A76" s="180" t="s">
        <v>424</v>
      </c>
      <c r="B76" s="182">
        <v>50</v>
      </c>
    </row>
    <row r="77" spans="1:2" x14ac:dyDescent="0.2">
      <c r="A77" s="181">
        <v>26</v>
      </c>
      <c r="B77" s="182">
        <v>30</v>
      </c>
    </row>
    <row r="78" spans="1:2" x14ac:dyDescent="0.2">
      <c r="A78" s="181">
        <v>248</v>
      </c>
      <c r="B78" s="182">
        <v>20</v>
      </c>
    </row>
    <row r="79" spans="1:2" x14ac:dyDescent="0.2">
      <c r="A79" s="180" t="s">
        <v>106</v>
      </c>
      <c r="B79" s="182">
        <v>10</v>
      </c>
    </row>
    <row r="80" spans="1:2" x14ac:dyDescent="0.2">
      <c r="A80" s="181">
        <v>27</v>
      </c>
      <c r="B80" s="182">
        <v>10</v>
      </c>
    </row>
    <row r="81" spans="1:2" x14ac:dyDescent="0.2">
      <c r="A81" s="180" t="s">
        <v>395</v>
      </c>
      <c r="B81" s="182">
        <v>170</v>
      </c>
    </row>
    <row r="82" spans="1:2" x14ac:dyDescent="0.2">
      <c r="A82" s="181">
        <v>29</v>
      </c>
      <c r="B82" s="182">
        <v>150</v>
      </c>
    </row>
    <row r="83" spans="1:2" x14ac:dyDescent="0.2">
      <c r="A83" s="181">
        <v>208</v>
      </c>
      <c r="B83" s="182">
        <v>20</v>
      </c>
    </row>
    <row r="84" spans="1:2" x14ac:dyDescent="0.2">
      <c r="A84" s="180" t="s">
        <v>283</v>
      </c>
      <c r="B84" s="182">
        <v>125</v>
      </c>
    </row>
    <row r="85" spans="1:2" x14ac:dyDescent="0.2">
      <c r="A85" s="181">
        <v>91</v>
      </c>
      <c r="B85" s="182">
        <v>12</v>
      </c>
    </row>
    <row r="86" spans="1:2" x14ac:dyDescent="0.2">
      <c r="A86" s="181">
        <v>229</v>
      </c>
      <c r="B86" s="182">
        <v>8</v>
      </c>
    </row>
    <row r="87" spans="1:2" x14ac:dyDescent="0.2">
      <c r="A87" s="181">
        <v>238</v>
      </c>
      <c r="B87" s="182">
        <v>105</v>
      </c>
    </row>
    <row r="88" spans="1:2" x14ac:dyDescent="0.2">
      <c r="A88" s="180" t="s">
        <v>379</v>
      </c>
      <c r="B88" s="182">
        <v>190</v>
      </c>
    </row>
    <row r="89" spans="1:2" x14ac:dyDescent="0.2">
      <c r="A89" s="181">
        <v>29</v>
      </c>
      <c r="B89" s="182">
        <v>170</v>
      </c>
    </row>
    <row r="90" spans="1:2" x14ac:dyDescent="0.2">
      <c r="A90" s="181">
        <v>208</v>
      </c>
      <c r="B90" s="182">
        <v>20</v>
      </c>
    </row>
    <row r="91" spans="1:2" x14ac:dyDescent="0.2">
      <c r="A91" s="180" t="s">
        <v>390</v>
      </c>
      <c r="B91" s="182">
        <v>240</v>
      </c>
    </row>
    <row r="92" spans="1:2" x14ac:dyDescent="0.2">
      <c r="A92" s="181">
        <v>29</v>
      </c>
      <c r="B92" s="182">
        <v>240</v>
      </c>
    </row>
    <row r="93" spans="1:2" x14ac:dyDescent="0.2">
      <c r="A93" s="180" t="s">
        <v>18</v>
      </c>
      <c r="B93" s="182">
        <v>460</v>
      </c>
    </row>
    <row r="94" spans="1:2" x14ac:dyDescent="0.2">
      <c r="A94" s="181">
        <v>34</v>
      </c>
      <c r="B94" s="182">
        <v>460</v>
      </c>
    </row>
    <row r="95" spans="1:2" x14ac:dyDescent="0.2">
      <c r="A95" s="180" t="s">
        <v>19</v>
      </c>
      <c r="B95" s="182">
        <v>230</v>
      </c>
    </row>
    <row r="96" spans="1:2" x14ac:dyDescent="0.2">
      <c r="A96" s="181">
        <v>34</v>
      </c>
      <c r="B96" s="182">
        <v>230</v>
      </c>
    </row>
    <row r="97" spans="1:2" x14ac:dyDescent="0.2">
      <c r="A97" s="180" t="s">
        <v>527</v>
      </c>
      <c r="B97" s="182">
        <v>230</v>
      </c>
    </row>
    <row r="98" spans="1:2" x14ac:dyDescent="0.2">
      <c r="A98" s="181">
        <v>34</v>
      </c>
      <c r="B98" s="182">
        <v>230</v>
      </c>
    </row>
    <row r="99" spans="1:2" x14ac:dyDescent="0.2">
      <c r="A99" s="180" t="s">
        <v>262</v>
      </c>
      <c r="B99" s="182">
        <v>160</v>
      </c>
    </row>
    <row r="100" spans="1:2" x14ac:dyDescent="0.2">
      <c r="A100" s="181">
        <v>37</v>
      </c>
      <c r="B100" s="182">
        <v>160</v>
      </c>
    </row>
    <row r="101" spans="1:2" x14ac:dyDescent="0.2">
      <c r="A101" s="180" t="s">
        <v>268</v>
      </c>
      <c r="B101" s="182">
        <v>155</v>
      </c>
    </row>
    <row r="102" spans="1:2" x14ac:dyDescent="0.2">
      <c r="A102" s="181">
        <v>36</v>
      </c>
      <c r="B102" s="182">
        <v>20</v>
      </c>
    </row>
    <row r="103" spans="1:2" x14ac:dyDescent="0.2">
      <c r="A103" s="181">
        <v>176</v>
      </c>
      <c r="B103" s="182">
        <v>5</v>
      </c>
    </row>
    <row r="104" spans="1:2" x14ac:dyDescent="0.2">
      <c r="A104" s="181">
        <v>177</v>
      </c>
      <c r="B104" s="182">
        <v>100</v>
      </c>
    </row>
    <row r="105" spans="1:2" x14ac:dyDescent="0.2">
      <c r="A105" s="181">
        <v>179</v>
      </c>
      <c r="B105" s="182">
        <v>30</v>
      </c>
    </row>
    <row r="106" spans="1:2" x14ac:dyDescent="0.2">
      <c r="A106" s="180" t="s">
        <v>515</v>
      </c>
      <c r="B106" s="182">
        <v>230</v>
      </c>
    </row>
    <row r="107" spans="1:2" x14ac:dyDescent="0.2">
      <c r="A107" s="181">
        <v>34</v>
      </c>
      <c r="B107" s="182">
        <v>230</v>
      </c>
    </row>
    <row r="108" spans="1:2" x14ac:dyDescent="0.2">
      <c r="A108" s="180" t="s">
        <v>113</v>
      </c>
      <c r="B108" s="182">
        <v>55</v>
      </c>
    </row>
    <row r="109" spans="1:2" x14ac:dyDescent="0.2">
      <c r="A109" s="181">
        <v>38</v>
      </c>
      <c r="B109" s="182">
        <v>55</v>
      </c>
    </row>
    <row r="110" spans="1:2" x14ac:dyDescent="0.2">
      <c r="A110" s="180" t="s">
        <v>536</v>
      </c>
      <c r="B110" s="182">
        <v>110</v>
      </c>
    </row>
    <row r="111" spans="1:2" x14ac:dyDescent="0.2">
      <c r="A111" s="181">
        <v>38</v>
      </c>
      <c r="B111" s="182">
        <v>110</v>
      </c>
    </row>
    <row r="112" spans="1:2" x14ac:dyDescent="0.2">
      <c r="A112" s="180" t="s">
        <v>534</v>
      </c>
      <c r="B112" s="182">
        <v>55</v>
      </c>
    </row>
    <row r="113" spans="1:2" x14ac:dyDescent="0.2">
      <c r="A113" s="181">
        <v>38</v>
      </c>
      <c r="B113" s="182">
        <v>55</v>
      </c>
    </row>
    <row r="114" spans="1:2" x14ac:dyDescent="0.2">
      <c r="A114" s="180" t="s">
        <v>35</v>
      </c>
      <c r="B114" s="182">
        <v>24</v>
      </c>
    </row>
    <row r="115" spans="1:2" x14ac:dyDescent="0.2">
      <c r="A115" s="181">
        <v>41</v>
      </c>
      <c r="B115" s="182">
        <v>24</v>
      </c>
    </row>
    <row r="116" spans="1:2" x14ac:dyDescent="0.2">
      <c r="A116" s="180" t="s">
        <v>183</v>
      </c>
      <c r="B116" s="182">
        <v>50</v>
      </c>
    </row>
    <row r="117" spans="1:2" x14ac:dyDescent="0.2">
      <c r="A117" s="181">
        <v>45</v>
      </c>
      <c r="B117" s="182">
        <v>50</v>
      </c>
    </row>
    <row r="118" spans="1:2" x14ac:dyDescent="0.2">
      <c r="A118" s="180" t="s">
        <v>460</v>
      </c>
      <c r="B118" s="182">
        <v>65</v>
      </c>
    </row>
    <row r="119" spans="1:2" x14ac:dyDescent="0.2">
      <c r="A119" s="181">
        <v>46</v>
      </c>
      <c r="B119" s="182">
        <v>65</v>
      </c>
    </row>
    <row r="120" spans="1:2" x14ac:dyDescent="0.2">
      <c r="A120" s="180" t="s">
        <v>156</v>
      </c>
      <c r="B120" s="182">
        <v>120</v>
      </c>
    </row>
    <row r="121" spans="1:2" x14ac:dyDescent="0.2">
      <c r="A121" s="181">
        <v>47</v>
      </c>
      <c r="B121" s="182">
        <v>120</v>
      </c>
    </row>
    <row r="122" spans="1:2" x14ac:dyDescent="0.2">
      <c r="A122" s="180" t="s">
        <v>70</v>
      </c>
      <c r="B122" s="182">
        <v>200</v>
      </c>
    </row>
    <row r="123" spans="1:2" x14ac:dyDescent="0.2">
      <c r="A123" s="181">
        <v>48</v>
      </c>
      <c r="B123" s="182">
        <v>100</v>
      </c>
    </row>
    <row r="124" spans="1:2" x14ac:dyDescent="0.2">
      <c r="A124" s="181">
        <v>49</v>
      </c>
      <c r="B124" s="182">
        <v>100</v>
      </c>
    </row>
    <row r="125" spans="1:2" x14ac:dyDescent="0.2">
      <c r="A125" s="180" t="s">
        <v>486</v>
      </c>
      <c r="B125" s="182">
        <v>100</v>
      </c>
    </row>
    <row r="126" spans="1:2" x14ac:dyDescent="0.2">
      <c r="A126" s="181">
        <v>52</v>
      </c>
      <c r="B126" s="182">
        <v>100</v>
      </c>
    </row>
    <row r="127" spans="1:2" x14ac:dyDescent="0.2">
      <c r="A127" s="180" t="s">
        <v>319</v>
      </c>
      <c r="B127" s="182">
        <v>100</v>
      </c>
    </row>
    <row r="128" spans="1:2" x14ac:dyDescent="0.2">
      <c r="A128" s="181">
        <v>52</v>
      </c>
      <c r="B128" s="182">
        <v>100</v>
      </c>
    </row>
    <row r="129" spans="1:2" x14ac:dyDescent="0.2">
      <c r="A129" s="180" t="s">
        <v>318</v>
      </c>
      <c r="B129" s="182">
        <v>100</v>
      </c>
    </row>
    <row r="130" spans="1:2" x14ac:dyDescent="0.2">
      <c r="A130" s="181">
        <v>10</v>
      </c>
      <c r="B130" s="182">
        <v>50</v>
      </c>
    </row>
    <row r="131" spans="1:2" x14ac:dyDescent="0.2">
      <c r="A131" s="181">
        <v>52</v>
      </c>
      <c r="B131" s="182">
        <v>50</v>
      </c>
    </row>
    <row r="132" spans="1:2" x14ac:dyDescent="0.2">
      <c r="A132" s="180" t="s">
        <v>169</v>
      </c>
      <c r="B132" s="182">
        <v>100</v>
      </c>
    </row>
    <row r="133" spans="1:2" x14ac:dyDescent="0.2">
      <c r="A133" s="181">
        <v>52</v>
      </c>
      <c r="B133" s="182">
        <v>100</v>
      </c>
    </row>
    <row r="134" spans="1:2" x14ac:dyDescent="0.2">
      <c r="A134" s="180" t="s">
        <v>419</v>
      </c>
      <c r="B134" s="182">
        <v>50</v>
      </c>
    </row>
    <row r="135" spans="1:2" x14ac:dyDescent="0.2">
      <c r="A135" s="181">
        <v>52</v>
      </c>
      <c r="B135" s="182">
        <v>50</v>
      </c>
    </row>
    <row r="136" spans="1:2" x14ac:dyDescent="0.2">
      <c r="A136" s="180" t="s">
        <v>65</v>
      </c>
      <c r="B136" s="182">
        <v>100</v>
      </c>
    </row>
    <row r="137" spans="1:2" x14ac:dyDescent="0.2">
      <c r="A137" s="181">
        <v>58</v>
      </c>
      <c r="B137" s="182">
        <v>100</v>
      </c>
    </row>
    <row r="138" spans="1:2" x14ac:dyDescent="0.2">
      <c r="A138" s="180" t="s">
        <v>317</v>
      </c>
      <c r="B138" s="182">
        <v>100</v>
      </c>
    </row>
    <row r="139" spans="1:2" x14ac:dyDescent="0.2">
      <c r="A139" s="181">
        <v>58</v>
      </c>
      <c r="B139" s="182">
        <v>50</v>
      </c>
    </row>
    <row r="140" spans="1:2" x14ac:dyDescent="0.2">
      <c r="A140" s="181">
        <v>96</v>
      </c>
      <c r="B140" s="182">
        <v>50</v>
      </c>
    </row>
    <row r="141" spans="1:2" x14ac:dyDescent="0.2">
      <c r="A141" s="180" t="s">
        <v>476</v>
      </c>
      <c r="B141" s="182">
        <v>105</v>
      </c>
    </row>
    <row r="142" spans="1:2" x14ac:dyDescent="0.2">
      <c r="A142" s="181">
        <v>56</v>
      </c>
      <c r="B142" s="182">
        <v>100</v>
      </c>
    </row>
    <row r="143" spans="1:2" x14ac:dyDescent="0.2">
      <c r="A143" s="181">
        <v>199</v>
      </c>
      <c r="B143" s="182">
        <v>5</v>
      </c>
    </row>
    <row r="144" spans="1:2" x14ac:dyDescent="0.2">
      <c r="A144" s="180" t="s">
        <v>493</v>
      </c>
      <c r="B144" s="182">
        <v>100</v>
      </c>
    </row>
    <row r="145" spans="1:2" x14ac:dyDescent="0.2">
      <c r="A145" s="181">
        <v>57</v>
      </c>
      <c r="B145" s="182">
        <v>100</v>
      </c>
    </row>
    <row r="146" spans="1:2" x14ac:dyDescent="0.2">
      <c r="A146" s="180" t="s">
        <v>140</v>
      </c>
      <c r="B146" s="182">
        <v>160</v>
      </c>
    </row>
    <row r="147" spans="1:2" x14ac:dyDescent="0.2">
      <c r="A147" s="181">
        <v>58</v>
      </c>
      <c r="B147" s="182">
        <v>100</v>
      </c>
    </row>
    <row r="148" spans="1:2" x14ac:dyDescent="0.2">
      <c r="A148" s="181">
        <v>205</v>
      </c>
      <c r="B148" s="182">
        <v>50</v>
      </c>
    </row>
    <row r="149" spans="1:2" x14ac:dyDescent="0.2">
      <c r="A149" s="181">
        <v>277</v>
      </c>
      <c r="B149" s="182">
        <v>10</v>
      </c>
    </row>
    <row r="150" spans="1:2" x14ac:dyDescent="0.2">
      <c r="A150" s="180" t="s">
        <v>159</v>
      </c>
      <c r="B150" s="182">
        <v>100</v>
      </c>
    </row>
    <row r="151" spans="1:2" x14ac:dyDescent="0.2">
      <c r="A151" s="181">
        <v>60</v>
      </c>
      <c r="B151" s="182">
        <v>100</v>
      </c>
    </row>
    <row r="152" spans="1:2" x14ac:dyDescent="0.2">
      <c r="A152" s="180" t="s">
        <v>350</v>
      </c>
      <c r="B152" s="182">
        <v>170</v>
      </c>
    </row>
    <row r="153" spans="1:2" x14ac:dyDescent="0.2">
      <c r="A153" s="181">
        <v>58</v>
      </c>
      <c r="B153" s="182">
        <v>70</v>
      </c>
    </row>
    <row r="154" spans="1:2" x14ac:dyDescent="0.2">
      <c r="A154" s="181">
        <v>96</v>
      </c>
      <c r="B154" s="182">
        <v>30</v>
      </c>
    </row>
    <row r="155" spans="1:2" x14ac:dyDescent="0.2">
      <c r="A155" s="181">
        <v>320</v>
      </c>
      <c r="B155" s="182">
        <v>70</v>
      </c>
    </row>
    <row r="156" spans="1:2" x14ac:dyDescent="0.2">
      <c r="A156" s="180" t="s">
        <v>525</v>
      </c>
      <c r="B156" s="182">
        <v>100</v>
      </c>
    </row>
    <row r="157" spans="1:2" x14ac:dyDescent="0.2">
      <c r="A157" s="181">
        <v>10</v>
      </c>
      <c r="B157" s="182">
        <v>50</v>
      </c>
    </row>
    <row r="158" spans="1:2" x14ac:dyDescent="0.2">
      <c r="A158" s="181">
        <v>63</v>
      </c>
      <c r="B158" s="182">
        <v>50</v>
      </c>
    </row>
    <row r="159" spans="1:2" x14ac:dyDescent="0.2">
      <c r="A159" s="180" t="s">
        <v>516</v>
      </c>
      <c r="B159" s="182">
        <v>100</v>
      </c>
    </row>
    <row r="160" spans="1:2" x14ac:dyDescent="0.2">
      <c r="A160" s="181">
        <v>10</v>
      </c>
      <c r="B160" s="182">
        <v>50</v>
      </c>
    </row>
    <row r="161" spans="1:2" x14ac:dyDescent="0.2">
      <c r="A161" s="181">
        <v>63</v>
      </c>
      <c r="B161" s="182">
        <v>50</v>
      </c>
    </row>
    <row r="162" spans="1:2" x14ac:dyDescent="0.2">
      <c r="A162" s="180" t="s">
        <v>540</v>
      </c>
      <c r="B162" s="182">
        <v>270</v>
      </c>
    </row>
    <row r="163" spans="1:2" x14ac:dyDescent="0.2">
      <c r="A163" s="181">
        <v>63</v>
      </c>
      <c r="B163" s="182">
        <v>160</v>
      </c>
    </row>
    <row r="164" spans="1:2" x14ac:dyDescent="0.2">
      <c r="A164" s="181">
        <v>106</v>
      </c>
      <c r="B164" s="182">
        <v>95</v>
      </c>
    </row>
    <row r="165" spans="1:2" x14ac:dyDescent="0.2">
      <c r="A165" s="181">
        <v>253</v>
      </c>
      <c r="B165" s="182">
        <v>15</v>
      </c>
    </row>
    <row r="166" spans="1:2" x14ac:dyDescent="0.2">
      <c r="A166" s="180" t="s">
        <v>271</v>
      </c>
      <c r="B166" s="182">
        <v>100</v>
      </c>
    </row>
    <row r="167" spans="1:2" x14ac:dyDescent="0.2">
      <c r="A167" s="181">
        <v>64</v>
      </c>
      <c r="B167" s="182">
        <v>100</v>
      </c>
    </row>
    <row r="168" spans="1:2" x14ac:dyDescent="0.2">
      <c r="A168" s="180" t="s">
        <v>385</v>
      </c>
      <c r="B168" s="182">
        <v>100</v>
      </c>
    </row>
    <row r="169" spans="1:2" x14ac:dyDescent="0.2">
      <c r="A169" s="181">
        <v>3</v>
      </c>
      <c r="B169" s="182">
        <v>50</v>
      </c>
    </row>
    <row r="170" spans="1:2" x14ac:dyDescent="0.2">
      <c r="A170" s="181">
        <v>64</v>
      </c>
      <c r="B170" s="182">
        <v>50</v>
      </c>
    </row>
    <row r="171" spans="1:2" x14ac:dyDescent="0.2">
      <c r="A171" s="180" t="s">
        <v>378</v>
      </c>
      <c r="B171" s="182">
        <v>100</v>
      </c>
    </row>
    <row r="172" spans="1:2" x14ac:dyDescent="0.2">
      <c r="A172" s="181">
        <v>64</v>
      </c>
      <c r="B172" s="182">
        <v>50</v>
      </c>
    </row>
    <row r="173" spans="1:2" x14ac:dyDescent="0.2">
      <c r="A173" s="181">
        <v>320</v>
      </c>
      <c r="B173" s="182">
        <v>50</v>
      </c>
    </row>
    <row r="174" spans="1:2" x14ac:dyDescent="0.2">
      <c r="A174" s="180" t="s">
        <v>541</v>
      </c>
      <c r="B174" s="182">
        <v>125</v>
      </c>
    </row>
    <row r="175" spans="1:2" x14ac:dyDescent="0.2">
      <c r="A175" s="181">
        <v>44</v>
      </c>
      <c r="B175" s="182">
        <v>5</v>
      </c>
    </row>
    <row r="176" spans="1:2" x14ac:dyDescent="0.2">
      <c r="A176" s="181">
        <v>88</v>
      </c>
      <c r="B176" s="182">
        <v>120</v>
      </c>
    </row>
    <row r="177" spans="1:2" x14ac:dyDescent="0.2">
      <c r="A177" s="180" t="s">
        <v>146</v>
      </c>
      <c r="B177" s="182">
        <v>189</v>
      </c>
    </row>
    <row r="178" spans="1:2" x14ac:dyDescent="0.2">
      <c r="A178" s="181">
        <v>84</v>
      </c>
      <c r="B178" s="182">
        <v>107</v>
      </c>
    </row>
    <row r="179" spans="1:2" x14ac:dyDescent="0.2">
      <c r="A179" s="181">
        <v>91</v>
      </c>
      <c r="B179" s="182">
        <v>17</v>
      </c>
    </row>
    <row r="180" spans="1:2" x14ac:dyDescent="0.2">
      <c r="A180" s="181">
        <v>137</v>
      </c>
      <c r="B180" s="182">
        <v>6</v>
      </c>
    </row>
    <row r="181" spans="1:2" x14ac:dyDescent="0.2">
      <c r="A181" s="181">
        <v>221</v>
      </c>
      <c r="B181" s="182">
        <v>15</v>
      </c>
    </row>
    <row r="182" spans="1:2" x14ac:dyDescent="0.2">
      <c r="A182" s="181">
        <v>222</v>
      </c>
      <c r="B182" s="182">
        <v>15</v>
      </c>
    </row>
    <row r="183" spans="1:2" x14ac:dyDescent="0.2">
      <c r="A183" s="181">
        <v>229</v>
      </c>
      <c r="B183" s="182">
        <v>11</v>
      </c>
    </row>
    <row r="184" spans="1:2" x14ac:dyDescent="0.2">
      <c r="A184" s="181">
        <v>310</v>
      </c>
      <c r="B184" s="182">
        <v>18</v>
      </c>
    </row>
    <row r="185" spans="1:2" x14ac:dyDescent="0.2">
      <c r="A185" s="180" t="s">
        <v>436</v>
      </c>
      <c r="B185" s="182">
        <v>295</v>
      </c>
    </row>
    <row r="186" spans="1:2" x14ac:dyDescent="0.2">
      <c r="A186" s="181">
        <v>96</v>
      </c>
      <c r="B186" s="182">
        <v>25</v>
      </c>
    </row>
    <row r="187" spans="1:2" x14ac:dyDescent="0.2">
      <c r="A187" s="181">
        <v>233</v>
      </c>
      <c r="B187" s="182">
        <v>270</v>
      </c>
    </row>
    <row r="188" spans="1:2" x14ac:dyDescent="0.2">
      <c r="A188" s="180" t="s">
        <v>238</v>
      </c>
      <c r="B188" s="182">
        <v>35</v>
      </c>
    </row>
    <row r="189" spans="1:2" x14ac:dyDescent="0.2">
      <c r="A189" s="181">
        <v>67</v>
      </c>
      <c r="B189" s="182">
        <v>35</v>
      </c>
    </row>
    <row r="190" spans="1:2" x14ac:dyDescent="0.2">
      <c r="A190" s="180" t="s">
        <v>71</v>
      </c>
      <c r="B190" s="182">
        <v>35</v>
      </c>
    </row>
    <row r="191" spans="1:2" x14ac:dyDescent="0.2">
      <c r="A191" s="181">
        <v>67</v>
      </c>
      <c r="B191" s="182">
        <v>35</v>
      </c>
    </row>
    <row r="192" spans="1:2" x14ac:dyDescent="0.2">
      <c r="A192" s="180" t="s">
        <v>171</v>
      </c>
      <c r="B192" s="182">
        <v>35</v>
      </c>
    </row>
    <row r="193" spans="1:2" x14ac:dyDescent="0.2">
      <c r="A193" s="181">
        <v>67</v>
      </c>
      <c r="B193" s="182">
        <v>35</v>
      </c>
    </row>
    <row r="194" spans="1:2" x14ac:dyDescent="0.2">
      <c r="A194" s="180" t="s">
        <v>301</v>
      </c>
      <c r="B194" s="182">
        <v>160</v>
      </c>
    </row>
    <row r="195" spans="1:2" x14ac:dyDescent="0.2">
      <c r="A195" s="181">
        <v>69</v>
      </c>
      <c r="B195" s="182">
        <v>160</v>
      </c>
    </row>
    <row r="196" spans="1:2" x14ac:dyDescent="0.2">
      <c r="A196" s="180" t="s">
        <v>509</v>
      </c>
      <c r="B196" s="182">
        <v>100</v>
      </c>
    </row>
    <row r="197" spans="1:2" x14ac:dyDescent="0.2">
      <c r="A197" s="181">
        <v>69</v>
      </c>
      <c r="B197" s="182">
        <v>100</v>
      </c>
    </row>
    <row r="198" spans="1:2" x14ac:dyDescent="0.2">
      <c r="A198" s="180" t="s">
        <v>442</v>
      </c>
      <c r="B198" s="182">
        <v>105</v>
      </c>
    </row>
    <row r="199" spans="1:2" x14ac:dyDescent="0.2">
      <c r="A199" s="181">
        <v>72</v>
      </c>
      <c r="B199" s="182">
        <v>50</v>
      </c>
    </row>
    <row r="200" spans="1:2" x14ac:dyDescent="0.2">
      <c r="A200" s="181">
        <v>96</v>
      </c>
      <c r="B200" s="182">
        <v>50</v>
      </c>
    </row>
    <row r="201" spans="1:2" x14ac:dyDescent="0.2">
      <c r="A201" s="181">
        <v>198</v>
      </c>
      <c r="B201" s="182">
        <v>5</v>
      </c>
    </row>
    <row r="202" spans="1:2" x14ac:dyDescent="0.2">
      <c r="A202" s="180" t="s">
        <v>572</v>
      </c>
      <c r="B202" s="182">
        <v>100</v>
      </c>
    </row>
    <row r="203" spans="1:2" x14ac:dyDescent="0.2">
      <c r="A203" s="181">
        <v>72</v>
      </c>
      <c r="B203" s="182">
        <v>50</v>
      </c>
    </row>
    <row r="204" spans="1:2" x14ac:dyDescent="0.2">
      <c r="A204" s="181">
        <v>117</v>
      </c>
      <c r="B204" s="182">
        <v>50</v>
      </c>
    </row>
    <row r="205" spans="1:2" x14ac:dyDescent="0.2">
      <c r="A205" s="180" t="s">
        <v>558</v>
      </c>
      <c r="B205" s="182">
        <v>100</v>
      </c>
    </row>
    <row r="206" spans="1:2" x14ac:dyDescent="0.2">
      <c r="A206" s="181">
        <v>72</v>
      </c>
      <c r="B206" s="182">
        <v>50</v>
      </c>
    </row>
    <row r="207" spans="1:2" x14ac:dyDescent="0.2">
      <c r="A207" s="181">
        <v>117</v>
      </c>
      <c r="B207" s="182">
        <v>50</v>
      </c>
    </row>
    <row r="208" spans="1:2" x14ac:dyDescent="0.2">
      <c r="A208" s="180" t="s">
        <v>530</v>
      </c>
      <c r="B208" s="182">
        <v>100</v>
      </c>
    </row>
    <row r="209" spans="1:2" x14ac:dyDescent="0.2">
      <c r="A209" s="181">
        <v>70</v>
      </c>
      <c r="B209" s="182">
        <v>50</v>
      </c>
    </row>
    <row r="210" spans="1:2" x14ac:dyDescent="0.2">
      <c r="A210" s="181">
        <v>117</v>
      </c>
      <c r="B210" s="182">
        <v>50</v>
      </c>
    </row>
    <row r="211" spans="1:2" x14ac:dyDescent="0.2">
      <c r="A211" s="180" t="s">
        <v>459</v>
      </c>
      <c r="B211" s="182">
        <v>100</v>
      </c>
    </row>
    <row r="212" spans="1:2" x14ac:dyDescent="0.2">
      <c r="A212" s="181">
        <v>73</v>
      </c>
      <c r="B212" s="182">
        <v>100</v>
      </c>
    </row>
    <row r="213" spans="1:2" x14ac:dyDescent="0.2">
      <c r="A213" s="180" t="s">
        <v>14</v>
      </c>
      <c r="B213" s="182">
        <v>220</v>
      </c>
    </row>
    <row r="214" spans="1:2" x14ac:dyDescent="0.2">
      <c r="A214" s="181">
        <v>74</v>
      </c>
      <c r="B214" s="182">
        <v>200</v>
      </c>
    </row>
    <row r="215" spans="1:2" x14ac:dyDescent="0.2">
      <c r="A215" s="181">
        <v>208</v>
      </c>
      <c r="B215" s="182">
        <v>20</v>
      </c>
    </row>
    <row r="216" spans="1:2" x14ac:dyDescent="0.2">
      <c r="A216" s="180" t="s">
        <v>79</v>
      </c>
      <c r="B216" s="182">
        <v>170</v>
      </c>
    </row>
    <row r="217" spans="1:2" x14ac:dyDescent="0.2">
      <c r="A217" s="181">
        <v>75</v>
      </c>
      <c r="B217" s="182">
        <v>150</v>
      </c>
    </row>
    <row r="218" spans="1:2" x14ac:dyDescent="0.2">
      <c r="A218" s="181">
        <v>208</v>
      </c>
      <c r="B218" s="182">
        <v>20</v>
      </c>
    </row>
    <row r="219" spans="1:2" x14ac:dyDescent="0.2">
      <c r="A219" s="180" t="s">
        <v>242</v>
      </c>
      <c r="B219" s="182">
        <v>150</v>
      </c>
    </row>
    <row r="220" spans="1:2" x14ac:dyDescent="0.2">
      <c r="A220" s="181">
        <v>75</v>
      </c>
      <c r="B220" s="182">
        <v>150</v>
      </c>
    </row>
    <row r="221" spans="1:2" x14ac:dyDescent="0.2">
      <c r="A221" s="180" t="s">
        <v>367</v>
      </c>
      <c r="B221" s="182">
        <v>155</v>
      </c>
    </row>
    <row r="222" spans="1:2" x14ac:dyDescent="0.2">
      <c r="A222" s="181">
        <v>75</v>
      </c>
      <c r="B222" s="182">
        <v>150</v>
      </c>
    </row>
    <row r="223" spans="1:2" x14ac:dyDescent="0.2">
      <c r="A223" s="181">
        <v>113</v>
      </c>
      <c r="B223" s="182">
        <v>5</v>
      </c>
    </row>
    <row r="224" spans="1:2" x14ac:dyDescent="0.2">
      <c r="A224" s="180" t="s">
        <v>325</v>
      </c>
      <c r="B224" s="182">
        <v>165</v>
      </c>
    </row>
    <row r="225" spans="1:2" x14ac:dyDescent="0.2">
      <c r="A225" s="181">
        <v>28</v>
      </c>
      <c r="B225" s="182">
        <v>5</v>
      </c>
    </row>
    <row r="226" spans="1:2" x14ac:dyDescent="0.2">
      <c r="A226" s="181">
        <v>75</v>
      </c>
      <c r="B226" s="182">
        <v>150</v>
      </c>
    </row>
    <row r="227" spans="1:2" x14ac:dyDescent="0.2">
      <c r="A227" s="181">
        <v>312</v>
      </c>
      <c r="B227" s="182">
        <v>10</v>
      </c>
    </row>
    <row r="228" spans="1:2" x14ac:dyDescent="0.2">
      <c r="A228" s="180" t="s">
        <v>5</v>
      </c>
      <c r="B228" s="182">
        <v>166</v>
      </c>
    </row>
    <row r="229" spans="1:2" x14ac:dyDescent="0.2">
      <c r="A229" s="181">
        <v>17</v>
      </c>
      <c r="B229" s="182">
        <v>6</v>
      </c>
    </row>
    <row r="230" spans="1:2" x14ac:dyDescent="0.2">
      <c r="A230" s="181">
        <v>77</v>
      </c>
      <c r="B230" s="182">
        <v>60</v>
      </c>
    </row>
    <row r="231" spans="1:2" x14ac:dyDescent="0.2">
      <c r="A231" s="181">
        <v>177</v>
      </c>
      <c r="B231" s="182">
        <v>100</v>
      </c>
    </row>
    <row r="232" spans="1:2" x14ac:dyDescent="0.2">
      <c r="A232" s="180" t="s">
        <v>89</v>
      </c>
      <c r="B232" s="182">
        <v>86</v>
      </c>
    </row>
    <row r="233" spans="1:2" x14ac:dyDescent="0.2">
      <c r="A233" s="181">
        <v>17</v>
      </c>
      <c r="B233" s="182">
        <v>6</v>
      </c>
    </row>
    <row r="234" spans="1:2" x14ac:dyDescent="0.2">
      <c r="A234" s="181">
        <v>77</v>
      </c>
      <c r="B234" s="182">
        <v>60</v>
      </c>
    </row>
    <row r="235" spans="1:2" x14ac:dyDescent="0.2">
      <c r="A235" s="181">
        <v>178</v>
      </c>
      <c r="B235" s="182">
        <v>20</v>
      </c>
    </row>
    <row r="236" spans="1:2" x14ac:dyDescent="0.2">
      <c r="A236" s="180" t="s">
        <v>41</v>
      </c>
      <c r="B236" s="182">
        <v>226</v>
      </c>
    </row>
    <row r="237" spans="1:2" x14ac:dyDescent="0.2">
      <c r="A237" s="181">
        <v>17</v>
      </c>
      <c r="B237" s="182">
        <v>6</v>
      </c>
    </row>
    <row r="238" spans="1:2" x14ac:dyDescent="0.2">
      <c r="A238" s="181">
        <v>77</v>
      </c>
      <c r="B238" s="182">
        <v>120</v>
      </c>
    </row>
    <row r="239" spans="1:2" x14ac:dyDescent="0.2">
      <c r="A239" s="181">
        <v>177</v>
      </c>
      <c r="B239" s="182">
        <v>100</v>
      </c>
    </row>
    <row r="240" spans="1:2" x14ac:dyDescent="0.2">
      <c r="A240" s="180" t="s">
        <v>54</v>
      </c>
      <c r="B240" s="182">
        <v>166</v>
      </c>
    </row>
    <row r="241" spans="1:2" x14ac:dyDescent="0.2">
      <c r="A241" s="181">
        <v>17</v>
      </c>
      <c r="B241" s="182">
        <v>6</v>
      </c>
    </row>
    <row r="242" spans="1:2" x14ac:dyDescent="0.2">
      <c r="A242" s="181">
        <v>77</v>
      </c>
      <c r="B242" s="182">
        <v>60</v>
      </c>
    </row>
    <row r="243" spans="1:2" x14ac:dyDescent="0.2">
      <c r="A243" s="181">
        <v>177</v>
      </c>
      <c r="B243" s="182">
        <v>100</v>
      </c>
    </row>
    <row r="244" spans="1:2" x14ac:dyDescent="0.2">
      <c r="A244" s="180" t="s">
        <v>241</v>
      </c>
      <c r="B244" s="182">
        <v>60</v>
      </c>
    </row>
    <row r="245" spans="1:2" x14ac:dyDescent="0.2">
      <c r="A245" s="181">
        <v>77</v>
      </c>
      <c r="B245" s="182">
        <v>60</v>
      </c>
    </row>
    <row r="246" spans="1:2" x14ac:dyDescent="0.2">
      <c r="A246" s="180" t="s">
        <v>46</v>
      </c>
      <c r="B246" s="182">
        <v>320</v>
      </c>
    </row>
    <row r="247" spans="1:2" x14ac:dyDescent="0.2">
      <c r="A247" s="181">
        <v>77</v>
      </c>
      <c r="B247" s="182">
        <v>140</v>
      </c>
    </row>
    <row r="248" spans="1:2" x14ac:dyDescent="0.2">
      <c r="A248" s="181">
        <v>177</v>
      </c>
      <c r="B248" s="182">
        <v>180</v>
      </c>
    </row>
    <row r="249" spans="1:2" x14ac:dyDescent="0.2">
      <c r="A249" s="180" t="s">
        <v>96</v>
      </c>
      <c r="B249" s="182">
        <v>376</v>
      </c>
    </row>
    <row r="250" spans="1:2" x14ac:dyDescent="0.2">
      <c r="A250" s="181">
        <v>17</v>
      </c>
      <c r="B250" s="182">
        <v>16</v>
      </c>
    </row>
    <row r="251" spans="1:2" x14ac:dyDescent="0.2">
      <c r="A251" s="181">
        <v>77</v>
      </c>
      <c r="B251" s="182">
        <v>260</v>
      </c>
    </row>
    <row r="252" spans="1:2" x14ac:dyDescent="0.2">
      <c r="A252" s="181">
        <v>177</v>
      </c>
      <c r="B252" s="182">
        <v>100</v>
      </c>
    </row>
    <row r="253" spans="1:2" x14ac:dyDescent="0.2">
      <c r="A253" s="180" t="s">
        <v>464</v>
      </c>
      <c r="B253" s="182">
        <v>90</v>
      </c>
    </row>
    <row r="254" spans="1:2" x14ac:dyDescent="0.2">
      <c r="A254" s="181">
        <v>23</v>
      </c>
      <c r="B254" s="182">
        <v>90</v>
      </c>
    </row>
    <row r="255" spans="1:2" x14ac:dyDescent="0.2">
      <c r="A255" s="180" t="s">
        <v>452</v>
      </c>
      <c r="B255" s="182">
        <v>315</v>
      </c>
    </row>
    <row r="256" spans="1:2" x14ac:dyDescent="0.2">
      <c r="A256" s="181">
        <v>23</v>
      </c>
      <c r="B256" s="182">
        <v>195</v>
      </c>
    </row>
    <row r="257" spans="1:2" x14ac:dyDescent="0.2">
      <c r="A257" s="181">
        <v>242</v>
      </c>
      <c r="B257" s="182">
        <v>120</v>
      </c>
    </row>
    <row r="258" spans="1:2" x14ac:dyDescent="0.2">
      <c r="A258" s="180" t="s">
        <v>198</v>
      </c>
      <c r="B258" s="182">
        <v>200</v>
      </c>
    </row>
    <row r="259" spans="1:2" x14ac:dyDescent="0.2">
      <c r="A259" s="181">
        <v>140</v>
      </c>
      <c r="B259" s="182">
        <v>100</v>
      </c>
    </row>
    <row r="260" spans="1:2" x14ac:dyDescent="0.2">
      <c r="A260" s="181">
        <v>141</v>
      </c>
      <c r="B260" s="182">
        <v>100</v>
      </c>
    </row>
    <row r="261" spans="1:2" x14ac:dyDescent="0.2">
      <c r="A261" s="180" t="s">
        <v>250</v>
      </c>
      <c r="B261" s="182">
        <v>100</v>
      </c>
    </row>
    <row r="262" spans="1:2" x14ac:dyDescent="0.2">
      <c r="A262" s="181">
        <v>141</v>
      </c>
      <c r="B262" s="182">
        <v>100</v>
      </c>
    </row>
    <row r="263" spans="1:2" x14ac:dyDescent="0.2">
      <c r="A263" s="180" t="s">
        <v>122</v>
      </c>
      <c r="B263" s="182">
        <v>100</v>
      </c>
    </row>
    <row r="264" spans="1:2" x14ac:dyDescent="0.2">
      <c r="A264" s="181">
        <v>141</v>
      </c>
      <c r="B264" s="182">
        <v>100</v>
      </c>
    </row>
    <row r="265" spans="1:2" x14ac:dyDescent="0.2">
      <c r="A265" s="180" t="s">
        <v>251</v>
      </c>
      <c r="B265" s="182">
        <v>100</v>
      </c>
    </row>
    <row r="266" spans="1:2" x14ac:dyDescent="0.2">
      <c r="A266" s="181">
        <v>141</v>
      </c>
      <c r="B266" s="182">
        <v>100</v>
      </c>
    </row>
    <row r="267" spans="1:2" x14ac:dyDescent="0.2">
      <c r="A267" s="180" t="s">
        <v>328</v>
      </c>
      <c r="B267" s="182">
        <v>290</v>
      </c>
    </row>
    <row r="268" spans="1:2" x14ac:dyDescent="0.2">
      <c r="A268" s="181">
        <v>34</v>
      </c>
      <c r="B268" s="182">
        <v>130</v>
      </c>
    </row>
    <row r="269" spans="1:2" x14ac:dyDescent="0.2">
      <c r="A269" s="181">
        <v>96</v>
      </c>
      <c r="B269" s="182">
        <v>65</v>
      </c>
    </row>
    <row r="270" spans="1:2" x14ac:dyDescent="0.2">
      <c r="A270" s="181">
        <v>167</v>
      </c>
      <c r="B270" s="182">
        <v>5</v>
      </c>
    </row>
    <row r="271" spans="1:2" x14ac:dyDescent="0.2">
      <c r="A271" s="181">
        <v>242</v>
      </c>
      <c r="B271" s="182">
        <v>90</v>
      </c>
    </row>
    <row r="272" spans="1:2" x14ac:dyDescent="0.2">
      <c r="A272" s="180" t="s">
        <v>288</v>
      </c>
      <c r="B272" s="182">
        <v>210</v>
      </c>
    </row>
    <row r="273" spans="1:2" x14ac:dyDescent="0.2">
      <c r="A273" s="181">
        <v>79</v>
      </c>
      <c r="B273" s="182">
        <v>100</v>
      </c>
    </row>
    <row r="274" spans="1:2" x14ac:dyDescent="0.2">
      <c r="A274" s="181">
        <v>182</v>
      </c>
      <c r="B274" s="182">
        <v>10</v>
      </c>
    </row>
    <row r="275" spans="1:2" x14ac:dyDescent="0.2">
      <c r="A275" s="181">
        <v>302</v>
      </c>
      <c r="B275" s="182">
        <v>100</v>
      </c>
    </row>
    <row r="276" spans="1:2" x14ac:dyDescent="0.2">
      <c r="A276" s="180" t="s">
        <v>287</v>
      </c>
      <c r="B276" s="182">
        <v>30</v>
      </c>
    </row>
    <row r="277" spans="1:2" x14ac:dyDescent="0.2">
      <c r="A277" s="181">
        <v>19</v>
      </c>
      <c r="B277" s="182">
        <v>10</v>
      </c>
    </row>
    <row r="278" spans="1:2" x14ac:dyDescent="0.2">
      <c r="A278" s="181">
        <v>79</v>
      </c>
      <c r="B278" s="182">
        <v>20</v>
      </c>
    </row>
    <row r="279" spans="1:2" x14ac:dyDescent="0.2">
      <c r="A279" s="180" t="s">
        <v>292</v>
      </c>
      <c r="B279" s="182">
        <v>60</v>
      </c>
    </row>
    <row r="280" spans="1:2" x14ac:dyDescent="0.2">
      <c r="A280" s="181">
        <v>19</v>
      </c>
      <c r="B280" s="182">
        <v>10</v>
      </c>
    </row>
    <row r="281" spans="1:2" x14ac:dyDescent="0.2">
      <c r="A281" s="181">
        <v>79</v>
      </c>
      <c r="B281" s="182">
        <v>50</v>
      </c>
    </row>
    <row r="282" spans="1:2" x14ac:dyDescent="0.2">
      <c r="A282" s="180" t="s">
        <v>278</v>
      </c>
      <c r="B282" s="182">
        <v>100</v>
      </c>
    </row>
    <row r="283" spans="1:2" x14ac:dyDescent="0.2">
      <c r="A283" s="181">
        <v>302</v>
      </c>
      <c r="B283" s="182">
        <v>100</v>
      </c>
    </row>
    <row r="284" spans="1:2" x14ac:dyDescent="0.2">
      <c r="A284" s="180" t="s">
        <v>428</v>
      </c>
      <c r="B284" s="182">
        <v>30</v>
      </c>
    </row>
    <row r="285" spans="1:2" x14ac:dyDescent="0.2">
      <c r="A285" s="181">
        <v>79</v>
      </c>
      <c r="B285" s="182">
        <v>20</v>
      </c>
    </row>
    <row r="286" spans="1:2" x14ac:dyDescent="0.2">
      <c r="A286" s="181">
        <v>115</v>
      </c>
      <c r="B286" s="182">
        <v>10</v>
      </c>
    </row>
    <row r="287" spans="1:2" x14ac:dyDescent="0.2">
      <c r="A287" s="180" t="s">
        <v>430</v>
      </c>
      <c r="B287" s="182">
        <v>120</v>
      </c>
    </row>
    <row r="288" spans="1:2" x14ac:dyDescent="0.2">
      <c r="A288" s="181">
        <v>79</v>
      </c>
      <c r="B288" s="182">
        <v>50</v>
      </c>
    </row>
    <row r="289" spans="1:2" x14ac:dyDescent="0.2">
      <c r="A289" s="181">
        <v>115</v>
      </c>
      <c r="B289" s="182">
        <v>10</v>
      </c>
    </row>
    <row r="290" spans="1:2" x14ac:dyDescent="0.2">
      <c r="A290" s="181">
        <v>242</v>
      </c>
      <c r="B290" s="182">
        <v>60</v>
      </c>
    </row>
    <row r="291" spans="1:2" x14ac:dyDescent="0.2">
      <c r="A291" s="180" t="s">
        <v>414</v>
      </c>
      <c r="B291" s="182">
        <v>100</v>
      </c>
    </row>
    <row r="292" spans="1:2" x14ac:dyDescent="0.2">
      <c r="A292" s="181">
        <v>79</v>
      </c>
      <c r="B292" s="182">
        <v>100</v>
      </c>
    </row>
    <row r="293" spans="1:2" x14ac:dyDescent="0.2">
      <c r="A293" s="180" t="s">
        <v>450</v>
      </c>
      <c r="B293" s="182">
        <v>120</v>
      </c>
    </row>
    <row r="294" spans="1:2" x14ac:dyDescent="0.2">
      <c r="A294" s="181">
        <v>82</v>
      </c>
      <c r="B294" s="182">
        <v>120</v>
      </c>
    </row>
    <row r="295" spans="1:2" x14ac:dyDescent="0.2">
      <c r="A295" s="180" t="s">
        <v>42</v>
      </c>
      <c r="B295" s="182">
        <v>170</v>
      </c>
    </row>
    <row r="296" spans="1:2" x14ac:dyDescent="0.2">
      <c r="A296" s="181">
        <v>81</v>
      </c>
      <c r="B296" s="182">
        <v>170</v>
      </c>
    </row>
    <row r="297" spans="1:2" x14ac:dyDescent="0.2">
      <c r="A297" s="180" t="s">
        <v>26</v>
      </c>
      <c r="B297" s="182">
        <v>125</v>
      </c>
    </row>
    <row r="298" spans="1:2" x14ac:dyDescent="0.2">
      <c r="A298" s="181">
        <v>81</v>
      </c>
      <c r="B298" s="182">
        <v>120</v>
      </c>
    </row>
    <row r="299" spans="1:2" x14ac:dyDescent="0.2">
      <c r="A299" s="181">
        <v>126</v>
      </c>
      <c r="B299" s="182">
        <v>5</v>
      </c>
    </row>
    <row r="300" spans="1:2" x14ac:dyDescent="0.2">
      <c r="A300" s="180" t="s">
        <v>82</v>
      </c>
      <c r="B300" s="182">
        <v>120</v>
      </c>
    </row>
    <row r="301" spans="1:2" x14ac:dyDescent="0.2">
      <c r="A301" s="181">
        <v>81</v>
      </c>
      <c r="B301" s="182">
        <v>120</v>
      </c>
    </row>
    <row r="302" spans="1:2" x14ac:dyDescent="0.2">
      <c r="A302" s="180" t="s">
        <v>117</v>
      </c>
      <c r="B302" s="182">
        <v>360</v>
      </c>
    </row>
    <row r="303" spans="1:2" x14ac:dyDescent="0.2">
      <c r="A303" s="181">
        <v>83</v>
      </c>
      <c r="B303" s="182">
        <v>120</v>
      </c>
    </row>
    <row r="304" spans="1:2" x14ac:dyDescent="0.2">
      <c r="A304" s="181">
        <v>84</v>
      </c>
      <c r="B304" s="182">
        <v>120</v>
      </c>
    </row>
    <row r="305" spans="1:2" x14ac:dyDescent="0.2">
      <c r="A305" s="181">
        <v>234</v>
      </c>
      <c r="B305" s="182">
        <v>120</v>
      </c>
    </row>
    <row r="306" spans="1:2" x14ac:dyDescent="0.2">
      <c r="A306" s="180" t="s">
        <v>227</v>
      </c>
      <c r="B306" s="182">
        <v>170</v>
      </c>
    </row>
    <row r="307" spans="1:2" x14ac:dyDescent="0.2">
      <c r="A307" s="181">
        <v>84</v>
      </c>
      <c r="B307" s="182">
        <v>170</v>
      </c>
    </row>
    <row r="308" spans="1:2" x14ac:dyDescent="0.2">
      <c r="A308" s="180" t="s">
        <v>405</v>
      </c>
      <c r="B308" s="182">
        <v>130</v>
      </c>
    </row>
    <row r="309" spans="1:2" x14ac:dyDescent="0.2">
      <c r="A309" s="181">
        <v>86</v>
      </c>
      <c r="B309" s="182">
        <v>120</v>
      </c>
    </row>
    <row r="310" spans="1:2" x14ac:dyDescent="0.2">
      <c r="A310" s="181">
        <v>206</v>
      </c>
      <c r="B310" s="182">
        <v>10</v>
      </c>
    </row>
    <row r="311" spans="1:2" x14ac:dyDescent="0.2">
      <c r="A311" s="180" t="s">
        <v>138</v>
      </c>
      <c r="B311" s="182">
        <v>150</v>
      </c>
    </row>
    <row r="312" spans="1:2" x14ac:dyDescent="0.2">
      <c r="A312" s="181">
        <v>96</v>
      </c>
      <c r="B312" s="182">
        <v>75</v>
      </c>
    </row>
    <row r="313" spans="1:2" x14ac:dyDescent="0.2">
      <c r="A313" s="181">
        <v>106</v>
      </c>
      <c r="B313" s="182">
        <v>75</v>
      </c>
    </row>
    <row r="314" spans="1:2" x14ac:dyDescent="0.2">
      <c r="A314" s="180" t="s">
        <v>237</v>
      </c>
      <c r="B314" s="182">
        <v>100</v>
      </c>
    </row>
    <row r="315" spans="1:2" x14ac:dyDescent="0.2">
      <c r="A315" s="181">
        <v>96</v>
      </c>
      <c r="B315" s="182">
        <v>50</v>
      </c>
    </row>
    <row r="316" spans="1:2" x14ac:dyDescent="0.2">
      <c r="A316" s="181">
        <v>106</v>
      </c>
      <c r="B316" s="182">
        <v>50</v>
      </c>
    </row>
    <row r="317" spans="1:2" x14ac:dyDescent="0.2">
      <c r="A317" s="180" t="s">
        <v>78</v>
      </c>
      <c r="B317" s="182">
        <v>150</v>
      </c>
    </row>
    <row r="318" spans="1:2" x14ac:dyDescent="0.2">
      <c r="A318" s="181">
        <v>96</v>
      </c>
      <c r="B318" s="182">
        <v>150</v>
      </c>
    </row>
    <row r="319" spans="1:2" x14ac:dyDescent="0.2">
      <c r="A319" s="180" t="s">
        <v>550</v>
      </c>
      <c r="B319" s="182">
        <v>125</v>
      </c>
    </row>
    <row r="320" spans="1:2" x14ac:dyDescent="0.2">
      <c r="A320" s="181">
        <v>96</v>
      </c>
      <c r="B320" s="182">
        <v>75</v>
      </c>
    </row>
    <row r="321" spans="1:2" x14ac:dyDescent="0.2">
      <c r="A321" s="181">
        <v>320</v>
      </c>
      <c r="B321" s="182">
        <v>50</v>
      </c>
    </row>
    <row r="322" spans="1:2" x14ac:dyDescent="0.2">
      <c r="A322" s="180" t="s">
        <v>359</v>
      </c>
      <c r="B322" s="182">
        <v>100</v>
      </c>
    </row>
    <row r="323" spans="1:2" x14ac:dyDescent="0.2">
      <c r="A323" s="181">
        <v>58</v>
      </c>
      <c r="B323" s="182">
        <v>50</v>
      </c>
    </row>
    <row r="324" spans="1:2" x14ac:dyDescent="0.2">
      <c r="A324" s="181">
        <v>96</v>
      </c>
      <c r="B324" s="182">
        <v>50</v>
      </c>
    </row>
    <row r="325" spans="1:2" x14ac:dyDescent="0.2">
      <c r="A325" s="180" t="s">
        <v>561</v>
      </c>
      <c r="B325" s="182">
        <v>200</v>
      </c>
    </row>
    <row r="326" spans="1:2" x14ac:dyDescent="0.2">
      <c r="A326" s="181">
        <v>98</v>
      </c>
      <c r="B326" s="182">
        <v>100</v>
      </c>
    </row>
    <row r="327" spans="1:2" x14ac:dyDescent="0.2">
      <c r="A327" s="181">
        <v>99</v>
      </c>
      <c r="B327" s="182">
        <v>100</v>
      </c>
    </row>
    <row r="328" spans="1:2" x14ac:dyDescent="0.2">
      <c r="A328" s="180" t="s">
        <v>23</v>
      </c>
      <c r="B328" s="182">
        <v>100</v>
      </c>
    </row>
    <row r="329" spans="1:2" x14ac:dyDescent="0.2">
      <c r="A329" s="181">
        <v>98</v>
      </c>
      <c r="B329" s="182">
        <v>50</v>
      </c>
    </row>
    <row r="330" spans="1:2" x14ac:dyDescent="0.2">
      <c r="A330" s="181">
        <v>313</v>
      </c>
      <c r="B330" s="182">
        <v>50</v>
      </c>
    </row>
    <row r="331" spans="1:2" x14ac:dyDescent="0.2">
      <c r="A331" s="180" t="s">
        <v>107</v>
      </c>
      <c r="B331" s="182">
        <v>50</v>
      </c>
    </row>
    <row r="332" spans="1:2" x14ac:dyDescent="0.2">
      <c r="A332" s="181">
        <v>96</v>
      </c>
      <c r="B332" s="182">
        <v>50</v>
      </c>
    </row>
    <row r="333" spans="1:2" x14ac:dyDescent="0.2">
      <c r="A333" s="180" t="s">
        <v>315</v>
      </c>
      <c r="B333" s="182">
        <v>105</v>
      </c>
    </row>
    <row r="334" spans="1:2" x14ac:dyDescent="0.2">
      <c r="A334" s="181">
        <v>96</v>
      </c>
      <c r="B334" s="182">
        <v>100</v>
      </c>
    </row>
    <row r="335" spans="1:2" x14ac:dyDescent="0.2">
      <c r="A335" s="181">
        <v>199</v>
      </c>
      <c r="B335" s="182">
        <v>5</v>
      </c>
    </row>
    <row r="336" spans="1:2" x14ac:dyDescent="0.2">
      <c r="A336" s="180" t="s">
        <v>351</v>
      </c>
      <c r="B336" s="182">
        <v>170</v>
      </c>
    </row>
    <row r="337" spans="1:2" x14ac:dyDescent="0.2">
      <c r="A337" s="181">
        <v>96</v>
      </c>
      <c r="B337" s="182">
        <v>70</v>
      </c>
    </row>
    <row r="338" spans="1:2" x14ac:dyDescent="0.2">
      <c r="A338" s="181">
        <v>106</v>
      </c>
      <c r="B338" s="182">
        <v>70</v>
      </c>
    </row>
    <row r="339" spans="1:2" x14ac:dyDescent="0.2">
      <c r="A339" s="181">
        <v>320</v>
      </c>
      <c r="B339" s="182">
        <v>30</v>
      </c>
    </row>
    <row r="340" spans="1:2" x14ac:dyDescent="0.2">
      <c r="A340" s="180" t="s">
        <v>86</v>
      </c>
      <c r="B340" s="182">
        <v>340</v>
      </c>
    </row>
    <row r="341" spans="1:2" x14ac:dyDescent="0.2">
      <c r="A341" s="181">
        <v>17</v>
      </c>
      <c r="B341" s="182">
        <v>20</v>
      </c>
    </row>
    <row r="342" spans="1:2" x14ac:dyDescent="0.2">
      <c r="A342" s="181">
        <v>102</v>
      </c>
      <c r="B342" s="182">
        <v>160</v>
      </c>
    </row>
    <row r="343" spans="1:2" x14ac:dyDescent="0.2">
      <c r="A343" s="181">
        <v>103</v>
      </c>
      <c r="B343" s="182">
        <v>160</v>
      </c>
    </row>
    <row r="344" spans="1:2" x14ac:dyDescent="0.2">
      <c r="A344" s="180" t="s">
        <v>172</v>
      </c>
      <c r="B344" s="182">
        <v>160</v>
      </c>
    </row>
    <row r="345" spans="1:2" x14ac:dyDescent="0.2">
      <c r="A345" s="181">
        <v>101</v>
      </c>
      <c r="B345" s="182">
        <v>160</v>
      </c>
    </row>
    <row r="346" spans="1:2" x14ac:dyDescent="0.2">
      <c r="A346" s="180" t="s">
        <v>73</v>
      </c>
      <c r="B346" s="182">
        <v>160</v>
      </c>
    </row>
    <row r="347" spans="1:2" x14ac:dyDescent="0.2">
      <c r="A347" s="181">
        <v>104</v>
      </c>
      <c r="B347" s="182">
        <v>160</v>
      </c>
    </row>
    <row r="348" spans="1:2" x14ac:dyDescent="0.2">
      <c r="A348" s="180" t="s">
        <v>421</v>
      </c>
      <c r="B348" s="182">
        <v>100</v>
      </c>
    </row>
    <row r="349" spans="1:2" x14ac:dyDescent="0.2">
      <c r="A349" s="181">
        <v>96</v>
      </c>
      <c r="B349" s="182">
        <v>50</v>
      </c>
    </row>
    <row r="350" spans="1:2" x14ac:dyDescent="0.2">
      <c r="A350" s="181">
        <v>106</v>
      </c>
      <c r="B350" s="182">
        <v>50</v>
      </c>
    </row>
    <row r="351" spans="1:2" x14ac:dyDescent="0.2">
      <c r="A351" s="180" t="s">
        <v>520</v>
      </c>
      <c r="B351" s="182">
        <v>210</v>
      </c>
    </row>
    <row r="352" spans="1:2" x14ac:dyDescent="0.2">
      <c r="A352" s="181">
        <v>94</v>
      </c>
      <c r="B352" s="182">
        <v>5</v>
      </c>
    </row>
    <row r="353" spans="1:2" x14ac:dyDescent="0.2">
      <c r="A353" s="181">
        <v>106</v>
      </c>
      <c r="B353" s="182">
        <v>155</v>
      </c>
    </row>
    <row r="354" spans="1:2" x14ac:dyDescent="0.2">
      <c r="A354" s="181">
        <v>112</v>
      </c>
      <c r="B354" s="182">
        <v>50</v>
      </c>
    </row>
    <row r="355" spans="1:2" x14ac:dyDescent="0.2">
      <c r="A355" s="180" t="s">
        <v>526</v>
      </c>
      <c r="B355" s="182">
        <v>105</v>
      </c>
    </row>
    <row r="356" spans="1:2" x14ac:dyDescent="0.2">
      <c r="A356" s="181">
        <v>106</v>
      </c>
      <c r="B356" s="182">
        <v>100</v>
      </c>
    </row>
    <row r="357" spans="1:2" x14ac:dyDescent="0.2">
      <c r="A357" s="181">
        <v>113</v>
      </c>
      <c r="B357" s="182">
        <v>5</v>
      </c>
    </row>
    <row r="358" spans="1:2" x14ac:dyDescent="0.2">
      <c r="A358" s="180" t="s">
        <v>448</v>
      </c>
      <c r="B358" s="182">
        <v>100</v>
      </c>
    </row>
    <row r="359" spans="1:2" x14ac:dyDescent="0.2">
      <c r="A359" s="181">
        <v>106</v>
      </c>
      <c r="B359" s="182">
        <v>50</v>
      </c>
    </row>
    <row r="360" spans="1:2" x14ac:dyDescent="0.2">
      <c r="A360" s="181">
        <v>169</v>
      </c>
      <c r="B360" s="182">
        <v>50</v>
      </c>
    </row>
    <row r="361" spans="1:2" x14ac:dyDescent="0.2">
      <c r="A361" s="180" t="s">
        <v>309</v>
      </c>
      <c r="B361" s="182">
        <v>325</v>
      </c>
    </row>
    <row r="362" spans="1:2" x14ac:dyDescent="0.2">
      <c r="A362" s="181">
        <v>94</v>
      </c>
      <c r="B362" s="182">
        <v>15</v>
      </c>
    </row>
    <row r="363" spans="1:2" x14ac:dyDescent="0.2">
      <c r="A363" s="181">
        <v>106</v>
      </c>
      <c r="B363" s="182">
        <v>265</v>
      </c>
    </row>
    <row r="364" spans="1:2" x14ac:dyDescent="0.2">
      <c r="A364" s="181">
        <v>223</v>
      </c>
      <c r="B364" s="182">
        <v>10</v>
      </c>
    </row>
    <row r="365" spans="1:2" x14ac:dyDescent="0.2">
      <c r="A365" s="181">
        <v>225</v>
      </c>
      <c r="B365" s="182">
        <v>35</v>
      </c>
    </row>
    <row r="366" spans="1:2" x14ac:dyDescent="0.2">
      <c r="A366" s="180" t="s">
        <v>491</v>
      </c>
      <c r="B366" s="182">
        <v>100</v>
      </c>
    </row>
    <row r="367" spans="1:2" x14ac:dyDescent="0.2">
      <c r="A367" s="181">
        <v>106</v>
      </c>
      <c r="B367" s="182">
        <v>100</v>
      </c>
    </row>
    <row r="368" spans="1:2" x14ac:dyDescent="0.2">
      <c r="A368" s="180" t="s">
        <v>68</v>
      </c>
      <c r="B368" s="182">
        <v>100</v>
      </c>
    </row>
    <row r="369" spans="1:2" x14ac:dyDescent="0.2">
      <c r="A369" s="181">
        <v>106</v>
      </c>
      <c r="B369" s="182">
        <v>100</v>
      </c>
    </row>
    <row r="370" spans="1:2" x14ac:dyDescent="0.2">
      <c r="A370" s="180" t="s">
        <v>50</v>
      </c>
      <c r="B370" s="182">
        <v>100</v>
      </c>
    </row>
    <row r="371" spans="1:2" x14ac:dyDescent="0.2">
      <c r="A371" s="181">
        <v>108</v>
      </c>
      <c r="B371" s="182">
        <v>100</v>
      </c>
    </row>
    <row r="372" spans="1:2" x14ac:dyDescent="0.2">
      <c r="A372" s="180" t="s">
        <v>305</v>
      </c>
      <c r="B372" s="182">
        <v>90</v>
      </c>
    </row>
    <row r="373" spans="1:2" x14ac:dyDescent="0.2">
      <c r="A373" s="181">
        <v>106</v>
      </c>
      <c r="B373" s="182">
        <v>75</v>
      </c>
    </row>
    <row r="374" spans="1:2" x14ac:dyDescent="0.2">
      <c r="A374" s="181">
        <v>205</v>
      </c>
      <c r="B374" s="182">
        <v>15</v>
      </c>
    </row>
    <row r="375" spans="1:2" x14ac:dyDescent="0.2">
      <c r="A375" s="180" t="s">
        <v>320</v>
      </c>
      <c r="B375" s="182">
        <v>100</v>
      </c>
    </row>
    <row r="376" spans="1:2" x14ac:dyDescent="0.2">
      <c r="A376" s="181">
        <v>106</v>
      </c>
      <c r="B376" s="182">
        <v>100</v>
      </c>
    </row>
    <row r="377" spans="1:2" x14ac:dyDescent="0.2">
      <c r="A377" s="180" t="s">
        <v>322</v>
      </c>
      <c r="B377" s="182">
        <v>200</v>
      </c>
    </row>
    <row r="378" spans="1:2" x14ac:dyDescent="0.2">
      <c r="A378" s="181">
        <v>106</v>
      </c>
      <c r="B378" s="182">
        <v>100</v>
      </c>
    </row>
    <row r="379" spans="1:2" x14ac:dyDescent="0.2">
      <c r="A379" s="181">
        <v>109</v>
      </c>
      <c r="B379" s="182">
        <v>100</v>
      </c>
    </row>
    <row r="380" spans="1:2" x14ac:dyDescent="0.2">
      <c r="A380" s="180" t="s">
        <v>505</v>
      </c>
      <c r="B380" s="182">
        <v>100</v>
      </c>
    </row>
    <row r="381" spans="1:2" x14ac:dyDescent="0.2">
      <c r="A381" s="181">
        <v>44</v>
      </c>
      <c r="B381" s="182">
        <v>5</v>
      </c>
    </row>
    <row r="382" spans="1:2" x14ac:dyDescent="0.2">
      <c r="A382" s="181">
        <v>94</v>
      </c>
      <c r="B382" s="182">
        <v>5</v>
      </c>
    </row>
    <row r="383" spans="1:2" x14ac:dyDescent="0.2">
      <c r="A383" s="181">
        <v>109</v>
      </c>
      <c r="B383" s="182">
        <v>80</v>
      </c>
    </row>
    <row r="384" spans="1:2" x14ac:dyDescent="0.2">
      <c r="A384" s="181">
        <v>223</v>
      </c>
      <c r="B384" s="182">
        <v>10</v>
      </c>
    </row>
    <row r="385" spans="1:2" x14ac:dyDescent="0.2">
      <c r="A385" s="180" t="s">
        <v>480</v>
      </c>
      <c r="B385" s="182">
        <v>105</v>
      </c>
    </row>
    <row r="386" spans="1:2" x14ac:dyDescent="0.2">
      <c r="A386" s="181">
        <v>109</v>
      </c>
      <c r="B386" s="182">
        <v>100</v>
      </c>
    </row>
    <row r="387" spans="1:2" x14ac:dyDescent="0.2">
      <c r="A387" s="181">
        <v>113</v>
      </c>
      <c r="B387" s="182">
        <v>5</v>
      </c>
    </row>
    <row r="388" spans="1:2" x14ac:dyDescent="0.2">
      <c r="A388" s="180" t="s">
        <v>404</v>
      </c>
      <c r="B388" s="182">
        <v>130</v>
      </c>
    </row>
    <row r="389" spans="1:2" x14ac:dyDescent="0.2">
      <c r="A389" s="181">
        <v>116</v>
      </c>
      <c r="B389" s="182">
        <v>30</v>
      </c>
    </row>
    <row r="390" spans="1:2" x14ac:dyDescent="0.2">
      <c r="A390" s="181">
        <v>322</v>
      </c>
      <c r="B390" s="182">
        <v>100</v>
      </c>
    </row>
    <row r="391" spans="1:2" x14ac:dyDescent="0.2">
      <c r="A391" s="180" t="s">
        <v>97</v>
      </c>
      <c r="B391" s="182">
        <v>100</v>
      </c>
    </row>
    <row r="392" spans="1:2" x14ac:dyDescent="0.2">
      <c r="A392" s="181">
        <v>117</v>
      </c>
      <c r="B392" s="182">
        <v>100</v>
      </c>
    </row>
    <row r="393" spans="1:2" x14ac:dyDescent="0.2">
      <c r="A393" s="180" t="s">
        <v>49</v>
      </c>
      <c r="B393" s="182">
        <v>100</v>
      </c>
    </row>
    <row r="394" spans="1:2" x14ac:dyDescent="0.2">
      <c r="A394" s="181">
        <v>119</v>
      </c>
      <c r="B394" s="182">
        <v>100</v>
      </c>
    </row>
    <row r="395" spans="1:2" x14ac:dyDescent="0.2">
      <c r="A395" s="180" t="s">
        <v>497</v>
      </c>
      <c r="B395" s="182">
        <v>140</v>
      </c>
    </row>
    <row r="396" spans="1:2" x14ac:dyDescent="0.2">
      <c r="A396" s="181">
        <v>125</v>
      </c>
      <c r="B396" s="182">
        <v>55</v>
      </c>
    </row>
    <row r="397" spans="1:2" x14ac:dyDescent="0.2">
      <c r="A397" s="181">
        <v>177</v>
      </c>
      <c r="B397" s="182">
        <v>85</v>
      </c>
    </row>
    <row r="398" spans="1:2" x14ac:dyDescent="0.2">
      <c r="A398" s="180" t="s">
        <v>331</v>
      </c>
      <c r="B398" s="182">
        <v>480.6</v>
      </c>
    </row>
    <row r="399" spans="1:2" x14ac:dyDescent="0.2">
      <c r="A399" s="181">
        <v>84</v>
      </c>
      <c r="B399" s="182">
        <v>60</v>
      </c>
    </row>
    <row r="400" spans="1:2" x14ac:dyDescent="0.2">
      <c r="A400" s="181">
        <v>125</v>
      </c>
      <c r="B400" s="182">
        <v>155</v>
      </c>
    </row>
    <row r="401" spans="1:2" x14ac:dyDescent="0.2">
      <c r="A401" s="181">
        <v>177</v>
      </c>
      <c r="B401" s="182">
        <v>235</v>
      </c>
    </row>
    <row r="402" spans="1:2" x14ac:dyDescent="0.2">
      <c r="A402" s="181">
        <v>197</v>
      </c>
      <c r="B402" s="182">
        <v>11.6</v>
      </c>
    </row>
    <row r="403" spans="1:2" x14ac:dyDescent="0.2">
      <c r="A403" s="181">
        <v>315</v>
      </c>
      <c r="B403" s="182">
        <v>19</v>
      </c>
    </row>
    <row r="404" spans="1:2" x14ac:dyDescent="0.2">
      <c r="A404" s="180" t="s">
        <v>256</v>
      </c>
      <c r="B404" s="182">
        <v>100</v>
      </c>
    </row>
    <row r="405" spans="1:2" x14ac:dyDescent="0.2">
      <c r="A405" s="181">
        <v>301</v>
      </c>
      <c r="B405" s="182">
        <v>100</v>
      </c>
    </row>
    <row r="406" spans="1:2" x14ac:dyDescent="0.2">
      <c r="A406" s="180" t="s">
        <v>321</v>
      </c>
      <c r="B406" s="182">
        <v>120</v>
      </c>
    </row>
    <row r="407" spans="1:2" x14ac:dyDescent="0.2">
      <c r="A407" s="181">
        <v>90</v>
      </c>
      <c r="B407" s="182">
        <v>120</v>
      </c>
    </row>
    <row r="408" spans="1:2" x14ac:dyDescent="0.2">
      <c r="A408" s="180" t="s">
        <v>307</v>
      </c>
      <c r="B408" s="182">
        <v>140</v>
      </c>
    </row>
    <row r="409" spans="1:2" x14ac:dyDescent="0.2">
      <c r="A409" s="181">
        <v>90</v>
      </c>
      <c r="B409" s="182">
        <v>120</v>
      </c>
    </row>
    <row r="410" spans="1:2" x14ac:dyDescent="0.2">
      <c r="A410" s="181">
        <v>210</v>
      </c>
      <c r="B410" s="182">
        <v>20</v>
      </c>
    </row>
    <row r="411" spans="1:2" x14ac:dyDescent="0.2">
      <c r="A411" s="180" t="s">
        <v>300</v>
      </c>
      <c r="B411" s="182">
        <v>290</v>
      </c>
    </row>
    <row r="412" spans="1:2" x14ac:dyDescent="0.2">
      <c r="A412" s="181">
        <v>90</v>
      </c>
      <c r="B412" s="182">
        <v>270</v>
      </c>
    </row>
    <row r="413" spans="1:2" x14ac:dyDescent="0.2">
      <c r="A413" s="181">
        <v>210</v>
      </c>
      <c r="B413" s="182">
        <v>20</v>
      </c>
    </row>
    <row r="414" spans="1:2" x14ac:dyDescent="0.2">
      <c r="A414" s="180" t="s">
        <v>126</v>
      </c>
      <c r="B414" s="182">
        <v>80</v>
      </c>
    </row>
    <row r="415" spans="1:2" x14ac:dyDescent="0.2">
      <c r="A415" s="181">
        <v>122</v>
      </c>
      <c r="B415" s="182">
        <v>80</v>
      </c>
    </row>
    <row r="416" spans="1:2" x14ac:dyDescent="0.2">
      <c r="A416" s="180" t="s">
        <v>551</v>
      </c>
      <c r="B416" s="182">
        <v>330</v>
      </c>
    </row>
    <row r="417" spans="1:2" x14ac:dyDescent="0.2">
      <c r="A417" s="181">
        <v>124</v>
      </c>
      <c r="B417" s="182">
        <v>330</v>
      </c>
    </row>
    <row r="418" spans="1:2" x14ac:dyDescent="0.2">
      <c r="A418" s="180" t="s">
        <v>259</v>
      </c>
      <c r="B418" s="182">
        <v>140</v>
      </c>
    </row>
    <row r="419" spans="1:2" x14ac:dyDescent="0.2">
      <c r="A419" s="181">
        <v>23</v>
      </c>
      <c r="B419" s="182">
        <v>70</v>
      </c>
    </row>
    <row r="420" spans="1:2" x14ac:dyDescent="0.2">
      <c r="A420" s="181">
        <v>84</v>
      </c>
      <c r="B420" s="182">
        <v>70</v>
      </c>
    </row>
    <row r="421" spans="1:2" x14ac:dyDescent="0.2">
      <c r="A421" s="180" t="s">
        <v>380</v>
      </c>
      <c r="B421" s="182">
        <v>100</v>
      </c>
    </row>
    <row r="422" spans="1:2" x14ac:dyDescent="0.2">
      <c r="A422" s="181">
        <v>130</v>
      </c>
      <c r="B422" s="182">
        <v>100</v>
      </c>
    </row>
    <row r="423" spans="1:2" x14ac:dyDescent="0.2">
      <c r="A423" s="180" t="s">
        <v>489</v>
      </c>
      <c r="B423" s="182">
        <v>100</v>
      </c>
    </row>
    <row r="424" spans="1:2" x14ac:dyDescent="0.2">
      <c r="A424" s="181">
        <v>131</v>
      </c>
      <c r="B424" s="182">
        <v>100</v>
      </c>
    </row>
    <row r="425" spans="1:2" x14ac:dyDescent="0.2">
      <c r="A425" s="180" t="s">
        <v>391</v>
      </c>
      <c r="B425" s="182">
        <v>220</v>
      </c>
    </row>
    <row r="426" spans="1:2" x14ac:dyDescent="0.2">
      <c r="A426" s="181">
        <v>128</v>
      </c>
      <c r="B426" s="182">
        <v>200</v>
      </c>
    </row>
    <row r="427" spans="1:2" x14ac:dyDescent="0.2">
      <c r="A427" s="181">
        <v>208</v>
      </c>
      <c r="B427" s="182">
        <v>20</v>
      </c>
    </row>
    <row r="428" spans="1:2" x14ac:dyDescent="0.2">
      <c r="A428" s="180" t="s">
        <v>470</v>
      </c>
      <c r="B428" s="182">
        <v>115</v>
      </c>
    </row>
    <row r="429" spans="1:2" x14ac:dyDescent="0.2">
      <c r="A429" s="181">
        <v>41</v>
      </c>
      <c r="B429" s="182">
        <v>5</v>
      </c>
    </row>
    <row r="430" spans="1:2" x14ac:dyDescent="0.2">
      <c r="A430" s="181">
        <v>128</v>
      </c>
      <c r="B430" s="182">
        <v>100</v>
      </c>
    </row>
    <row r="431" spans="1:2" x14ac:dyDescent="0.2">
      <c r="A431" s="181">
        <v>194</v>
      </c>
      <c r="B431" s="182">
        <v>5</v>
      </c>
    </row>
    <row r="432" spans="1:2" x14ac:dyDescent="0.2">
      <c r="A432" s="181">
        <v>279</v>
      </c>
      <c r="B432" s="182">
        <v>5</v>
      </c>
    </row>
    <row r="433" spans="1:2" x14ac:dyDescent="0.2">
      <c r="A433" s="180" t="s">
        <v>446</v>
      </c>
      <c r="B433" s="182">
        <v>100</v>
      </c>
    </row>
    <row r="434" spans="1:2" x14ac:dyDescent="0.2">
      <c r="A434" s="181">
        <v>134</v>
      </c>
      <c r="B434" s="182">
        <v>100</v>
      </c>
    </row>
    <row r="435" spans="1:2" x14ac:dyDescent="0.2">
      <c r="A435" s="180" t="s">
        <v>542</v>
      </c>
      <c r="B435" s="182">
        <v>130</v>
      </c>
    </row>
    <row r="436" spans="1:2" x14ac:dyDescent="0.2">
      <c r="A436" s="181">
        <v>2</v>
      </c>
      <c r="B436" s="182">
        <v>30</v>
      </c>
    </row>
    <row r="437" spans="1:2" x14ac:dyDescent="0.2">
      <c r="A437" s="181">
        <v>50</v>
      </c>
      <c r="B437" s="182">
        <v>30</v>
      </c>
    </row>
    <row r="438" spans="1:2" x14ac:dyDescent="0.2">
      <c r="A438" s="181">
        <v>135</v>
      </c>
      <c r="B438" s="182">
        <v>50</v>
      </c>
    </row>
    <row r="439" spans="1:2" x14ac:dyDescent="0.2">
      <c r="A439" s="181">
        <v>224</v>
      </c>
      <c r="B439" s="182">
        <v>15</v>
      </c>
    </row>
    <row r="440" spans="1:2" x14ac:dyDescent="0.2">
      <c r="A440" s="181">
        <v>316</v>
      </c>
      <c r="B440" s="182">
        <v>5</v>
      </c>
    </row>
    <row r="441" spans="1:2" x14ac:dyDescent="0.2">
      <c r="A441" s="180" t="s">
        <v>31</v>
      </c>
      <c r="B441" s="182">
        <v>220</v>
      </c>
    </row>
    <row r="442" spans="1:2" x14ac:dyDescent="0.2">
      <c r="A442" s="181">
        <v>140</v>
      </c>
      <c r="B442" s="182">
        <v>180</v>
      </c>
    </row>
    <row r="443" spans="1:2" x14ac:dyDescent="0.2">
      <c r="A443" s="181">
        <v>144</v>
      </c>
      <c r="B443" s="182">
        <v>40</v>
      </c>
    </row>
    <row r="444" spans="1:2" x14ac:dyDescent="0.2">
      <c r="A444" s="180" t="s">
        <v>557</v>
      </c>
      <c r="B444" s="182">
        <v>100</v>
      </c>
    </row>
    <row r="445" spans="1:2" x14ac:dyDescent="0.2">
      <c r="A445" s="181">
        <v>140</v>
      </c>
      <c r="B445" s="182">
        <v>100</v>
      </c>
    </row>
    <row r="446" spans="1:2" x14ac:dyDescent="0.2">
      <c r="A446" s="180" t="s">
        <v>69</v>
      </c>
      <c r="B446" s="182">
        <v>200</v>
      </c>
    </row>
    <row r="447" spans="1:2" x14ac:dyDescent="0.2">
      <c r="A447" s="181">
        <v>140</v>
      </c>
      <c r="B447" s="182">
        <v>100</v>
      </c>
    </row>
    <row r="448" spans="1:2" x14ac:dyDescent="0.2">
      <c r="A448" s="181">
        <v>141</v>
      </c>
      <c r="B448" s="182">
        <v>100</v>
      </c>
    </row>
    <row r="449" spans="1:2" x14ac:dyDescent="0.2">
      <c r="A449" s="180" t="s">
        <v>573</v>
      </c>
      <c r="B449" s="182">
        <v>40</v>
      </c>
    </row>
    <row r="450" spans="1:2" x14ac:dyDescent="0.2">
      <c r="A450" s="181">
        <v>140</v>
      </c>
      <c r="B450" s="182">
        <v>40</v>
      </c>
    </row>
    <row r="451" spans="1:2" x14ac:dyDescent="0.2">
      <c r="A451" s="180" t="s">
        <v>510</v>
      </c>
      <c r="B451" s="182">
        <v>140</v>
      </c>
    </row>
    <row r="452" spans="1:2" x14ac:dyDescent="0.2">
      <c r="A452" s="181">
        <v>146</v>
      </c>
      <c r="B452" s="182">
        <v>140</v>
      </c>
    </row>
    <row r="453" spans="1:2" x14ac:dyDescent="0.2">
      <c r="A453" s="180" t="s">
        <v>20</v>
      </c>
      <c r="B453" s="182">
        <v>500</v>
      </c>
    </row>
    <row r="454" spans="1:2" x14ac:dyDescent="0.2">
      <c r="A454" s="181">
        <v>144</v>
      </c>
      <c r="B454" s="182">
        <v>40</v>
      </c>
    </row>
    <row r="455" spans="1:2" x14ac:dyDescent="0.2">
      <c r="A455" s="181">
        <v>146</v>
      </c>
      <c r="B455" s="182">
        <v>460</v>
      </c>
    </row>
    <row r="456" spans="1:2" x14ac:dyDescent="0.2">
      <c r="A456" s="180" t="s">
        <v>66</v>
      </c>
      <c r="B456" s="182">
        <v>200</v>
      </c>
    </row>
    <row r="457" spans="1:2" x14ac:dyDescent="0.2">
      <c r="A457" s="181">
        <v>146</v>
      </c>
      <c r="B457" s="182">
        <v>200</v>
      </c>
    </row>
    <row r="458" spans="1:2" x14ac:dyDescent="0.2">
      <c r="A458" s="180" t="s">
        <v>357</v>
      </c>
      <c r="B458" s="182">
        <v>100</v>
      </c>
    </row>
    <row r="459" spans="1:2" x14ac:dyDescent="0.2">
      <c r="A459" s="181">
        <v>146</v>
      </c>
      <c r="B459" s="182">
        <v>100</v>
      </c>
    </row>
    <row r="460" spans="1:2" x14ac:dyDescent="0.2">
      <c r="A460" s="180" t="s">
        <v>384</v>
      </c>
      <c r="B460" s="182">
        <v>100</v>
      </c>
    </row>
    <row r="461" spans="1:2" x14ac:dyDescent="0.2">
      <c r="A461" s="181">
        <v>140</v>
      </c>
      <c r="B461" s="182">
        <v>100</v>
      </c>
    </row>
    <row r="462" spans="1:2" x14ac:dyDescent="0.2">
      <c r="A462" s="180" t="s">
        <v>275</v>
      </c>
      <c r="B462" s="182">
        <v>240</v>
      </c>
    </row>
    <row r="463" spans="1:2" x14ac:dyDescent="0.2">
      <c r="A463" s="181">
        <v>238</v>
      </c>
      <c r="B463" s="182">
        <v>120</v>
      </c>
    </row>
    <row r="464" spans="1:2" x14ac:dyDescent="0.2">
      <c r="A464" s="181">
        <v>242</v>
      </c>
      <c r="B464" s="182">
        <v>120</v>
      </c>
    </row>
    <row r="465" spans="1:2" x14ac:dyDescent="0.2">
      <c r="A465" s="180" t="s">
        <v>264</v>
      </c>
      <c r="B465" s="182">
        <v>273</v>
      </c>
    </row>
    <row r="466" spans="1:2" x14ac:dyDescent="0.2">
      <c r="A466" s="181">
        <v>24</v>
      </c>
      <c r="B466" s="182">
        <v>1</v>
      </c>
    </row>
    <row r="467" spans="1:2" x14ac:dyDescent="0.2">
      <c r="A467" s="181">
        <v>147</v>
      </c>
      <c r="B467" s="182">
        <v>270</v>
      </c>
    </row>
    <row r="468" spans="1:2" x14ac:dyDescent="0.2">
      <c r="A468" s="181">
        <v>195</v>
      </c>
      <c r="B468" s="182">
        <v>1</v>
      </c>
    </row>
    <row r="469" spans="1:2" x14ac:dyDescent="0.2">
      <c r="A469" s="181">
        <v>196</v>
      </c>
      <c r="B469" s="182">
        <v>1</v>
      </c>
    </row>
    <row r="470" spans="1:2" x14ac:dyDescent="0.2">
      <c r="A470" s="180" t="s">
        <v>255</v>
      </c>
      <c r="B470" s="182">
        <v>120</v>
      </c>
    </row>
    <row r="471" spans="1:2" x14ac:dyDescent="0.2">
      <c r="A471" s="181">
        <v>149</v>
      </c>
      <c r="B471" s="182">
        <v>120</v>
      </c>
    </row>
    <row r="472" spans="1:2" x14ac:dyDescent="0.2">
      <c r="A472" s="180" t="s">
        <v>139</v>
      </c>
      <c r="B472" s="182">
        <v>180</v>
      </c>
    </row>
    <row r="473" spans="1:2" x14ac:dyDescent="0.2">
      <c r="A473" s="181">
        <v>174</v>
      </c>
      <c r="B473" s="182">
        <v>10</v>
      </c>
    </row>
    <row r="474" spans="1:2" x14ac:dyDescent="0.2">
      <c r="A474" s="181">
        <v>244</v>
      </c>
      <c r="B474" s="182">
        <v>170</v>
      </c>
    </row>
    <row r="475" spans="1:2" x14ac:dyDescent="0.2">
      <c r="A475" s="180" t="s">
        <v>177</v>
      </c>
      <c r="B475" s="182">
        <v>300</v>
      </c>
    </row>
    <row r="476" spans="1:2" x14ac:dyDescent="0.2">
      <c r="A476" s="181">
        <v>297</v>
      </c>
      <c r="B476" s="182">
        <v>300</v>
      </c>
    </row>
    <row r="477" spans="1:2" x14ac:dyDescent="0.2">
      <c r="A477" s="180" t="s">
        <v>191</v>
      </c>
      <c r="B477" s="182">
        <v>240</v>
      </c>
    </row>
    <row r="478" spans="1:2" x14ac:dyDescent="0.2">
      <c r="A478" s="181">
        <v>242</v>
      </c>
      <c r="B478" s="182">
        <v>240</v>
      </c>
    </row>
    <row r="479" spans="1:2" x14ac:dyDescent="0.2">
      <c r="A479" s="180" t="s">
        <v>465</v>
      </c>
      <c r="B479" s="182">
        <v>120</v>
      </c>
    </row>
    <row r="480" spans="1:2" x14ac:dyDescent="0.2">
      <c r="A480" s="181">
        <v>151</v>
      </c>
      <c r="B480" s="182">
        <v>120</v>
      </c>
    </row>
    <row r="481" spans="1:2" x14ac:dyDescent="0.2">
      <c r="A481" s="180" t="s">
        <v>453</v>
      </c>
      <c r="B481" s="182">
        <v>120</v>
      </c>
    </row>
    <row r="482" spans="1:2" x14ac:dyDescent="0.2">
      <c r="A482" s="181">
        <v>242</v>
      </c>
      <c r="B482" s="182">
        <v>120</v>
      </c>
    </row>
    <row r="483" spans="1:2" x14ac:dyDescent="0.2">
      <c r="A483" s="180" t="s">
        <v>457</v>
      </c>
      <c r="B483" s="182">
        <v>150</v>
      </c>
    </row>
    <row r="484" spans="1:2" x14ac:dyDescent="0.2">
      <c r="A484" s="181">
        <v>240</v>
      </c>
      <c r="B484" s="182">
        <v>150</v>
      </c>
    </row>
    <row r="485" spans="1:2" x14ac:dyDescent="0.2">
      <c r="A485" s="180" t="s">
        <v>447</v>
      </c>
      <c r="B485" s="182">
        <v>270</v>
      </c>
    </row>
    <row r="486" spans="1:2" x14ac:dyDescent="0.2">
      <c r="A486" s="181">
        <v>152</v>
      </c>
      <c r="B486" s="182">
        <v>120</v>
      </c>
    </row>
    <row r="487" spans="1:2" x14ac:dyDescent="0.2">
      <c r="A487" s="181">
        <v>241</v>
      </c>
      <c r="B487" s="182">
        <v>150</v>
      </c>
    </row>
    <row r="488" spans="1:2" x14ac:dyDescent="0.2">
      <c r="A488" s="180" t="s">
        <v>587</v>
      </c>
      <c r="B488" s="182">
        <v>4</v>
      </c>
    </row>
    <row r="489" spans="1:2" x14ac:dyDescent="0.2">
      <c r="A489" s="181">
        <v>155</v>
      </c>
      <c r="B489" s="182">
        <v>4</v>
      </c>
    </row>
    <row r="490" spans="1:2" x14ac:dyDescent="0.2">
      <c r="A490" s="180" t="s">
        <v>581</v>
      </c>
      <c r="B490" s="182">
        <v>4</v>
      </c>
    </row>
    <row r="491" spans="1:2" x14ac:dyDescent="0.2">
      <c r="A491" s="181">
        <v>155</v>
      </c>
      <c r="B491" s="182">
        <v>4</v>
      </c>
    </row>
    <row r="492" spans="1:2" x14ac:dyDescent="0.2">
      <c r="A492" s="180" t="s">
        <v>213</v>
      </c>
      <c r="B492" s="182">
        <v>4</v>
      </c>
    </row>
    <row r="493" spans="1:2" x14ac:dyDescent="0.2">
      <c r="A493" s="181">
        <v>157</v>
      </c>
      <c r="B493" s="182">
        <v>4</v>
      </c>
    </row>
    <row r="494" spans="1:2" x14ac:dyDescent="0.2">
      <c r="A494" s="180" t="s">
        <v>358</v>
      </c>
      <c r="B494" s="182">
        <v>4</v>
      </c>
    </row>
    <row r="495" spans="1:2" x14ac:dyDescent="0.2">
      <c r="A495" s="181">
        <v>158</v>
      </c>
      <c r="B495" s="182">
        <v>4</v>
      </c>
    </row>
    <row r="496" spans="1:2" x14ac:dyDescent="0.2">
      <c r="A496" s="180" t="s">
        <v>67</v>
      </c>
      <c r="B496" s="182">
        <v>4</v>
      </c>
    </row>
    <row r="497" spans="1:2" x14ac:dyDescent="0.2">
      <c r="A497" s="181">
        <v>159</v>
      </c>
      <c r="B497" s="182">
        <v>4</v>
      </c>
    </row>
    <row r="498" spans="1:2" x14ac:dyDescent="0.2">
      <c r="A498" s="180" t="s">
        <v>377</v>
      </c>
      <c r="B498" s="182">
        <v>4</v>
      </c>
    </row>
    <row r="499" spans="1:2" x14ac:dyDescent="0.2">
      <c r="A499" s="181">
        <v>160</v>
      </c>
      <c r="B499" s="182">
        <v>4</v>
      </c>
    </row>
    <row r="500" spans="1:2" x14ac:dyDescent="0.2">
      <c r="A500" s="180" t="s">
        <v>567</v>
      </c>
      <c r="B500" s="182">
        <v>80</v>
      </c>
    </row>
    <row r="501" spans="1:2" x14ac:dyDescent="0.2">
      <c r="A501" s="181">
        <v>164</v>
      </c>
      <c r="B501" s="182">
        <v>80</v>
      </c>
    </row>
    <row r="502" spans="1:2" x14ac:dyDescent="0.2">
      <c r="A502" s="180" t="s">
        <v>230</v>
      </c>
      <c r="B502" s="182">
        <v>88</v>
      </c>
    </row>
    <row r="503" spans="1:2" x14ac:dyDescent="0.2">
      <c r="A503" s="181">
        <v>32</v>
      </c>
      <c r="B503" s="182">
        <v>8</v>
      </c>
    </row>
    <row r="504" spans="1:2" x14ac:dyDescent="0.2">
      <c r="A504" s="181">
        <v>161</v>
      </c>
      <c r="B504" s="182">
        <v>80</v>
      </c>
    </row>
    <row r="505" spans="1:2" x14ac:dyDescent="0.2">
      <c r="A505" s="180" t="s">
        <v>352</v>
      </c>
      <c r="B505" s="182">
        <v>80</v>
      </c>
    </row>
    <row r="506" spans="1:2" x14ac:dyDescent="0.2">
      <c r="A506" s="181">
        <v>162</v>
      </c>
      <c r="B506" s="182">
        <v>80</v>
      </c>
    </row>
    <row r="507" spans="1:2" x14ac:dyDescent="0.2">
      <c r="A507" s="180" t="s">
        <v>316</v>
      </c>
      <c r="B507" s="182">
        <v>80</v>
      </c>
    </row>
    <row r="508" spans="1:2" x14ac:dyDescent="0.2">
      <c r="A508" s="181">
        <v>163</v>
      </c>
      <c r="B508" s="182">
        <v>80</v>
      </c>
    </row>
    <row r="509" spans="1:2" x14ac:dyDescent="0.2">
      <c r="A509" s="180" t="s">
        <v>535</v>
      </c>
      <c r="B509" s="182">
        <v>80</v>
      </c>
    </row>
    <row r="510" spans="1:2" x14ac:dyDescent="0.2">
      <c r="A510" s="181">
        <v>165</v>
      </c>
      <c r="B510" s="182">
        <v>80</v>
      </c>
    </row>
    <row r="511" spans="1:2" x14ac:dyDescent="0.2">
      <c r="A511" s="180" t="s">
        <v>195</v>
      </c>
      <c r="B511" s="182">
        <v>80</v>
      </c>
    </row>
    <row r="512" spans="1:2" x14ac:dyDescent="0.2">
      <c r="A512" s="181">
        <v>165</v>
      </c>
      <c r="B512" s="182">
        <v>80</v>
      </c>
    </row>
    <row r="513" spans="1:2" x14ac:dyDescent="0.2">
      <c r="A513" s="180" t="s">
        <v>418</v>
      </c>
      <c r="B513" s="182">
        <v>86</v>
      </c>
    </row>
    <row r="514" spans="1:2" x14ac:dyDescent="0.2">
      <c r="A514" s="181">
        <v>17</v>
      </c>
      <c r="B514" s="182">
        <v>6</v>
      </c>
    </row>
    <row r="515" spans="1:2" x14ac:dyDescent="0.2">
      <c r="A515" s="181">
        <v>165</v>
      </c>
      <c r="B515" s="182">
        <v>80</v>
      </c>
    </row>
    <row r="516" spans="1:2" x14ac:dyDescent="0.2">
      <c r="A516" s="180" t="s">
        <v>179</v>
      </c>
      <c r="B516" s="182">
        <v>180</v>
      </c>
    </row>
    <row r="517" spans="1:2" x14ac:dyDescent="0.2">
      <c r="A517" s="181">
        <v>166</v>
      </c>
      <c r="B517" s="182">
        <v>180</v>
      </c>
    </row>
    <row r="518" spans="1:2" x14ac:dyDescent="0.2">
      <c r="A518" s="180" t="s">
        <v>403</v>
      </c>
      <c r="B518" s="182">
        <v>150</v>
      </c>
    </row>
    <row r="519" spans="1:2" x14ac:dyDescent="0.2">
      <c r="A519" s="181">
        <v>74</v>
      </c>
      <c r="B519" s="182">
        <v>150</v>
      </c>
    </row>
    <row r="520" spans="1:2" x14ac:dyDescent="0.2">
      <c r="A520" s="180" t="s">
        <v>239</v>
      </c>
      <c r="B520" s="182">
        <v>50</v>
      </c>
    </row>
    <row r="521" spans="1:2" x14ac:dyDescent="0.2">
      <c r="A521" s="181">
        <v>169</v>
      </c>
      <c r="B521" s="182">
        <v>50</v>
      </c>
    </row>
    <row r="522" spans="1:2" x14ac:dyDescent="0.2">
      <c r="A522" s="180" t="s">
        <v>356</v>
      </c>
      <c r="B522" s="182">
        <v>100</v>
      </c>
    </row>
    <row r="523" spans="1:2" x14ac:dyDescent="0.2">
      <c r="A523" s="181">
        <v>169</v>
      </c>
      <c r="B523" s="182">
        <v>100</v>
      </c>
    </row>
    <row r="524" spans="1:2" x14ac:dyDescent="0.2">
      <c r="A524" s="180" t="s">
        <v>363</v>
      </c>
      <c r="B524" s="182">
        <v>100</v>
      </c>
    </row>
    <row r="525" spans="1:2" x14ac:dyDescent="0.2">
      <c r="A525" s="181">
        <v>52</v>
      </c>
      <c r="B525" s="182">
        <v>50</v>
      </c>
    </row>
    <row r="526" spans="1:2" x14ac:dyDescent="0.2">
      <c r="A526" s="181">
        <v>169</v>
      </c>
      <c r="B526" s="182">
        <v>50</v>
      </c>
    </row>
    <row r="527" spans="1:2" x14ac:dyDescent="0.2">
      <c r="A527" s="180" t="s">
        <v>389</v>
      </c>
      <c r="B527" s="182">
        <v>100</v>
      </c>
    </row>
    <row r="528" spans="1:2" x14ac:dyDescent="0.2">
      <c r="A528" s="181">
        <v>169</v>
      </c>
      <c r="B528" s="182">
        <v>100</v>
      </c>
    </row>
    <row r="529" spans="1:2" x14ac:dyDescent="0.2">
      <c r="A529" s="180" t="s">
        <v>360</v>
      </c>
      <c r="B529" s="182">
        <v>130</v>
      </c>
    </row>
    <row r="530" spans="1:2" x14ac:dyDescent="0.2">
      <c r="A530" s="181">
        <v>238</v>
      </c>
      <c r="B530" s="182">
        <v>120</v>
      </c>
    </row>
    <row r="531" spans="1:2" x14ac:dyDescent="0.2">
      <c r="A531" s="181">
        <v>311</v>
      </c>
      <c r="B531" s="182">
        <v>10</v>
      </c>
    </row>
    <row r="532" spans="1:2" x14ac:dyDescent="0.2">
      <c r="A532" s="180" t="s">
        <v>345</v>
      </c>
      <c r="B532" s="182">
        <v>300</v>
      </c>
    </row>
    <row r="533" spans="1:2" x14ac:dyDescent="0.2">
      <c r="A533" s="181">
        <v>91</v>
      </c>
      <c r="B533" s="182">
        <v>10</v>
      </c>
    </row>
    <row r="534" spans="1:2" x14ac:dyDescent="0.2">
      <c r="A534" s="181">
        <v>238</v>
      </c>
      <c r="B534" s="182">
        <v>270</v>
      </c>
    </row>
    <row r="535" spans="1:2" x14ac:dyDescent="0.2">
      <c r="A535" s="181">
        <v>252</v>
      </c>
      <c r="B535" s="182">
        <v>10</v>
      </c>
    </row>
    <row r="536" spans="1:2" x14ac:dyDescent="0.2">
      <c r="A536" s="181">
        <v>311</v>
      </c>
      <c r="B536" s="182">
        <v>10</v>
      </c>
    </row>
    <row r="537" spans="1:2" x14ac:dyDescent="0.2">
      <c r="A537" s="180" t="s">
        <v>364</v>
      </c>
      <c r="B537" s="182">
        <v>120</v>
      </c>
    </row>
    <row r="538" spans="1:2" x14ac:dyDescent="0.2">
      <c r="A538" s="181">
        <v>244</v>
      </c>
      <c r="B538" s="182">
        <v>120</v>
      </c>
    </row>
    <row r="539" spans="1:2" x14ac:dyDescent="0.2">
      <c r="A539" s="180" t="s">
        <v>555</v>
      </c>
      <c r="B539" s="182">
        <v>210</v>
      </c>
    </row>
    <row r="540" spans="1:2" x14ac:dyDescent="0.2">
      <c r="A540" s="181">
        <v>88</v>
      </c>
      <c r="B540" s="182">
        <v>170</v>
      </c>
    </row>
    <row r="541" spans="1:2" x14ac:dyDescent="0.2">
      <c r="A541" s="181">
        <v>91</v>
      </c>
      <c r="B541" s="182">
        <v>15</v>
      </c>
    </row>
    <row r="542" spans="1:2" x14ac:dyDescent="0.2">
      <c r="A542" s="181">
        <v>252</v>
      </c>
      <c r="B542" s="182">
        <v>10</v>
      </c>
    </row>
    <row r="543" spans="1:2" x14ac:dyDescent="0.2">
      <c r="A543" s="181">
        <v>310</v>
      </c>
      <c r="B543" s="182">
        <v>15</v>
      </c>
    </row>
    <row r="544" spans="1:2" x14ac:dyDescent="0.2">
      <c r="A544" s="180" t="s">
        <v>565</v>
      </c>
      <c r="B544" s="182">
        <v>120</v>
      </c>
    </row>
    <row r="545" spans="1:2" x14ac:dyDescent="0.2">
      <c r="A545" s="181">
        <v>88</v>
      </c>
      <c r="B545" s="182">
        <v>120</v>
      </c>
    </row>
    <row r="546" spans="1:2" x14ac:dyDescent="0.2">
      <c r="A546" s="180" t="s">
        <v>569</v>
      </c>
      <c r="B546" s="182">
        <v>120</v>
      </c>
    </row>
    <row r="547" spans="1:2" x14ac:dyDescent="0.2">
      <c r="A547" s="181">
        <v>242</v>
      </c>
      <c r="B547" s="182">
        <v>120</v>
      </c>
    </row>
    <row r="548" spans="1:2" x14ac:dyDescent="0.2">
      <c r="A548" s="180" t="s">
        <v>571</v>
      </c>
      <c r="B548" s="182">
        <v>165</v>
      </c>
    </row>
    <row r="549" spans="1:2" x14ac:dyDescent="0.2">
      <c r="A549" s="181">
        <v>91</v>
      </c>
      <c r="B549" s="182">
        <v>5</v>
      </c>
    </row>
    <row r="550" spans="1:2" x14ac:dyDescent="0.2">
      <c r="A550" s="181">
        <v>238</v>
      </c>
      <c r="B550" s="182">
        <v>150</v>
      </c>
    </row>
    <row r="551" spans="1:2" x14ac:dyDescent="0.2">
      <c r="A551" s="181">
        <v>252</v>
      </c>
      <c r="B551" s="182">
        <v>5</v>
      </c>
    </row>
    <row r="552" spans="1:2" x14ac:dyDescent="0.2">
      <c r="A552" s="181">
        <v>310</v>
      </c>
      <c r="B552" s="182">
        <v>5</v>
      </c>
    </row>
    <row r="553" spans="1:2" x14ac:dyDescent="0.2">
      <c r="A553" s="180" t="s">
        <v>560</v>
      </c>
      <c r="B553" s="182">
        <v>280</v>
      </c>
    </row>
    <row r="554" spans="1:2" x14ac:dyDescent="0.2">
      <c r="A554" s="181">
        <v>91</v>
      </c>
      <c r="B554" s="182">
        <v>10</v>
      </c>
    </row>
    <row r="555" spans="1:2" x14ac:dyDescent="0.2">
      <c r="A555" s="181">
        <v>242</v>
      </c>
      <c r="B555" s="182">
        <v>270</v>
      </c>
    </row>
    <row r="556" spans="1:2" x14ac:dyDescent="0.2">
      <c r="A556" s="180" t="s">
        <v>485</v>
      </c>
      <c r="B556" s="182">
        <v>100</v>
      </c>
    </row>
    <row r="557" spans="1:2" x14ac:dyDescent="0.2">
      <c r="A557" s="181">
        <v>170</v>
      </c>
      <c r="B557" s="182">
        <v>100</v>
      </c>
    </row>
    <row r="558" spans="1:2" x14ac:dyDescent="0.2">
      <c r="A558" s="180" t="s">
        <v>236</v>
      </c>
      <c r="B558" s="182">
        <v>100</v>
      </c>
    </row>
    <row r="559" spans="1:2" x14ac:dyDescent="0.2">
      <c r="A559" s="181">
        <v>170</v>
      </c>
      <c r="B559" s="182">
        <v>100</v>
      </c>
    </row>
    <row r="560" spans="1:2" x14ac:dyDescent="0.2">
      <c r="A560" s="180" t="s">
        <v>308</v>
      </c>
      <c r="B560" s="182">
        <v>170</v>
      </c>
    </row>
    <row r="561" spans="1:2" x14ac:dyDescent="0.2">
      <c r="A561" s="181">
        <v>172</v>
      </c>
      <c r="B561" s="182">
        <v>170</v>
      </c>
    </row>
    <row r="562" spans="1:2" x14ac:dyDescent="0.2">
      <c r="A562" s="180" t="s">
        <v>361</v>
      </c>
      <c r="B562" s="182">
        <v>120</v>
      </c>
    </row>
    <row r="563" spans="1:2" x14ac:dyDescent="0.2">
      <c r="A563" s="181">
        <v>172</v>
      </c>
      <c r="B563" s="182">
        <v>120</v>
      </c>
    </row>
    <row r="564" spans="1:2" x14ac:dyDescent="0.2">
      <c r="A564" s="180" t="s">
        <v>339</v>
      </c>
      <c r="B564" s="182">
        <v>170</v>
      </c>
    </row>
    <row r="565" spans="1:2" x14ac:dyDescent="0.2">
      <c r="A565" s="181">
        <v>172</v>
      </c>
      <c r="B565" s="182">
        <v>170</v>
      </c>
    </row>
    <row r="566" spans="1:2" x14ac:dyDescent="0.2">
      <c r="A566" s="180" t="s">
        <v>303</v>
      </c>
      <c r="B566" s="182">
        <v>140</v>
      </c>
    </row>
    <row r="567" spans="1:2" x14ac:dyDescent="0.2">
      <c r="A567" s="181">
        <v>96</v>
      </c>
      <c r="B567" s="182">
        <v>10</v>
      </c>
    </row>
    <row r="568" spans="1:2" x14ac:dyDescent="0.2">
      <c r="A568" s="181">
        <v>172</v>
      </c>
      <c r="B568" s="182">
        <v>120</v>
      </c>
    </row>
    <row r="569" spans="1:2" x14ac:dyDescent="0.2">
      <c r="A569" s="181">
        <v>181</v>
      </c>
      <c r="B569" s="182">
        <v>10</v>
      </c>
    </row>
    <row r="570" spans="1:2" x14ac:dyDescent="0.2">
      <c r="A570" s="180" t="s">
        <v>336</v>
      </c>
      <c r="B570" s="182">
        <v>200</v>
      </c>
    </row>
    <row r="571" spans="1:2" x14ac:dyDescent="0.2">
      <c r="A571" s="181">
        <v>174</v>
      </c>
      <c r="B571" s="182">
        <v>200</v>
      </c>
    </row>
    <row r="572" spans="1:2" x14ac:dyDescent="0.2">
      <c r="A572" s="180" t="s">
        <v>153</v>
      </c>
      <c r="B572" s="182">
        <v>200</v>
      </c>
    </row>
    <row r="573" spans="1:2" x14ac:dyDescent="0.2">
      <c r="A573" s="181">
        <v>174</v>
      </c>
      <c r="B573" s="182">
        <v>200</v>
      </c>
    </row>
    <row r="574" spans="1:2" x14ac:dyDescent="0.2">
      <c r="A574" s="180" t="s">
        <v>170</v>
      </c>
      <c r="B574" s="182">
        <v>358</v>
      </c>
    </row>
    <row r="575" spans="1:2" x14ac:dyDescent="0.2">
      <c r="A575" s="181">
        <v>32</v>
      </c>
      <c r="B575" s="182">
        <v>8</v>
      </c>
    </row>
    <row r="576" spans="1:2" x14ac:dyDescent="0.2">
      <c r="A576" s="181">
        <v>173</v>
      </c>
      <c r="B576" s="182">
        <v>350</v>
      </c>
    </row>
    <row r="577" spans="1:2" x14ac:dyDescent="0.2">
      <c r="A577" s="180" t="s">
        <v>137</v>
      </c>
      <c r="B577" s="182">
        <v>200</v>
      </c>
    </row>
    <row r="578" spans="1:2" x14ac:dyDescent="0.2">
      <c r="A578" s="181">
        <v>174</v>
      </c>
      <c r="B578" s="182">
        <v>200</v>
      </c>
    </row>
    <row r="579" spans="1:2" x14ac:dyDescent="0.2">
      <c r="A579" s="180" t="s">
        <v>210</v>
      </c>
      <c r="B579" s="182">
        <v>230</v>
      </c>
    </row>
    <row r="580" spans="1:2" x14ac:dyDescent="0.2">
      <c r="A580" s="181">
        <v>175</v>
      </c>
      <c r="B580" s="182">
        <v>230</v>
      </c>
    </row>
    <row r="581" spans="1:2" x14ac:dyDescent="0.2">
      <c r="A581" s="180" t="s">
        <v>513</v>
      </c>
      <c r="B581" s="182">
        <v>200</v>
      </c>
    </row>
    <row r="582" spans="1:2" x14ac:dyDescent="0.2">
      <c r="A582" s="181">
        <v>58</v>
      </c>
      <c r="B582" s="182">
        <v>40</v>
      </c>
    </row>
    <row r="583" spans="1:2" x14ac:dyDescent="0.2">
      <c r="A583" s="181">
        <v>96</v>
      </c>
      <c r="B583" s="182">
        <v>80</v>
      </c>
    </row>
    <row r="584" spans="1:2" x14ac:dyDescent="0.2">
      <c r="A584" s="181">
        <v>106</v>
      </c>
      <c r="B584" s="182">
        <v>50</v>
      </c>
    </row>
    <row r="585" spans="1:2" x14ac:dyDescent="0.2">
      <c r="A585" s="181">
        <v>320</v>
      </c>
      <c r="B585" s="182">
        <v>30</v>
      </c>
    </row>
    <row r="586" spans="1:2" x14ac:dyDescent="0.2">
      <c r="A586" s="180" t="s">
        <v>522</v>
      </c>
      <c r="B586" s="182">
        <v>150</v>
      </c>
    </row>
    <row r="587" spans="1:2" x14ac:dyDescent="0.2">
      <c r="A587" s="181">
        <v>58</v>
      </c>
      <c r="B587" s="182">
        <v>60</v>
      </c>
    </row>
    <row r="588" spans="1:2" x14ac:dyDescent="0.2">
      <c r="A588" s="181">
        <v>96</v>
      </c>
      <c r="B588" s="182">
        <v>50</v>
      </c>
    </row>
    <row r="589" spans="1:2" x14ac:dyDescent="0.2">
      <c r="A589" s="181">
        <v>106</v>
      </c>
      <c r="B589" s="182">
        <v>40</v>
      </c>
    </row>
    <row r="590" spans="1:2" x14ac:dyDescent="0.2">
      <c r="A590" s="180" t="s">
        <v>511</v>
      </c>
      <c r="B590" s="182">
        <v>105</v>
      </c>
    </row>
    <row r="591" spans="1:2" x14ac:dyDescent="0.2">
      <c r="A591" s="181">
        <v>58</v>
      </c>
      <c r="B591" s="182">
        <v>40</v>
      </c>
    </row>
    <row r="592" spans="1:2" x14ac:dyDescent="0.2">
      <c r="A592" s="181">
        <v>94</v>
      </c>
      <c r="B592" s="182">
        <v>5</v>
      </c>
    </row>
    <row r="593" spans="1:2" x14ac:dyDescent="0.2">
      <c r="A593" s="181">
        <v>96</v>
      </c>
      <c r="B593" s="182">
        <v>30</v>
      </c>
    </row>
    <row r="594" spans="1:2" x14ac:dyDescent="0.2">
      <c r="A594" s="181">
        <v>320</v>
      </c>
      <c r="B594" s="182">
        <v>30</v>
      </c>
    </row>
    <row r="595" spans="1:2" x14ac:dyDescent="0.2">
      <c r="A595" s="180" t="s">
        <v>529</v>
      </c>
      <c r="B595" s="182">
        <v>50</v>
      </c>
    </row>
    <row r="596" spans="1:2" x14ac:dyDescent="0.2">
      <c r="A596" s="181">
        <v>96</v>
      </c>
      <c r="B596" s="182">
        <v>25</v>
      </c>
    </row>
    <row r="597" spans="1:2" x14ac:dyDescent="0.2">
      <c r="A597" s="181">
        <v>106</v>
      </c>
      <c r="B597" s="182">
        <v>25</v>
      </c>
    </row>
    <row r="598" spans="1:2" x14ac:dyDescent="0.2">
      <c r="A598" s="180" t="s">
        <v>362</v>
      </c>
      <c r="B598" s="182">
        <v>160</v>
      </c>
    </row>
    <row r="599" spans="1:2" x14ac:dyDescent="0.2">
      <c r="A599" s="181">
        <v>58</v>
      </c>
      <c r="B599" s="182">
        <v>40</v>
      </c>
    </row>
    <row r="600" spans="1:2" x14ac:dyDescent="0.2">
      <c r="A600" s="181">
        <v>96</v>
      </c>
      <c r="B600" s="182">
        <v>70</v>
      </c>
    </row>
    <row r="601" spans="1:2" x14ac:dyDescent="0.2">
      <c r="A601" s="181">
        <v>106</v>
      </c>
      <c r="B601" s="182">
        <v>50</v>
      </c>
    </row>
    <row r="602" spans="1:2" x14ac:dyDescent="0.2">
      <c r="A602" s="180" t="s">
        <v>212</v>
      </c>
      <c r="B602" s="182">
        <v>230</v>
      </c>
    </row>
    <row r="603" spans="1:2" x14ac:dyDescent="0.2">
      <c r="A603" s="181">
        <v>96</v>
      </c>
      <c r="B603" s="182">
        <v>85</v>
      </c>
    </row>
    <row r="604" spans="1:2" x14ac:dyDescent="0.2">
      <c r="A604" s="181">
        <v>106</v>
      </c>
      <c r="B604" s="182">
        <v>90</v>
      </c>
    </row>
    <row r="605" spans="1:2" x14ac:dyDescent="0.2">
      <c r="A605" s="181">
        <v>198</v>
      </c>
      <c r="B605" s="182">
        <v>5</v>
      </c>
    </row>
    <row r="606" spans="1:2" x14ac:dyDescent="0.2">
      <c r="A606" s="181">
        <v>199</v>
      </c>
      <c r="B606" s="182">
        <v>5</v>
      </c>
    </row>
    <row r="607" spans="1:2" x14ac:dyDescent="0.2">
      <c r="A607" s="181">
        <v>320</v>
      </c>
      <c r="B607" s="182">
        <v>45</v>
      </c>
    </row>
    <row r="608" spans="1:2" x14ac:dyDescent="0.2">
      <c r="A608" s="180" t="s">
        <v>234</v>
      </c>
      <c r="B608" s="182">
        <v>40</v>
      </c>
    </row>
    <row r="609" spans="1:2" x14ac:dyDescent="0.2">
      <c r="A609" s="181">
        <v>15</v>
      </c>
      <c r="B609" s="182">
        <v>20</v>
      </c>
    </row>
    <row r="610" spans="1:2" x14ac:dyDescent="0.2">
      <c r="A610" s="181">
        <v>179</v>
      </c>
      <c r="B610" s="182">
        <v>20</v>
      </c>
    </row>
    <row r="611" spans="1:2" x14ac:dyDescent="0.2">
      <c r="A611" s="180" t="s">
        <v>189</v>
      </c>
      <c r="B611" s="182">
        <v>120</v>
      </c>
    </row>
    <row r="612" spans="1:2" x14ac:dyDescent="0.2">
      <c r="A612" s="181">
        <v>185</v>
      </c>
      <c r="B612" s="182">
        <v>120</v>
      </c>
    </row>
    <row r="613" spans="1:2" x14ac:dyDescent="0.2">
      <c r="A613" s="180" t="s">
        <v>37</v>
      </c>
      <c r="B613" s="182">
        <v>510</v>
      </c>
    </row>
    <row r="614" spans="1:2" x14ac:dyDescent="0.2">
      <c r="A614" s="181">
        <v>183</v>
      </c>
      <c r="B614" s="182">
        <v>120</v>
      </c>
    </row>
    <row r="615" spans="1:2" x14ac:dyDescent="0.2">
      <c r="A615" s="181">
        <v>184</v>
      </c>
      <c r="B615" s="182">
        <v>120</v>
      </c>
    </row>
    <row r="616" spans="1:2" x14ac:dyDescent="0.2">
      <c r="A616" s="181">
        <v>185</v>
      </c>
      <c r="B616" s="182">
        <v>270</v>
      </c>
    </row>
    <row r="617" spans="1:2" x14ac:dyDescent="0.2">
      <c r="A617" s="180" t="s">
        <v>91</v>
      </c>
      <c r="B617" s="182">
        <v>121</v>
      </c>
    </row>
    <row r="618" spans="1:2" x14ac:dyDescent="0.2">
      <c r="A618" s="181">
        <v>189</v>
      </c>
      <c r="B618" s="182">
        <v>100</v>
      </c>
    </row>
    <row r="619" spans="1:2" x14ac:dyDescent="0.2">
      <c r="A619" s="181">
        <v>195</v>
      </c>
      <c r="B619" s="182">
        <v>1</v>
      </c>
    </row>
    <row r="620" spans="1:2" x14ac:dyDescent="0.2">
      <c r="A620" s="181">
        <v>204</v>
      </c>
      <c r="B620" s="182">
        <v>20</v>
      </c>
    </row>
    <row r="621" spans="1:2" x14ac:dyDescent="0.2">
      <c r="A621" s="180" t="s">
        <v>83</v>
      </c>
      <c r="B621" s="182">
        <v>120</v>
      </c>
    </row>
    <row r="622" spans="1:2" x14ac:dyDescent="0.2">
      <c r="A622" s="181">
        <v>189</v>
      </c>
      <c r="B622" s="182">
        <v>100</v>
      </c>
    </row>
    <row r="623" spans="1:2" x14ac:dyDescent="0.2">
      <c r="A623" s="181">
        <v>212</v>
      </c>
      <c r="B623" s="182">
        <v>20</v>
      </c>
    </row>
    <row r="624" spans="1:2" x14ac:dyDescent="0.2">
      <c r="A624" s="180" t="s">
        <v>342</v>
      </c>
      <c r="B624" s="182">
        <v>110</v>
      </c>
    </row>
    <row r="625" spans="1:2" x14ac:dyDescent="0.2">
      <c r="A625" s="181">
        <v>126</v>
      </c>
      <c r="B625" s="182">
        <v>5</v>
      </c>
    </row>
    <row r="626" spans="1:2" x14ac:dyDescent="0.2">
      <c r="A626" s="181">
        <v>190</v>
      </c>
      <c r="B626" s="182">
        <v>100</v>
      </c>
    </row>
    <row r="627" spans="1:2" x14ac:dyDescent="0.2">
      <c r="A627" s="181">
        <v>203</v>
      </c>
      <c r="B627" s="182">
        <v>5</v>
      </c>
    </row>
    <row r="628" spans="1:2" x14ac:dyDescent="0.2">
      <c r="A628" s="180" t="s">
        <v>205</v>
      </c>
      <c r="B628" s="182">
        <v>150</v>
      </c>
    </row>
    <row r="629" spans="1:2" x14ac:dyDescent="0.2">
      <c r="A629" s="181">
        <v>192</v>
      </c>
      <c r="B629" s="182">
        <v>150</v>
      </c>
    </row>
    <row r="630" spans="1:2" x14ac:dyDescent="0.2">
      <c r="A630" s="180" t="s">
        <v>443</v>
      </c>
      <c r="B630" s="182">
        <v>150</v>
      </c>
    </row>
    <row r="631" spans="1:2" x14ac:dyDescent="0.2">
      <c r="A631" s="181">
        <v>192</v>
      </c>
      <c r="B631" s="182">
        <v>150</v>
      </c>
    </row>
    <row r="632" spans="1:2" x14ac:dyDescent="0.2">
      <c r="A632" s="180" t="s">
        <v>354</v>
      </c>
      <c r="B632" s="182">
        <v>70</v>
      </c>
    </row>
    <row r="633" spans="1:2" x14ac:dyDescent="0.2">
      <c r="A633" s="181">
        <v>193</v>
      </c>
      <c r="B633" s="182">
        <v>70</v>
      </c>
    </row>
    <row r="634" spans="1:2" x14ac:dyDescent="0.2">
      <c r="A634" s="180" t="s">
        <v>426</v>
      </c>
      <c r="B634" s="182">
        <v>70</v>
      </c>
    </row>
    <row r="635" spans="1:2" x14ac:dyDescent="0.2">
      <c r="A635" s="181">
        <v>193</v>
      </c>
      <c r="B635" s="182">
        <v>70</v>
      </c>
    </row>
    <row r="636" spans="1:2" x14ac:dyDescent="0.2">
      <c r="A636" s="180" t="s">
        <v>574</v>
      </c>
      <c r="B636" s="182">
        <v>70</v>
      </c>
    </row>
    <row r="637" spans="1:2" x14ac:dyDescent="0.2">
      <c r="A637" s="181">
        <v>193</v>
      </c>
      <c r="B637" s="182">
        <v>70</v>
      </c>
    </row>
    <row r="638" spans="1:2" x14ac:dyDescent="0.2">
      <c r="A638" s="180" t="s">
        <v>547</v>
      </c>
      <c r="B638" s="182">
        <v>80</v>
      </c>
    </row>
    <row r="639" spans="1:2" x14ac:dyDescent="0.2">
      <c r="A639" s="181">
        <v>30</v>
      </c>
      <c r="B639" s="182">
        <v>10</v>
      </c>
    </row>
    <row r="640" spans="1:2" x14ac:dyDescent="0.2">
      <c r="A640" s="181">
        <v>270</v>
      </c>
      <c r="B640" s="182">
        <v>70</v>
      </c>
    </row>
    <row r="641" spans="1:2" x14ac:dyDescent="0.2">
      <c r="A641" s="180" t="s">
        <v>578</v>
      </c>
      <c r="B641" s="182">
        <v>80</v>
      </c>
    </row>
    <row r="642" spans="1:2" x14ac:dyDescent="0.2">
      <c r="A642" s="181">
        <v>270</v>
      </c>
      <c r="B642" s="182">
        <v>80</v>
      </c>
    </row>
    <row r="643" spans="1:2" x14ac:dyDescent="0.2">
      <c r="A643" s="180" t="s">
        <v>32</v>
      </c>
      <c r="B643" s="182">
        <v>120</v>
      </c>
    </row>
    <row r="644" spans="1:2" x14ac:dyDescent="0.2">
      <c r="A644" s="181">
        <v>200</v>
      </c>
      <c r="B644" s="182">
        <v>120</v>
      </c>
    </row>
    <row r="645" spans="1:2" x14ac:dyDescent="0.2">
      <c r="A645" s="180" t="s">
        <v>135</v>
      </c>
      <c r="B645" s="182">
        <v>120</v>
      </c>
    </row>
    <row r="646" spans="1:2" x14ac:dyDescent="0.2">
      <c r="A646" s="181">
        <v>201</v>
      </c>
      <c r="B646" s="182">
        <v>120</v>
      </c>
    </row>
    <row r="647" spans="1:2" x14ac:dyDescent="0.2">
      <c r="A647" s="180" t="s">
        <v>157</v>
      </c>
      <c r="B647" s="182">
        <v>120</v>
      </c>
    </row>
    <row r="648" spans="1:2" x14ac:dyDescent="0.2">
      <c r="A648" s="181">
        <v>201</v>
      </c>
      <c r="B648" s="182">
        <v>120</v>
      </c>
    </row>
    <row r="649" spans="1:2" x14ac:dyDescent="0.2">
      <c r="A649" s="180" t="s">
        <v>224</v>
      </c>
      <c r="B649" s="182">
        <v>100</v>
      </c>
    </row>
    <row r="650" spans="1:2" x14ac:dyDescent="0.2">
      <c r="A650" s="181">
        <v>64</v>
      </c>
      <c r="B650" s="182">
        <v>50</v>
      </c>
    </row>
    <row r="651" spans="1:2" x14ac:dyDescent="0.2">
      <c r="A651" s="181">
        <v>202</v>
      </c>
      <c r="B651" s="182">
        <v>50</v>
      </c>
    </row>
    <row r="652" spans="1:2" x14ac:dyDescent="0.2">
      <c r="A652" s="180" t="s">
        <v>214</v>
      </c>
      <c r="B652" s="182">
        <v>100</v>
      </c>
    </row>
    <row r="653" spans="1:2" x14ac:dyDescent="0.2">
      <c r="A653" s="181">
        <v>64</v>
      </c>
      <c r="B653" s="182">
        <v>50</v>
      </c>
    </row>
    <row r="654" spans="1:2" x14ac:dyDescent="0.2">
      <c r="A654" s="181">
        <v>202</v>
      </c>
      <c r="B654" s="182">
        <v>50</v>
      </c>
    </row>
    <row r="655" spans="1:2" x14ac:dyDescent="0.2">
      <c r="A655" s="180" t="s">
        <v>51</v>
      </c>
      <c r="B655" s="182">
        <v>211</v>
      </c>
    </row>
    <row r="656" spans="1:2" x14ac:dyDescent="0.2">
      <c r="A656" s="181">
        <v>17</v>
      </c>
      <c r="B656" s="182">
        <v>15</v>
      </c>
    </row>
    <row r="657" spans="1:2" x14ac:dyDescent="0.2">
      <c r="A657" s="181">
        <v>31</v>
      </c>
      <c r="B657" s="182">
        <v>8</v>
      </c>
    </row>
    <row r="658" spans="1:2" x14ac:dyDescent="0.2">
      <c r="A658" s="181">
        <v>32</v>
      </c>
      <c r="B658" s="182">
        <v>8</v>
      </c>
    </row>
    <row r="659" spans="1:2" x14ac:dyDescent="0.2">
      <c r="A659" s="181">
        <v>177</v>
      </c>
      <c r="B659" s="182">
        <v>160</v>
      </c>
    </row>
    <row r="660" spans="1:2" x14ac:dyDescent="0.2">
      <c r="A660" s="181">
        <v>179</v>
      </c>
      <c r="B660" s="182">
        <v>20</v>
      </c>
    </row>
    <row r="661" spans="1:2" x14ac:dyDescent="0.2">
      <c r="A661" s="180" t="s">
        <v>297</v>
      </c>
      <c r="B661" s="182">
        <v>174</v>
      </c>
    </row>
    <row r="662" spans="1:2" x14ac:dyDescent="0.2">
      <c r="A662" s="181">
        <v>177</v>
      </c>
      <c r="B662" s="182">
        <v>160</v>
      </c>
    </row>
    <row r="663" spans="1:2" x14ac:dyDescent="0.2">
      <c r="A663" s="181">
        <v>214</v>
      </c>
      <c r="B663" s="182">
        <v>14</v>
      </c>
    </row>
    <row r="664" spans="1:2" x14ac:dyDescent="0.2">
      <c r="A664" s="180" t="s">
        <v>167</v>
      </c>
      <c r="B664" s="182">
        <v>191</v>
      </c>
    </row>
    <row r="665" spans="1:2" x14ac:dyDescent="0.2">
      <c r="A665" s="181">
        <v>17</v>
      </c>
      <c r="B665" s="182">
        <v>15</v>
      </c>
    </row>
    <row r="666" spans="1:2" x14ac:dyDescent="0.2">
      <c r="A666" s="181">
        <v>39</v>
      </c>
      <c r="B666" s="182">
        <v>8</v>
      </c>
    </row>
    <row r="667" spans="1:2" x14ac:dyDescent="0.2">
      <c r="A667" s="181">
        <v>40</v>
      </c>
      <c r="B667" s="182">
        <v>8</v>
      </c>
    </row>
    <row r="668" spans="1:2" x14ac:dyDescent="0.2">
      <c r="A668" s="181">
        <v>177</v>
      </c>
      <c r="B668" s="182">
        <v>160</v>
      </c>
    </row>
    <row r="669" spans="1:2" x14ac:dyDescent="0.2">
      <c r="A669" s="180" t="s">
        <v>290</v>
      </c>
      <c r="B669" s="182">
        <v>181</v>
      </c>
    </row>
    <row r="670" spans="1:2" x14ac:dyDescent="0.2">
      <c r="A670" s="181">
        <v>177</v>
      </c>
      <c r="B670" s="182">
        <v>160</v>
      </c>
    </row>
    <row r="671" spans="1:2" x14ac:dyDescent="0.2">
      <c r="A671" s="181">
        <v>216</v>
      </c>
      <c r="B671" s="182">
        <v>21</v>
      </c>
    </row>
    <row r="672" spans="1:2" x14ac:dyDescent="0.2">
      <c r="A672" s="180" t="s">
        <v>154</v>
      </c>
      <c r="B672" s="182">
        <v>203</v>
      </c>
    </row>
    <row r="673" spans="1:2" x14ac:dyDescent="0.2">
      <c r="A673" s="181">
        <v>17</v>
      </c>
      <c r="B673" s="182">
        <v>15</v>
      </c>
    </row>
    <row r="674" spans="1:2" x14ac:dyDescent="0.2">
      <c r="A674" s="181">
        <v>120</v>
      </c>
      <c r="B674" s="182">
        <v>8</v>
      </c>
    </row>
    <row r="675" spans="1:2" x14ac:dyDescent="0.2">
      <c r="A675" s="181">
        <v>177</v>
      </c>
      <c r="B675" s="182">
        <v>160</v>
      </c>
    </row>
    <row r="676" spans="1:2" x14ac:dyDescent="0.2">
      <c r="A676" s="181">
        <v>179</v>
      </c>
      <c r="B676" s="182">
        <v>20</v>
      </c>
    </row>
    <row r="677" spans="1:2" x14ac:dyDescent="0.2">
      <c r="A677" s="180" t="s">
        <v>538</v>
      </c>
      <c r="B677" s="182">
        <v>182</v>
      </c>
    </row>
    <row r="678" spans="1:2" x14ac:dyDescent="0.2">
      <c r="A678" s="181">
        <v>17</v>
      </c>
      <c r="B678" s="182">
        <v>14</v>
      </c>
    </row>
    <row r="679" spans="1:2" x14ac:dyDescent="0.2">
      <c r="A679" s="181">
        <v>121</v>
      </c>
      <c r="B679" s="182">
        <v>8</v>
      </c>
    </row>
    <row r="680" spans="1:2" x14ac:dyDescent="0.2">
      <c r="A680" s="181">
        <v>177</v>
      </c>
      <c r="B680" s="182">
        <v>160</v>
      </c>
    </row>
    <row r="681" spans="1:2" x14ac:dyDescent="0.2">
      <c r="A681" s="180" t="s">
        <v>333</v>
      </c>
      <c r="B681" s="182">
        <v>173</v>
      </c>
    </row>
    <row r="682" spans="1:2" x14ac:dyDescent="0.2">
      <c r="A682" s="181">
        <v>16</v>
      </c>
      <c r="B682" s="182">
        <v>5</v>
      </c>
    </row>
    <row r="683" spans="1:2" x14ac:dyDescent="0.2">
      <c r="A683" s="181">
        <v>121</v>
      </c>
      <c r="B683" s="182">
        <v>8</v>
      </c>
    </row>
    <row r="684" spans="1:2" x14ac:dyDescent="0.2">
      <c r="A684" s="181">
        <v>177</v>
      </c>
      <c r="B684" s="182">
        <v>160</v>
      </c>
    </row>
    <row r="685" spans="1:2" x14ac:dyDescent="0.2">
      <c r="A685" s="180" t="s">
        <v>431</v>
      </c>
      <c r="B685" s="182">
        <v>183</v>
      </c>
    </row>
    <row r="686" spans="1:2" x14ac:dyDescent="0.2">
      <c r="A686" s="181">
        <v>17</v>
      </c>
      <c r="B686" s="182">
        <v>15</v>
      </c>
    </row>
    <row r="687" spans="1:2" x14ac:dyDescent="0.2">
      <c r="A687" s="181">
        <v>121</v>
      </c>
      <c r="B687" s="182">
        <v>8</v>
      </c>
    </row>
    <row r="688" spans="1:2" x14ac:dyDescent="0.2">
      <c r="A688" s="181">
        <v>177</v>
      </c>
      <c r="B688" s="182">
        <v>160</v>
      </c>
    </row>
    <row r="689" spans="1:2" x14ac:dyDescent="0.2">
      <c r="A689" s="180" t="s">
        <v>127</v>
      </c>
      <c r="B689" s="182">
        <v>184</v>
      </c>
    </row>
    <row r="690" spans="1:2" x14ac:dyDescent="0.2">
      <c r="A690" s="181">
        <v>17</v>
      </c>
      <c r="B690" s="182">
        <v>10</v>
      </c>
    </row>
    <row r="691" spans="1:2" x14ac:dyDescent="0.2">
      <c r="A691" s="181">
        <v>138</v>
      </c>
      <c r="B691" s="182">
        <v>14</v>
      </c>
    </row>
    <row r="692" spans="1:2" x14ac:dyDescent="0.2">
      <c r="A692" s="181">
        <v>177</v>
      </c>
      <c r="B692" s="182">
        <v>160</v>
      </c>
    </row>
    <row r="693" spans="1:2" x14ac:dyDescent="0.2">
      <c r="A693" s="180" t="s">
        <v>221</v>
      </c>
      <c r="B693" s="182">
        <v>218</v>
      </c>
    </row>
    <row r="694" spans="1:2" x14ac:dyDescent="0.2">
      <c r="A694" s="181">
        <v>17</v>
      </c>
      <c r="B694" s="182">
        <v>10</v>
      </c>
    </row>
    <row r="695" spans="1:2" x14ac:dyDescent="0.2">
      <c r="A695" s="181">
        <v>153</v>
      </c>
      <c r="B695" s="182">
        <v>28</v>
      </c>
    </row>
    <row r="696" spans="1:2" x14ac:dyDescent="0.2">
      <c r="A696" s="181">
        <v>177</v>
      </c>
      <c r="B696" s="182">
        <v>160</v>
      </c>
    </row>
    <row r="697" spans="1:2" x14ac:dyDescent="0.2">
      <c r="A697" s="181">
        <v>179</v>
      </c>
      <c r="B697" s="182">
        <v>20</v>
      </c>
    </row>
    <row r="698" spans="1:2" x14ac:dyDescent="0.2">
      <c r="A698" s="180" t="s">
        <v>293</v>
      </c>
      <c r="B698" s="182">
        <v>174</v>
      </c>
    </row>
    <row r="699" spans="1:2" x14ac:dyDescent="0.2">
      <c r="A699" s="181">
        <v>177</v>
      </c>
      <c r="B699" s="182">
        <v>160</v>
      </c>
    </row>
    <row r="700" spans="1:2" x14ac:dyDescent="0.2">
      <c r="A700" s="181">
        <v>214</v>
      </c>
      <c r="B700" s="182">
        <v>14</v>
      </c>
    </row>
    <row r="701" spans="1:2" x14ac:dyDescent="0.2">
      <c r="A701" s="180" t="s">
        <v>123</v>
      </c>
      <c r="B701" s="182">
        <v>184</v>
      </c>
    </row>
    <row r="702" spans="1:2" x14ac:dyDescent="0.2">
      <c r="A702" s="181">
        <v>17</v>
      </c>
      <c r="B702" s="182">
        <v>10</v>
      </c>
    </row>
    <row r="703" spans="1:2" x14ac:dyDescent="0.2">
      <c r="A703" s="181">
        <v>177</v>
      </c>
      <c r="B703" s="182">
        <v>160</v>
      </c>
    </row>
    <row r="704" spans="1:2" x14ac:dyDescent="0.2">
      <c r="A704" s="181">
        <v>215</v>
      </c>
      <c r="B704" s="182">
        <v>14</v>
      </c>
    </row>
    <row r="705" spans="1:2" x14ac:dyDescent="0.2">
      <c r="A705" s="180" t="s">
        <v>296</v>
      </c>
      <c r="B705" s="182">
        <v>181</v>
      </c>
    </row>
    <row r="706" spans="1:2" x14ac:dyDescent="0.2">
      <c r="A706" s="181">
        <v>177</v>
      </c>
      <c r="B706" s="182">
        <v>160</v>
      </c>
    </row>
    <row r="707" spans="1:2" x14ac:dyDescent="0.2">
      <c r="A707" s="181">
        <v>216</v>
      </c>
      <c r="B707" s="182">
        <v>21</v>
      </c>
    </row>
    <row r="708" spans="1:2" x14ac:dyDescent="0.2">
      <c r="A708" s="180" t="s">
        <v>33</v>
      </c>
      <c r="B708" s="182">
        <v>184</v>
      </c>
    </row>
    <row r="709" spans="1:2" x14ac:dyDescent="0.2">
      <c r="A709" s="181">
        <v>17</v>
      </c>
      <c r="B709" s="182">
        <v>10</v>
      </c>
    </row>
    <row r="710" spans="1:2" x14ac:dyDescent="0.2">
      <c r="A710" s="181">
        <v>177</v>
      </c>
      <c r="B710" s="182">
        <v>160</v>
      </c>
    </row>
    <row r="711" spans="1:2" x14ac:dyDescent="0.2">
      <c r="A711" s="181">
        <v>218</v>
      </c>
      <c r="B711" s="182">
        <v>14</v>
      </c>
    </row>
    <row r="712" spans="1:2" x14ac:dyDescent="0.2">
      <c r="A712" s="180" t="s">
        <v>410</v>
      </c>
      <c r="B712" s="182">
        <v>255</v>
      </c>
    </row>
    <row r="713" spans="1:2" x14ac:dyDescent="0.2">
      <c r="A713" s="181">
        <v>32</v>
      </c>
      <c r="B713" s="182">
        <v>15</v>
      </c>
    </row>
    <row r="714" spans="1:2" x14ac:dyDescent="0.2">
      <c r="A714" s="181">
        <v>177</v>
      </c>
      <c r="B714" s="182">
        <v>160</v>
      </c>
    </row>
    <row r="715" spans="1:2" x14ac:dyDescent="0.2">
      <c r="A715" s="181">
        <v>219</v>
      </c>
      <c r="B715" s="182">
        <v>20</v>
      </c>
    </row>
    <row r="716" spans="1:2" x14ac:dyDescent="0.2">
      <c r="A716" s="181">
        <v>242</v>
      </c>
      <c r="B716" s="182">
        <v>60</v>
      </c>
    </row>
    <row r="717" spans="1:2" x14ac:dyDescent="0.2">
      <c r="A717" s="180" t="s">
        <v>295</v>
      </c>
      <c r="B717" s="182">
        <v>202</v>
      </c>
    </row>
    <row r="718" spans="1:2" x14ac:dyDescent="0.2">
      <c r="A718" s="181">
        <v>17</v>
      </c>
      <c r="B718" s="182">
        <v>14</v>
      </c>
    </row>
    <row r="719" spans="1:2" x14ac:dyDescent="0.2">
      <c r="A719" s="181">
        <v>177</v>
      </c>
      <c r="B719" s="182">
        <v>160</v>
      </c>
    </row>
    <row r="720" spans="1:2" x14ac:dyDescent="0.2">
      <c r="A720" s="181">
        <v>179</v>
      </c>
      <c r="B720" s="182">
        <v>20</v>
      </c>
    </row>
    <row r="721" spans="1:2" x14ac:dyDescent="0.2">
      <c r="A721" s="181">
        <v>308</v>
      </c>
      <c r="B721" s="182">
        <v>8</v>
      </c>
    </row>
    <row r="722" spans="1:2" x14ac:dyDescent="0.2">
      <c r="A722" s="180" t="s">
        <v>199</v>
      </c>
      <c r="B722" s="182">
        <v>203</v>
      </c>
    </row>
    <row r="723" spans="1:2" x14ac:dyDescent="0.2">
      <c r="A723" s="181">
        <v>17</v>
      </c>
      <c r="B723" s="182">
        <v>15</v>
      </c>
    </row>
    <row r="724" spans="1:2" x14ac:dyDescent="0.2">
      <c r="A724" s="181">
        <v>177</v>
      </c>
      <c r="B724" s="182">
        <v>160</v>
      </c>
    </row>
    <row r="725" spans="1:2" x14ac:dyDescent="0.2">
      <c r="A725" s="181">
        <v>179</v>
      </c>
      <c r="B725" s="182">
        <v>20</v>
      </c>
    </row>
    <row r="726" spans="1:2" x14ac:dyDescent="0.2">
      <c r="A726" s="181">
        <v>308</v>
      </c>
      <c r="B726" s="182">
        <v>8</v>
      </c>
    </row>
    <row r="727" spans="1:2" x14ac:dyDescent="0.2">
      <c r="A727" s="180" t="s">
        <v>10</v>
      </c>
      <c r="B727" s="182">
        <v>40</v>
      </c>
    </row>
    <row r="728" spans="1:2" x14ac:dyDescent="0.2">
      <c r="A728" s="181">
        <v>14</v>
      </c>
      <c r="B728" s="182">
        <v>10</v>
      </c>
    </row>
    <row r="729" spans="1:2" x14ac:dyDescent="0.2">
      <c r="A729" s="181">
        <v>25</v>
      </c>
      <c r="B729" s="182">
        <v>10</v>
      </c>
    </row>
    <row r="730" spans="1:2" x14ac:dyDescent="0.2">
      <c r="A730" s="181">
        <v>114</v>
      </c>
      <c r="B730" s="182">
        <v>10</v>
      </c>
    </row>
    <row r="731" spans="1:2" x14ac:dyDescent="0.2">
      <c r="A731" s="181">
        <v>116</v>
      </c>
      <c r="B731" s="182">
        <v>10</v>
      </c>
    </row>
    <row r="732" spans="1:2" x14ac:dyDescent="0.2">
      <c r="A732" s="180" t="s">
        <v>47</v>
      </c>
      <c r="B732" s="182">
        <v>300</v>
      </c>
    </row>
    <row r="733" spans="1:2" x14ac:dyDescent="0.2">
      <c r="A733" s="181">
        <v>75</v>
      </c>
      <c r="B733" s="182">
        <v>300</v>
      </c>
    </row>
    <row r="734" spans="1:2" x14ac:dyDescent="0.2">
      <c r="A734" s="180" t="s">
        <v>438</v>
      </c>
      <c r="B734" s="182">
        <v>160</v>
      </c>
    </row>
    <row r="735" spans="1:2" x14ac:dyDescent="0.2">
      <c r="A735" s="181">
        <v>213</v>
      </c>
      <c r="B735" s="182">
        <v>80</v>
      </c>
    </row>
    <row r="736" spans="1:2" x14ac:dyDescent="0.2">
      <c r="A736" s="181">
        <v>217</v>
      </c>
      <c r="B736" s="182">
        <v>80</v>
      </c>
    </row>
    <row r="737" spans="1:2" x14ac:dyDescent="0.2">
      <c r="A737" s="180" t="s">
        <v>105</v>
      </c>
      <c r="B737" s="182">
        <v>200</v>
      </c>
    </row>
    <row r="738" spans="1:2" x14ac:dyDescent="0.2">
      <c r="A738" s="181">
        <v>220</v>
      </c>
      <c r="B738" s="182">
        <v>200</v>
      </c>
    </row>
    <row r="739" spans="1:2" x14ac:dyDescent="0.2">
      <c r="A739" s="180" t="s">
        <v>523</v>
      </c>
      <c r="B739" s="182">
        <v>330</v>
      </c>
    </row>
    <row r="740" spans="1:2" x14ac:dyDescent="0.2">
      <c r="A740" s="181">
        <v>112</v>
      </c>
      <c r="B740" s="182">
        <v>190</v>
      </c>
    </row>
    <row r="741" spans="1:2" x14ac:dyDescent="0.2">
      <c r="A741" s="181">
        <v>291</v>
      </c>
      <c r="B741" s="182">
        <v>140</v>
      </c>
    </row>
    <row r="742" spans="1:2" x14ac:dyDescent="0.2">
      <c r="A742" s="180" t="s">
        <v>507</v>
      </c>
      <c r="B742" s="182">
        <v>150</v>
      </c>
    </row>
    <row r="743" spans="1:2" x14ac:dyDescent="0.2">
      <c r="A743" s="181">
        <v>33</v>
      </c>
      <c r="B743" s="182">
        <v>15</v>
      </c>
    </row>
    <row r="744" spans="1:2" x14ac:dyDescent="0.2">
      <c r="A744" s="181">
        <v>100</v>
      </c>
      <c r="B744" s="182">
        <v>25</v>
      </c>
    </row>
    <row r="745" spans="1:2" x14ac:dyDescent="0.2">
      <c r="A745" s="181">
        <v>223</v>
      </c>
      <c r="B745" s="182">
        <v>90</v>
      </c>
    </row>
    <row r="746" spans="1:2" x14ac:dyDescent="0.2">
      <c r="A746" s="181">
        <v>278</v>
      </c>
      <c r="B746" s="182">
        <v>20</v>
      </c>
    </row>
    <row r="747" spans="1:2" x14ac:dyDescent="0.2">
      <c r="A747" s="180" t="s">
        <v>514</v>
      </c>
      <c r="B747" s="182">
        <v>285</v>
      </c>
    </row>
    <row r="748" spans="1:2" x14ac:dyDescent="0.2">
      <c r="A748" s="181">
        <v>223</v>
      </c>
      <c r="B748" s="182">
        <v>150</v>
      </c>
    </row>
    <row r="749" spans="1:2" x14ac:dyDescent="0.2">
      <c r="A749" s="181">
        <v>291</v>
      </c>
      <c r="B749" s="182">
        <v>135</v>
      </c>
    </row>
    <row r="750" spans="1:2" x14ac:dyDescent="0.2">
      <c r="A750" s="180" t="s">
        <v>341</v>
      </c>
      <c r="B750" s="182">
        <v>18</v>
      </c>
    </row>
    <row r="751" spans="1:2" x14ac:dyDescent="0.2">
      <c r="A751" s="181">
        <v>226</v>
      </c>
      <c r="B751" s="182">
        <v>18</v>
      </c>
    </row>
    <row r="752" spans="1:2" x14ac:dyDescent="0.2">
      <c r="A752" s="180" t="s">
        <v>441</v>
      </c>
      <c r="B752" s="182">
        <v>261</v>
      </c>
    </row>
    <row r="753" spans="1:2" x14ac:dyDescent="0.2">
      <c r="A753" s="181">
        <v>137</v>
      </c>
      <c r="B753" s="182">
        <v>45</v>
      </c>
    </row>
    <row r="754" spans="1:2" x14ac:dyDescent="0.2">
      <c r="A754" s="181">
        <v>177</v>
      </c>
      <c r="B754" s="182">
        <v>90</v>
      </c>
    </row>
    <row r="755" spans="1:2" x14ac:dyDescent="0.2">
      <c r="A755" s="181">
        <v>221</v>
      </c>
      <c r="B755" s="182">
        <v>9</v>
      </c>
    </row>
    <row r="756" spans="1:2" x14ac:dyDescent="0.2">
      <c r="A756" s="181">
        <v>223</v>
      </c>
      <c r="B756" s="182">
        <v>27</v>
      </c>
    </row>
    <row r="757" spans="1:2" x14ac:dyDescent="0.2">
      <c r="A757" s="181">
        <v>242</v>
      </c>
      <c r="B757" s="182">
        <v>90</v>
      </c>
    </row>
    <row r="758" spans="1:2" x14ac:dyDescent="0.2">
      <c r="A758" s="180" t="s">
        <v>158</v>
      </c>
      <c r="B758" s="182">
        <v>50</v>
      </c>
    </row>
    <row r="759" spans="1:2" x14ac:dyDescent="0.2">
      <c r="A759" s="181">
        <v>227</v>
      </c>
      <c r="B759" s="182">
        <v>50</v>
      </c>
    </row>
    <row r="760" spans="1:2" x14ac:dyDescent="0.2">
      <c r="A760" s="180" t="s">
        <v>39</v>
      </c>
      <c r="B760" s="182">
        <v>55</v>
      </c>
    </row>
    <row r="761" spans="1:2" x14ac:dyDescent="0.2">
      <c r="A761" s="181">
        <v>198</v>
      </c>
      <c r="B761" s="182">
        <v>5</v>
      </c>
    </row>
    <row r="762" spans="1:2" x14ac:dyDescent="0.2">
      <c r="A762" s="181">
        <v>227</v>
      </c>
      <c r="B762" s="182">
        <v>50</v>
      </c>
    </row>
    <row r="763" spans="1:2" x14ac:dyDescent="0.2">
      <c r="A763" s="180" t="s">
        <v>53</v>
      </c>
      <c r="B763" s="182">
        <v>55</v>
      </c>
    </row>
    <row r="764" spans="1:2" x14ac:dyDescent="0.2">
      <c r="A764" s="181">
        <v>198</v>
      </c>
      <c r="B764" s="182">
        <v>5</v>
      </c>
    </row>
    <row r="765" spans="1:2" x14ac:dyDescent="0.2">
      <c r="A765" s="181">
        <v>228</v>
      </c>
      <c r="B765" s="182">
        <v>50</v>
      </c>
    </row>
    <row r="766" spans="1:2" x14ac:dyDescent="0.2">
      <c r="A766" s="180" t="s">
        <v>88</v>
      </c>
      <c r="B766" s="182">
        <v>50</v>
      </c>
    </row>
    <row r="767" spans="1:2" x14ac:dyDescent="0.2">
      <c r="A767" s="181">
        <v>227</v>
      </c>
      <c r="B767" s="182">
        <v>50</v>
      </c>
    </row>
    <row r="768" spans="1:2" x14ac:dyDescent="0.2">
      <c r="A768" s="180" t="s">
        <v>3</v>
      </c>
      <c r="B768" s="182">
        <v>105</v>
      </c>
    </row>
    <row r="769" spans="1:2" x14ac:dyDescent="0.2">
      <c r="A769" s="181">
        <v>198</v>
      </c>
      <c r="B769" s="182">
        <v>5</v>
      </c>
    </row>
    <row r="770" spans="1:2" x14ac:dyDescent="0.2">
      <c r="A770" s="181">
        <v>229</v>
      </c>
      <c r="B770" s="182">
        <v>100</v>
      </c>
    </row>
    <row r="771" spans="1:2" x14ac:dyDescent="0.2">
      <c r="A771" s="180" t="s">
        <v>44</v>
      </c>
      <c r="B771" s="182">
        <v>55</v>
      </c>
    </row>
    <row r="772" spans="1:2" x14ac:dyDescent="0.2">
      <c r="A772" s="181">
        <v>198</v>
      </c>
      <c r="B772" s="182">
        <v>5</v>
      </c>
    </row>
    <row r="773" spans="1:2" x14ac:dyDescent="0.2">
      <c r="A773" s="181">
        <v>230</v>
      </c>
      <c r="B773" s="182">
        <v>50</v>
      </c>
    </row>
    <row r="774" spans="1:2" x14ac:dyDescent="0.2">
      <c r="A774" s="180" t="s">
        <v>99</v>
      </c>
      <c r="B774" s="182">
        <v>55</v>
      </c>
    </row>
    <row r="775" spans="1:2" x14ac:dyDescent="0.2">
      <c r="A775" s="181">
        <v>199</v>
      </c>
      <c r="B775" s="182">
        <v>5</v>
      </c>
    </row>
    <row r="776" spans="1:2" x14ac:dyDescent="0.2">
      <c r="A776" s="181">
        <v>231</v>
      </c>
      <c r="B776" s="182">
        <v>50</v>
      </c>
    </row>
    <row r="777" spans="1:2" x14ac:dyDescent="0.2">
      <c r="A777" s="180" t="s">
        <v>93</v>
      </c>
      <c r="B777" s="182">
        <v>55</v>
      </c>
    </row>
    <row r="778" spans="1:2" x14ac:dyDescent="0.2">
      <c r="A778" s="181">
        <v>199</v>
      </c>
      <c r="B778" s="182">
        <v>5</v>
      </c>
    </row>
    <row r="779" spans="1:2" x14ac:dyDescent="0.2">
      <c r="A779" s="181">
        <v>231</v>
      </c>
      <c r="B779" s="182">
        <v>50</v>
      </c>
    </row>
    <row r="780" spans="1:2" x14ac:dyDescent="0.2">
      <c r="A780" s="180" t="s">
        <v>28</v>
      </c>
      <c r="B780" s="182">
        <v>111</v>
      </c>
    </row>
    <row r="781" spans="1:2" x14ac:dyDescent="0.2">
      <c r="A781" s="181">
        <v>188</v>
      </c>
      <c r="B781" s="182">
        <v>100</v>
      </c>
    </row>
    <row r="782" spans="1:2" x14ac:dyDescent="0.2">
      <c r="A782" s="181">
        <v>195</v>
      </c>
      <c r="B782" s="182">
        <v>1</v>
      </c>
    </row>
    <row r="783" spans="1:2" x14ac:dyDescent="0.2">
      <c r="A783" s="181">
        <v>277</v>
      </c>
      <c r="B783" s="182">
        <v>10</v>
      </c>
    </row>
    <row r="784" spans="1:2" x14ac:dyDescent="0.2">
      <c r="A784" s="180" t="s">
        <v>524</v>
      </c>
      <c r="B784" s="182">
        <v>100</v>
      </c>
    </row>
    <row r="785" spans="1:2" x14ac:dyDescent="0.2">
      <c r="A785" s="181">
        <v>189</v>
      </c>
      <c r="B785" s="182">
        <v>100</v>
      </c>
    </row>
    <row r="786" spans="1:2" x14ac:dyDescent="0.2">
      <c r="A786" s="180" t="s">
        <v>58</v>
      </c>
      <c r="B786" s="182">
        <v>221</v>
      </c>
    </row>
    <row r="787" spans="1:2" x14ac:dyDescent="0.2">
      <c r="A787" s="181">
        <v>188</v>
      </c>
      <c r="B787" s="182">
        <v>100</v>
      </c>
    </row>
    <row r="788" spans="1:2" x14ac:dyDescent="0.2">
      <c r="A788" s="181">
        <v>189</v>
      </c>
      <c r="B788" s="182">
        <v>100</v>
      </c>
    </row>
    <row r="789" spans="1:2" x14ac:dyDescent="0.2">
      <c r="A789" s="181">
        <v>195</v>
      </c>
      <c r="B789" s="182">
        <v>1</v>
      </c>
    </row>
    <row r="790" spans="1:2" x14ac:dyDescent="0.2">
      <c r="A790" s="181">
        <v>211</v>
      </c>
      <c r="B790" s="182">
        <v>20</v>
      </c>
    </row>
    <row r="791" spans="1:2" x14ac:dyDescent="0.2">
      <c r="A791" s="180" t="s">
        <v>518</v>
      </c>
      <c r="B791" s="182">
        <v>120</v>
      </c>
    </row>
    <row r="792" spans="1:2" x14ac:dyDescent="0.2">
      <c r="A792" s="181">
        <v>235</v>
      </c>
      <c r="B792" s="182">
        <v>120</v>
      </c>
    </row>
    <row r="793" spans="1:2" x14ac:dyDescent="0.2">
      <c r="A793" s="180" t="s">
        <v>409</v>
      </c>
      <c r="B793" s="182">
        <v>80</v>
      </c>
    </row>
    <row r="794" spans="1:2" x14ac:dyDescent="0.2">
      <c r="A794" s="181">
        <v>236</v>
      </c>
      <c r="B794" s="182">
        <v>80</v>
      </c>
    </row>
    <row r="795" spans="1:2" x14ac:dyDescent="0.2">
      <c r="A795" s="180" t="s">
        <v>21</v>
      </c>
      <c r="B795" s="182">
        <v>30</v>
      </c>
    </row>
    <row r="796" spans="1:2" x14ac:dyDescent="0.2">
      <c r="A796" s="181">
        <v>237</v>
      </c>
      <c r="B796" s="182">
        <v>30</v>
      </c>
    </row>
    <row r="797" spans="1:2" x14ac:dyDescent="0.2">
      <c r="A797" s="180" t="s">
        <v>580</v>
      </c>
      <c r="B797" s="182">
        <v>120</v>
      </c>
    </row>
    <row r="798" spans="1:2" x14ac:dyDescent="0.2">
      <c r="A798" s="181">
        <v>242</v>
      </c>
      <c r="B798" s="182">
        <v>120</v>
      </c>
    </row>
    <row r="799" spans="1:2" x14ac:dyDescent="0.2">
      <c r="A799" s="180" t="s">
        <v>492</v>
      </c>
      <c r="B799" s="182">
        <v>156</v>
      </c>
    </row>
    <row r="800" spans="1:2" x14ac:dyDescent="0.2">
      <c r="A800" s="181">
        <v>24</v>
      </c>
      <c r="B800" s="182">
        <v>1</v>
      </c>
    </row>
    <row r="801" spans="1:2" x14ac:dyDescent="0.2">
      <c r="A801" s="181">
        <v>75</v>
      </c>
      <c r="B801" s="182">
        <v>150</v>
      </c>
    </row>
    <row r="802" spans="1:2" x14ac:dyDescent="0.2">
      <c r="A802" s="181">
        <v>113</v>
      </c>
      <c r="B802" s="182">
        <v>5</v>
      </c>
    </row>
    <row r="803" spans="1:2" x14ac:dyDescent="0.2">
      <c r="A803" s="180" t="s">
        <v>412</v>
      </c>
      <c r="B803" s="182">
        <v>306</v>
      </c>
    </row>
    <row r="804" spans="1:2" x14ac:dyDescent="0.2">
      <c r="A804" s="181">
        <v>24</v>
      </c>
      <c r="B804" s="182">
        <v>1</v>
      </c>
    </row>
    <row r="805" spans="1:2" x14ac:dyDescent="0.2">
      <c r="A805" s="181">
        <v>75</v>
      </c>
      <c r="B805" s="182">
        <v>300</v>
      </c>
    </row>
    <row r="806" spans="1:2" x14ac:dyDescent="0.2">
      <c r="A806" s="181">
        <v>113</v>
      </c>
      <c r="B806" s="182">
        <v>5</v>
      </c>
    </row>
    <row r="807" spans="1:2" x14ac:dyDescent="0.2">
      <c r="A807" s="180" t="s">
        <v>415</v>
      </c>
      <c r="B807" s="182">
        <v>156</v>
      </c>
    </row>
    <row r="808" spans="1:2" x14ac:dyDescent="0.2">
      <c r="A808" s="181">
        <v>24</v>
      </c>
      <c r="B808" s="182">
        <v>1</v>
      </c>
    </row>
    <row r="809" spans="1:2" x14ac:dyDescent="0.2">
      <c r="A809" s="181">
        <v>75</v>
      </c>
      <c r="B809" s="182">
        <v>150</v>
      </c>
    </row>
    <row r="810" spans="1:2" x14ac:dyDescent="0.2">
      <c r="A810" s="181">
        <v>113</v>
      </c>
      <c r="B810" s="182">
        <v>5</v>
      </c>
    </row>
    <row r="811" spans="1:2" x14ac:dyDescent="0.2">
      <c r="A811" s="180" t="s">
        <v>474</v>
      </c>
      <c r="B811" s="182">
        <v>305</v>
      </c>
    </row>
    <row r="812" spans="1:2" x14ac:dyDescent="0.2">
      <c r="A812" s="181">
        <v>75</v>
      </c>
      <c r="B812" s="182">
        <v>300</v>
      </c>
    </row>
    <row r="813" spans="1:2" x14ac:dyDescent="0.2">
      <c r="A813" s="181">
        <v>207</v>
      </c>
      <c r="B813" s="182">
        <v>5</v>
      </c>
    </row>
    <row r="814" spans="1:2" x14ac:dyDescent="0.2">
      <c r="A814" s="180" t="s">
        <v>101</v>
      </c>
      <c r="B814" s="182">
        <v>171</v>
      </c>
    </row>
    <row r="815" spans="1:2" x14ac:dyDescent="0.2">
      <c r="A815" s="181">
        <v>24</v>
      </c>
      <c r="B815" s="182">
        <v>1</v>
      </c>
    </row>
    <row r="816" spans="1:2" x14ac:dyDescent="0.2">
      <c r="A816" s="181">
        <v>28</v>
      </c>
      <c r="B816" s="182">
        <v>5</v>
      </c>
    </row>
    <row r="817" spans="1:2" x14ac:dyDescent="0.2">
      <c r="A817" s="181">
        <v>42</v>
      </c>
      <c r="B817" s="182">
        <v>5</v>
      </c>
    </row>
    <row r="818" spans="1:2" x14ac:dyDescent="0.2">
      <c r="A818" s="181">
        <v>75</v>
      </c>
      <c r="B818" s="182">
        <v>150</v>
      </c>
    </row>
    <row r="819" spans="1:2" x14ac:dyDescent="0.2">
      <c r="A819" s="181">
        <v>180</v>
      </c>
      <c r="B819" s="182">
        <v>10</v>
      </c>
    </row>
    <row r="820" spans="1:2" x14ac:dyDescent="0.2">
      <c r="A820" s="180" t="s">
        <v>111</v>
      </c>
      <c r="B820" s="182">
        <v>120</v>
      </c>
    </row>
    <row r="821" spans="1:2" x14ac:dyDescent="0.2">
      <c r="A821" s="181">
        <v>76</v>
      </c>
      <c r="B821" s="182">
        <v>120</v>
      </c>
    </row>
    <row r="822" spans="1:2" x14ac:dyDescent="0.2">
      <c r="A822" s="180" t="s">
        <v>420</v>
      </c>
      <c r="B822" s="182">
        <v>156</v>
      </c>
    </row>
    <row r="823" spans="1:2" x14ac:dyDescent="0.2">
      <c r="A823" s="181">
        <v>24</v>
      </c>
      <c r="B823" s="182">
        <v>1</v>
      </c>
    </row>
    <row r="824" spans="1:2" x14ac:dyDescent="0.2">
      <c r="A824" s="181">
        <v>75</v>
      </c>
      <c r="B824" s="182">
        <v>150</v>
      </c>
    </row>
    <row r="825" spans="1:2" x14ac:dyDescent="0.2">
      <c r="A825" s="181">
        <v>113</v>
      </c>
      <c r="B825" s="182">
        <v>5</v>
      </c>
    </row>
    <row r="826" spans="1:2" x14ac:dyDescent="0.2">
      <c r="A826" s="180" t="s">
        <v>570</v>
      </c>
      <c r="B826" s="182">
        <v>100</v>
      </c>
    </row>
    <row r="827" spans="1:2" x14ac:dyDescent="0.2">
      <c r="A827" s="181">
        <v>189</v>
      </c>
      <c r="B827" s="182">
        <v>100</v>
      </c>
    </row>
    <row r="828" spans="1:2" x14ac:dyDescent="0.2">
      <c r="A828" s="180" t="s">
        <v>432</v>
      </c>
      <c r="B828" s="182">
        <v>255</v>
      </c>
    </row>
    <row r="829" spans="1:2" x14ac:dyDescent="0.2">
      <c r="A829" s="181">
        <v>93</v>
      </c>
      <c r="B829" s="182">
        <v>5</v>
      </c>
    </row>
    <row r="830" spans="1:2" x14ac:dyDescent="0.2">
      <c r="A830" s="181">
        <v>245</v>
      </c>
      <c r="B830" s="182">
        <v>50</v>
      </c>
    </row>
    <row r="831" spans="1:2" x14ac:dyDescent="0.2">
      <c r="A831" s="181">
        <v>247</v>
      </c>
      <c r="B831" s="182">
        <v>75</v>
      </c>
    </row>
    <row r="832" spans="1:2" x14ac:dyDescent="0.2">
      <c r="A832" s="181">
        <v>310</v>
      </c>
      <c r="B832" s="182">
        <v>50</v>
      </c>
    </row>
    <row r="833" spans="1:2" x14ac:dyDescent="0.2">
      <c r="A833" s="181">
        <v>314</v>
      </c>
      <c r="B833" s="182">
        <v>75</v>
      </c>
    </row>
    <row r="834" spans="1:2" x14ac:dyDescent="0.2">
      <c r="A834" s="180" t="s">
        <v>55</v>
      </c>
      <c r="B834" s="182">
        <v>435</v>
      </c>
    </row>
    <row r="835" spans="1:2" x14ac:dyDescent="0.2">
      <c r="A835" s="181">
        <v>249</v>
      </c>
      <c r="B835" s="182">
        <v>200</v>
      </c>
    </row>
    <row r="836" spans="1:2" x14ac:dyDescent="0.2">
      <c r="A836" s="181">
        <v>250</v>
      </c>
      <c r="B836" s="182">
        <v>235</v>
      </c>
    </row>
    <row r="837" spans="1:2" x14ac:dyDescent="0.2">
      <c r="A837" s="180" t="s">
        <v>495</v>
      </c>
      <c r="B837" s="182">
        <v>200</v>
      </c>
    </row>
    <row r="838" spans="1:2" x14ac:dyDescent="0.2">
      <c r="A838" s="181">
        <v>249</v>
      </c>
      <c r="B838" s="182">
        <v>200</v>
      </c>
    </row>
    <row r="839" spans="1:2" x14ac:dyDescent="0.2">
      <c r="A839" s="180" t="s">
        <v>98</v>
      </c>
      <c r="B839" s="182">
        <v>100</v>
      </c>
    </row>
    <row r="840" spans="1:2" x14ac:dyDescent="0.2">
      <c r="A840" s="181">
        <v>255</v>
      </c>
      <c r="B840" s="182">
        <v>100</v>
      </c>
    </row>
    <row r="841" spans="1:2" x14ac:dyDescent="0.2">
      <c r="A841" s="180" t="s">
        <v>17</v>
      </c>
      <c r="B841" s="182">
        <v>100</v>
      </c>
    </row>
    <row r="842" spans="1:2" x14ac:dyDescent="0.2">
      <c r="A842" s="181">
        <v>255</v>
      </c>
      <c r="B842" s="182">
        <v>100</v>
      </c>
    </row>
    <row r="843" spans="1:2" x14ac:dyDescent="0.2">
      <c r="A843" s="180" t="s">
        <v>192</v>
      </c>
      <c r="B843" s="182">
        <v>100</v>
      </c>
    </row>
    <row r="844" spans="1:2" x14ac:dyDescent="0.2">
      <c r="A844" s="181">
        <v>257</v>
      </c>
      <c r="B844" s="182">
        <v>100</v>
      </c>
    </row>
    <row r="845" spans="1:2" x14ac:dyDescent="0.2">
      <c r="A845" s="180" t="s">
        <v>381</v>
      </c>
      <c r="B845" s="182">
        <v>100</v>
      </c>
    </row>
    <row r="846" spans="1:2" x14ac:dyDescent="0.2">
      <c r="A846" s="181">
        <v>257</v>
      </c>
      <c r="B846" s="182">
        <v>100</v>
      </c>
    </row>
    <row r="847" spans="1:2" x14ac:dyDescent="0.2">
      <c r="A847" s="180" t="s">
        <v>376</v>
      </c>
      <c r="B847" s="182">
        <v>100</v>
      </c>
    </row>
    <row r="848" spans="1:2" x14ac:dyDescent="0.2">
      <c r="A848" s="181">
        <v>257</v>
      </c>
      <c r="B848" s="182">
        <v>100</v>
      </c>
    </row>
    <row r="849" spans="1:2" x14ac:dyDescent="0.2">
      <c r="A849" s="180" t="s">
        <v>257</v>
      </c>
      <c r="B849" s="182">
        <v>42</v>
      </c>
    </row>
    <row r="850" spans="1:2" x14ac:dyDescent="0.2">
      <c r="A850" s="181">
        <v>159</v>
      </c>
      <c r="B850" s="182">
        <v>2</v>
      </c>
    </row>
    <row r="851" spans="1:2" x14ac:dyDescent="0.2">
      <c r="A851" s="181">
        <v>267</v>
      </c>
      <c r="B851" s="182">
        <v>40</v>
      </c>
    </row>
    <row r="852" spans="1:2" x14ac:dyDescent="0.2">
      <c r="A852" s="180" t="s">
        <v>142</v>
      </c>
      <c r="B852" s="182">
        <v>80</v>
      </c>
    </row>
    <row r="853" spans="1:2" x14ac:dyDescent="0.2">
      <c r="A853" s="181">
        <v>267</v>
      </c>
      <c r="B853" s="182">
        <v>80</v>
      </c>
    </row>
    <row r="854" spans="1:2" x14ac:dyDescent="0.2">
      <c r="A854" s="180" t="s">
        <v>201</v>
      </c>
      <c r="B854" s="182">
        <v>140</v>
      </c>
    </row>
    <row r="855" spans="1:2" x14ac:dyDescent="0.2">
      <c r="A855" s="181">
        <v>268</v>
      </c>
      <c r="B855" s="182">
        <v>140</v>
      </c>
    </row>
    <row r="856" spans="1:2" x14ac:dyDescent="0.2">
      <c r="A856" s="180" t="s">
        <v>267</v>
      </c>
      <c r="B856" s="182">
        <v>80</v>
      </c>
    </row>
    <row r="857" spans="1:2" x14ac:dyDescent="0.2">
      <c r="A857" s="181">
        <v>269</v>
      </c>
      <c r="B857" s="182">
        <v>80</v>
      </c>
    </row>
    <row r="858" spans="1:2" x14ac:dyDescent="0.2">
      <c r="A858" s="180" t="s">
        <v>477</v>
      </c>
      <c r="B858" s="182">
        <v>96</v>
      </c>
    </row>
    <row r="859" spans="1:2" x14ac:dyDescent="0.2">
      <c r="A859" s="181">
        <v>32</v>
      </c>
      <c r="B859" s="182">
        <v>16</v>
      </c>
    </row>
    <row r="860" spans="1:2" x14ac:dyDescent="0.2">
      <c r="A860" s="181">
        <v>268</v>
      </c>
      <c r="B860" s="182">
        <v>80</v>
      </c>
    </row>
    <row r="861" spans="1:2" x14ac:dyDescent="0.2">
      <c r="A861" s="180" t="s">
        <v>163</v>
      </c>
      <c r="B861" s="182">
        <v>80</v>
      </c>
    </row>
    <row r="862" spans="1:2" x14ac:dyDescent="0.2">
      <c r="A862" s="181">
        <v>271</v>
      </c>
      <c r="B862" s="182">
        <v>80</v>
      </c>
    </row>
    <row r="863" spans="1:2" x14ac:dyDescent="0.2">
      <c r="A863" s="180" t="s">
        <v>559</v>
      </c>
      <c r="B863" s="182">
        <v>80</v>
      </c>
    </row>
    <row r="864" spans="1:2" x14ac:dyDescent="0.2">
      <c r="A864" s="181">
        <v>272</v>
      </c>
      <c r="B864" s="182">
        <v>80</v>
      </c>
    </row>
    <row r="865" spans="1:2" x14ac:dyDescent="0.2">
      <c r="A865" s="180" t="s">
        <v>481</v>
      </c>
      <c r="B865" s="182">
        <v>88</v>
      </c>
    </row>
    <row r="866" spans="1:2" x14ac:dyDescent="0.2">
      <c r="A866" s="181">
        <v>32</v>
      </c>
      <c r="B866" s="182">
        <v>8</v>
      </c>
    </row>
    <row r="867" spans="1:2" x14ac:dyDescent="0.2">
      <c r="A867" s="181">
        <v>273</v>
      </c>
      <c r="B867" s="182">
        <v>80</v>
      </c>
    </row>
    <row r="868" spans="1:2" x14ac:dyDescent="0.2">
      <c r="A868" s="180" t="s">
        <v>277</v>
      </c>
      <c r="B868" s="182">
        <v>100</v>
      </c>
    </row>
    <row r="869" spans="1:2" x14ac:dyDescent="0.2">
      <c r="A869" s="181">
        <v>58</v>
      </c>
      <c r="B869" s="182">
        <v>100</v>
      </c>
    </row>
    <row r="870" spans="1:2" x14ac:dyDescent="0.2">
      <c r="A870" s="180" t="s">
        <v>121</v>
      </c>
      <c r="B870" s="182">
        <v>90</v>
      </c>
    </row>
    <row r="871" spans="1:2" x14ac:dyDescent="0.2">
      <c r="A871" s="181">
        <v>6</v>
      </c>
      <c r="B871" s="182">
        <v>65</v>
      </c>
    </row>
    <row r="872" spans="1:2" x14ac:dyDescent="0.2">
      <c r="A872" s="181">
        <v>177</v>
      </c>
      <c r="B872" s="182">
        <v>20</v>
      </c>
    </row>
    <row r="873" spans="1:2" x14ac:dyDescent="0.2">
      <c r="A873" s="181">
        <v>198</v>
      </c>
      <c r="B873" s="182">
        <v>5</v>
      </c>
    </row>
    <row r="874" spans="1:2" x14ac:dyDescent="0.2">
      <c r="A874" s="180" t="s">
        <v>563</v>
      </c>
      <c r="B874" s="182">
        <v>65</v>
      </c>
    </row>
    <row r="875" spans="1:2" x14ac:dyDescent="0.2">
      <c r="A875" s="181">
        <v>23</v>
      </c>
      <c r="B875" s="182">
        <v>65</v>
      </c>
    </row>
    <row r="876" spans="1:2" x14ac:dyDescent="0.2">
      <c r="A876" s="180" t="s">
        <v>160</v>
      </c>
      <c r="B876" s="182">
        <v>90</v>
      </c>
    </row>
    <row r="877" spans="1:2" x14ac:dyDescent="0.2">
      <c r="A877" s="181">
        <v>23</v>
      </c>
      <c r="B877" s="182">
        <v>65</v>
      </c>
    </row>
    <row r="878" spans="1:2" x14ac:dyDescent="0.2">
      <c r="A878" s="181">
        <v>177</v>
      </c>
      <c r="B878" s="182">
        <v>20</v>
      </c>
    </row>
    <row r="879" spans="1:2" x14ac:dyDescent="0.2">
      <c r="A879" s="181">
        <v>198</v>
      </c>
      <c r="B879" s="182">
        <v>5</v>
      </c>
    </row>
    <row r="880" spans="1:2" x14ac:dyDescent="0.2">
      <c r="A880" s="180" t="s">
        <v>152</v>
      </c>
      <c r="B880" s="182">
        <v>100</v>
      </c>
    </row>
    <row r="881" spans="1:2" x14ac:dyDescent="0.2">
      <c r="A881" s="181">
        <v>23</v>
      </c>
      <c r="B881" s="182">
        <v>65</v>
      </c>
    </row>
    <row r="882" spans="1:2" x14ac:dyDescent="0.2">
      <c r="A882" s="181">
        <v>177</v>
      </c>
      <c r="B882" s="182">
        <v>20</v>
      </c>
    </row>
    <row r="883" spans="1:2" x14ac:dyDescent="0.2">
      <c r="A883" s="181">
        <v>198</v>
      </c>
      <c r="B883" s="182">
        <v>5</v>
      </c>
    </row>
    <row r="884" spans="1:2" x14ac:dyDescent="0.2">
      <c r="A884" s="181">
        <v>277</v>
      </c>
      <c r="B884" s="182">
        <v>10</v>
      </c>
    </row>
    <row r="885" spans="1:2" x14ac:dyDescent="0.2">
      <c r="A885" s="180" t="s">
        <v>566</v>
      </c>
      <c r="B885" s="182">
        <v>65</v>
      </c>
    </row>
    <row r="886" spans="1:2" x14ac:dyDescent="0.2">
      <c r="A886" s="181">
        <v>23</v>
      </c>
      <c r="B886" s="182">
        <v>65</v>
      </c>
    </row>
    <row r="887" spans="1:2" x14ac:dyDescent="0.2">
      <c r="A887" s="180" t="s">
        <v>246</v>
      </c>
      <c r="B887" s="182">
        <v>185</v>
      </c>
    </row>
    <row r="888" spans="1:2" x14ac:dyDescent="0.2">
      <c r="A888" s="181">
        <v>177</v>
      </c>
      <c r="B888" s="182">
        <v>20</v>
      </c>
    </row>
    <row r="889" spans="1:2" x14ac:dyDescent="0.2">
      <c r="A889" s="181">
        <v>275</v>
      </c>
      <c r="B889" s="182">
        <v>165</v>
      </c>
    </row>
    <row r="890" spans="1:2" x14ac:dyDescent="0.2">
      <c r="A890" s="180" t="s">
        <v>194</v>
      </c>
      <c r="B890" s="182">
        <v>130</v>
      </c>
    </row>
    <row r="891" spans="1:2" x14ac:dyDescent="0.2">
      <c r="A891" s="181">
        <v>52</v>
      </c>
      <c r="B891" s="182">
        <v>65</v>
      </c>
    </row>
    <row r="892" spans="1:2" x14ac:dyDescent="0.2">
      <c r="A892" s="181">
        <v>276</v>
      </c>
      <c r="B892" s="182">
        <v>65</v>
      </c>
    </row>
    <row r="893" spans="1:2" x14ac:dyDescent="0.2">
      <c r="A893" s="180" t="s">
        <v>499</v>
      </c>
      <c r="B893" s="182">
        <v>65</v>
      </c>
    </row>
    <row r="894" spans="1:2" x14ac:dyDescent="0.2">
      <c r="A894" s="181">
        <v>54</v>
      </c>
      <c r="B894" s="182">
        <v>65</v>
      </c>
    </row>
    <row r="895" spans="1:2" x14ac:dyDescent="0.2">
      <c r="A895" s="180" t="s">
        <v>178</v>
      </c>
      <c r="B895" s="182">
        <v>165</v>
      </c>
    </row>
    <row r="896" spans="1:2" x14ac:dyDescent="0.2">
      <c r="A896" s="181">
        <v>58</v>
      </c>
      <c r="B896" s="182">
        <v>165</v>
      </c>
    </row>
    <row r="897" spans="1:2" x14ac:dyDescent="0.2">
      <c r="A897" s="180" t="s">
        <v>116</v>
      </c>
      <c r="B897" s="182">
        <v>90</v>
      </c>
    </row>
    <row r="898" spans="1:2" x14ac:dyDescent="0.2">
      <c r="A898" s="181">
        <v>96</v>
      </c>
      <c r="B898" s="182">
        <v>65</v>
      </c>
    </row>
    <row r="899" spans="1:2" x14ac:dyDescent="0.2">
      <c r="A899" s="181">
        <v>177</v>
      </c>
      <c r="B899" s="182">
        <v>20</v>
      </c>
    </row>
    <row r="900" spans="1:2" x14ac:dyDescent="0.2">
      <c r="A900" s="181">
        <v>198</v>
      </c>
      <c r="B900" s="182">
        <v>5</v>
      </c>
    </row>
    <row r="901" spans="1:2" x14ac:dyDescent="0.2">
      <c r="A901" s="180" t="s">
        <v>372</v>
      </c>
      <c r="B901" s="182">
        <v>65</v>
      </c>
    </row>
    <row r="902" spans="1:2" x14ac:dyDescent="0.2">
      <c r="A902" s="181">
        <v>169</v>
      </c>
      <c r="B902" s="182">
        <v>65</v>
      </c>
    </row>
    <row r="903" spans="1:2" x14ac:dyDescent="0.2">
      <c r="A903" s="180" t="s">
        <v>427</v>
      </c>
      <c r="B903" s="182">
        <v>70</v>
      </c>
    </row>
    <row r="904" spans="1:2" x14ac:dyDescent="0.2">
      <c r="A904" s="181">
        <v>58</v>
      </c>
      <c r="B904" s="182">
        <v>35</v>
      </c>
    </row>
    <row r="905" spans="1:2" x14ac:dyDescent="0.2">
      <c r="A905" s="181">
        <v>64</v>
      </c>
      <c r="B905" s="182">
        <v>35</v>
      </c>
    </row>
    <row r="906" spans="1:2" x14ac:dyDescent="0.2">
      <c r="A906" s="180" t="s">
        <v>484</v>
      </c>
      <c r="B906" s="182">
        <v>100</v>
      </c>
    </row>
    <row r="907" spans="1:2" x14ac:dyDescent="0.2">
      <c r="A907" s="181">
        <v>3</v>
      </c>
      <c r="B907" s="182">
        <v>50</v>
      </c>
    </row>
    <row r="908" spans="1:2" x14ac:dyDescent="0.2">
      <c r="A908" s="181">
        <v>281</v>
      </c>
      <c r="B908" s="182">
        <v>50</v>
      </c>
    </row>
    <row r="909" spans="1:2" x14ac:dyDescent="0.2">
      <c r="A909" s="180" t="s">
        <v>165</v>
      </c>
      <c r="B909" s="182">
        <v>100</v>
      </c>
    </row>
    <row r="910" spans="1:2" x14ac:dyDescent="0.2">
      <c r="A910" s="181">
        <v>283</v>
      </c>
      <c r="B910" s="182">
        <v>100</v>
      </c>
    </row>
    <row r="911" spans="1:2" x14ac:dyDescent="0.2">
      <c r="A911" s="180" t="s">
        <v>479</v>
      </c>
      <c r="B911" s="182">
        <v>100</v>
      </c>
    </row>
    <row r="912" spans="1:2" x14ac:dyDescent="0.2">
      <c r="A912" s="181">
        <v>284</v>
      </c>
      <c r="B912" s="182">
        <v>100</v>
      </c>
    </row>
    <row r="913" spans="1:2" x14ac:dyDescent="0.2">
      <c r="A913" s="180" t="s">
        <v>219</v>
      </c>
      <c r="B913" s="182">
        <v>100</v>
      </c>
    </row>
    <row r="914" spans="1:2" x14ac:dyDescent="0.2">
      <c r="A914" s="181">
        <v>285</v>
      </c>
      <c r="B914" s="182">
        <v>100</v>
      </c>
    </row>
    <row r="915" spans="1:2" x14ac:dyDescent="0.2">
      <c r="A915" s="180" t="s">
        <v>439</v>
      </c>
      <c r="B915" s="182">
        <v>150</v>
      </c>
    </row>
    <row r="916" spans="1:2" x14ac:dyDescent="0.2">
      <c r="A916" s="181">
        <v>174</v>
      </c>
      <c r="B916" s="182">
        <v>40</v>
      </c>
    </row>
    <row r="917" spans="1:2" x14ac:dyDescent="0.2">
      <c r="A917" s="181">
        <v>287</v>
      </c>
      <c r="B917" s="182">
        <v>110</v>
      </c>
    </row>
    <row r="918" spans="1:2" x14ac:dyDescent="0.2">
      <c r="A918" s="180" t="s">
        <v>456</v>
      </c>
      <c r="B918" s="182">
        <v>50</v>
      </c>
    </row>
    <row r="919" spans="1:2" x14ac:dyDescent="0.2">
      <c r="A919" s="181">
        <v>287</v>
      </c>
      <c r="B919" s="182">
        <v>25</v>
      </c>
    </row>
    <row r="920" spans="1:2" x14ac:dyDescent="0.2">
      <c r="A920" s="181">
        <v>310</v>
      </c>
      <c r="B920" s="182">
        <v>25</v>
      </c>
    </row>
    <row r="921" spans="1:2" x14ac:dyDescent="0.2">
      <c r="A921" s="180" t="s">
        <v>56</v>
      </c>
      <c r="B921" s="182">
        <v>100</v>
      </c>
    </row>
    <row r="922" spans="1:2" x14ac:dyDescent="0.2">
      <c r="A922" s="181">
        <v>288</v>
      </c>
      <c r="B922" s="182">
        <v>100</v>
      </c>
    </row>
    <row r="923" spans="1:2" x14ac:dyDescent="0.2">
      <c r="A923" s="180" t="s">
        <v>226</v>
      </c>
      <c r="B923" s="182">
        <v>120</v>
      </c>
    </row>
    <row r="924" spans="1:2" x14ac:dyDescent="0.2">
      <c r="A924" s="181">
        <v>290</v>
      </c>
      <c r="B924" s="182">
        <v>120</v>
      </c>
    </row>
    <row r="925" spans="1:2" x14ac:dyDescent="0.2">
      <c r="A925" s="180" t="s">
        <v>374</v>
      </c>
      <c r="B925" s="182">
        <v>100</v>
      </c>
    </row>
    <row r="926" spans="1:2" x14ac:dyDescent="0.2">
      <c r="A926" s="181">
        <v>289</v>
      </c>
      <c r="B926" s="182">
        <v>50</v>
      </c>
    </row>
    <row r="927" spans="1:2" x14ac:dyDescent="0.2">
      <c r="A927" s="181">
        <v>313</v>
      </c>
      <c r="B927" s="182">
        <v>50</v>
      </c>
    </row>
    <row r="928" spans="1:2" x14ac:dyDescent="0.2">
      <c r="A928" s="180" t="s">
        <v>188</v>
      </c>
      <c r="B928" s="182">
        <v>30</v>
      </c>
    </row>
    <row r="929" spans="1:2" x14ac:dyDescent="0.2">
      <c r="A929" s="181">
        <v>293</v>
      </c>
      <c r="B929" s="182">
        <v>30</v>
      </c>
    </row>
    <row r="930" spans="1:2" x14ac:dyDescent="0.2">
      <c r="A930" s="180" t="s">
        <v>143</v>
      </c>
      <c r="B930" s="182">
        <v>150</v>
      </c>
    </row>
    <row r="931" spans="1:2" x14ac:dyDescent="0.2">
      <c r="A931" s="181">
        <v>193</v>
      </c>
      <c r="B931" s="182">
        <v>100</v>
      </c>
    </row>
    <row r="932" spans="1:2" x14ac:dyDescent="0.2">
      <c r="A932" s="181">
        <v>293</v>
      </c>
      <c r="B932" s="182">
        <v>50</v>
      </c>
    </row>
    <row r="933" spans="1:2" x14ac:dyDescent="0.2">
      <c r="A933" s="180" t="s">
        <v>43</v>
      </c>
      <c r="B933" s="182">
        <v>2</v>
      </c>
    </row>
    <row r="934" spans="1:2" x14ac:dyDescent="0.2">
      <c r="A934" s="181">
        <v>294</v>
      </c>
      <c r="B934" s="182">
        <v>2</v>
      </c>
    </row>
    <row r="935" spans="1:2" x14ac:dyDescent="0.2">
      <c r="A935" s="180" t="s">
        <v>272</v>
      </c>
      <c r="B935" s="182">
        <v>100</v>
      </c>
    </row>
    <row r="936" spans="1:2" x14ac:dyDescent="0.2">
      <c r="A936" s="181">
        <v>6</v>
      </c>
      <c r="B936" s="182">
        <v>100</v>
      </c>
    </row>
    <row r="937" spans="1:2" x14ac:dyDescent="0.2">
      <c r="A937" s="180" t="s">
        <v>353</v>
      </c>
      <c r="B937" s="182">
        <v>150</v>
      </c>
    </row>
    <row r="938" spans="1:2" x14ac:dyDescent="0.2">
      <c r="A938" s="181">
        <v>96</v>
      </c>
      <c r="B938" s="182">
        <v>75</v>
      </c>
    </row>
    <row r="939" spans="1:2" x14ac:dyDescent="0.2">
      <c r="A939" s="181">
        <v>320</v>
      </c>
      <c r="B939" s="182">
        <v>75</v>
      </c>
    </row>
    <row r="940" spans="1:2" x14ac:dyDescent="0.2">
      <c r="A940" s="180" t="s">
        <v>365</v>
      </c>
      <c r="B940" s="182">
        <v>100</v>
      </c>
    </row>
    <row r="941" spans="1:2" x14ac:dyDescent="0.2">
      <c r="A941" s="181">
        <v>96</v>
      </c>
      <c r="B941" s="182">
        <v>50</v>
      </c>
    </row>
    <row r="942" spans="1:2" x14ac:dyDescent="0.2">
      <c r="A942" s="181">
        <v>320</v>
      </c>
      <c r="B942" s="182">
        <v>50</v>
      </c>
    </row>
    <row r="943" spans="1:2" x14ac:dyDescent="0.2">
      <c r="A943" s="180" t="s">
        <v>553</v>
      </c>
      <c r="B943" s="182">
        <v>190</v>
      </c>
    </row>
    <row r="944" spans="1:2" x14ac:dyDescent="0.2">
      <c r="A944" s="181">
        <v>49</v>
      </c>
      <c r="B944" s="182">
        <v>40</v>
      </c>
    </row>
    <row r="945" spans="1:2" x14ac:dyDescent="0.2">
      <c r="A945" s="181">
        <v>174</v>
      </c>
      <c r="B945" s="182">
        <v>30</v>
      </c>
    </row>
    <row r="946" spans="1:2" x14ac:dyDescent="0.2">
      <c r="A946" s="181">
        <v>184</v>
      </c>
      <c r="B946" s="182">
        <v>40</v>
      </c>
    </row>
    <row r="947" spans="1:2" x14ac:dyDescent="0.2">
      <c r="A947" s="181">
        <v>191</v>
      </c>
      <c r="B947" s="182">
        <v>40</v>
      </c>
    </row>
    <row r="948" spans="1:2" x14ac:dyDescent="0.2">
      <c r="A948" s="181">
        <v>263</v>
      </c>
      <c r="B948" s="182">
        <v>40</v>
      </c>
    </row>
    <row r="949" spans="1:2" x14ac:dyDescent="0.2">
      <c r="A949" s="180" t="s">
        <v>100</v>
      </c>
      <c r="B949" s="182">
        <v>50</v>
      </c>
    </row>
    <row r="950" spans="1:2" x14ac:dyDescent="0.2">
      <c r="A950" s="181">
        <v>313</v>
      </c>
      <c r="B950" s="182">
        <v>50</v>
      </c>
    </row>
    <row r="951" spans="1:2" x14ac:dyDescent="0.2">
      <c r="A951" s="180" t="s">
        <v>302</v>
      </c>
      <c r="B951" s="182">
        <v>100</v>
      </c>
    </row>
    <row r="952" spans="1:2" x14ac:dyDescent="0.2">
      <c r="A952" s="181">
        <v>296</v>
      </c>
      <c r="B952" s="182">
        <v>100</v>
      </c>
    </row>
    <row r="953" spans="1:2" x14ac:dyDescent="0.2">
      <c r="A953" s="180" t="s">
        <v>240</v>
      </c>
      <c r="B953" s="182">
        <v>150</v>
      </c>
    </row>
    <row r="954" spans="1:2" x14ac:dyDescent="0.2">
      <c r="A954" s="181">
        <v>297</v>
      </c>
      <c r="B954" s="182">
        <v>150</v>
      </c>
    </row>
    <row r="955" spans="1:2" x14ac:dyDescent="0.2">
      <c r="A955" s="180" t="s">
        <v>469</v>
      </c>
      <c r="B955" s="182">
        <v>175</v>
      </c>
    </row>
    <row r="956" spans="1:2" x14ac:dyDescent="0.2">
      <c r="A956" s="181">
        <v>203</v>
      </c>
      <c r="B956" s="182">
        <v>15</v>
      </c>
    </row>
    <row r="957" spans="1:2" x14ac:dyDescent="0.2">
      <c r="A957" s="181">
        <v>252</v>
      </c>
      <c r="B957" s="182">
        <v>10</v>
      </c>
    </row>
    <row r="958" spans="1:2" x14ac:dyDescent="0.2">
      <c r="A958" s="181">
        <v>297</v>
      </c>
      <c r="B958" s="182">
        <v>150</v>
      </c>
    </row>
    <row r="959" spans="1:2" x14ac:dyDescent="0.2">
      <c r="A959" s="180" t="s">
        <v>394</v>
      </c>
      <c r="B959" s="182">
        <v>150</v>
      </c>
    </row>
    <row r="960" spans="1:2" x14ac:dyDescent="0.2">
      <c r="A960" s="181">
        <v>297</v>
      </c>
      <c r="B960" s="182">
        <v>150</v>
      </c>
    </row>
    <row r="961" spans="1:2" x14ac:dyDescent="0.2">
      <c r="A961" s="180" t="s">
        <v>413</v>
      </c>
      <c r="B961" s="182">
        <v>300</v>
      </c>
    </row>
    <row r="962" spans="1:2" x14ac:dyDescent="0.2">
      <c r="A962" s="181">
        <v>297</v>
      </c>
      <c r="B962" s="182">
        <v>300</v>
      </c>
    </row>
    <row r="963" spans="1:2" x14ac:dyDescent="0.2">
      <c r="A963" s="180" t="s">
        <v>375</v>
      </c>
      <c r="B963" s="182">
        <v>230</v>
      </c>
    </row>
    <row r="964" spans="1:2" x14ac:dyDescent="0.2">
      <c r="A964" s="181">
        <v>281</v>
      </c>
      <c r="B964" s="182">
        <v>30</v>
      </c>
    </row>
    <row r="965" spans="1:2" x14ac:dyDescent="0.2">
      <c r="A965" s="181">
        <v>297</v>
      </c>
      <c r="B965" s="182">
        <v>200</v>
      </c>
    </row>
    <row r="966" spans="1:2" x14ac:dyDescent="0.2">
      <c r="A966" s="180" t="s">
        <v>478</v>
      </c>
      <c r="B966" s="182">
        <v>345</v>
      </c>
    </row>
    <row r="967" spans="1:2" x14ac:dyDescent="0.2">
      <c r="A967" s="181">
        <v>251</v>
      </c>
      <c r="B967" s="182">
        <v>15</v>
      </c>
    </row>
    <row r="968" spans="1:2" x14ac:dyDescent="0.2">
      <c r="A968" s="181">
        <v>252</v>
      </c>
      <c r="B968" s="182">
        <v>15</v>
      </c>
    </row>
    <row r="969" spans="1:2" x14ac:dyDescent="0.2">
      <c r="A969" s="181">
        <v>253</v>
      </c>
      <c r="B969" s="182">
        <v>15</v>
      </c>
    </row>
    <row r="970" spans="1:2" x14ac:dyDescent="0.2">
      <c r="A970" s="181">
        <v>297</v>
      </c>
      <c r="B970" s="182">
        <v>300</v>
      </c>
    </row>
    <row r="971" spans="1:2" x14ac:dyDescent="0.2">
      <c r="A971" s="180" t="s">
        <v>228</v>
      </c>
      <c r="B971" s="182">
        <v>316</v>
      </c>
    </row>
    <row r="972" spans="1:2" x14ac:dyDescent="0.2">
      <c r="A972" s="181">
        <v>24</v>
      </c>
      <c r="B972" s="182">
        <v>1</v>
      </c>
    </row>
    <row r="973" spans="1:2" x14ac:dyDescent="0.2">
      <c r="A973" s="181">
        <v>92</v>
      </c>
      <c r="B973" s="182">
        <v>5</v>
      </c>
    </row>
    <row r="974" spans="1:2" x14ac:dyDescent="0.2">
      <c r="A974" s="181">
        <v>96</v>
      </c>
      <c r="B974" s="182">
        <v>5</v>
      </c>
    </row>
    <row r="975" spans="1:2" x14ac:dyDescent="0.2">
      <c r="A975" s="181">
        <v>297</v>
      </c>
      <c r="B975" s="182">
        <v>300</v>
      </c>
    </row>
    <row r="976" spans="1:2" x14ac:dyDescent="0.2">
      <c r="A976" s="181">
        <v>311</v>
      </c>
      <c r="B976" s="182">
        <v>5</v>
      </c>
    </row>
    <row r="977" spans="1:2" x14ac:dyDescent="0.2">
      <c r="A977" s="180" t="s">
        <v>215</v>
      </c>
      <c r="B977" s="182">
        <v>171</v>
      </c>
    </row>
    <row r="978" spans="1:2" x14ac:dyDescent="0.2">
      <c r="A978" s="181">
        <v>24</v>
      </c>
      <c r="B978" s="182">
        <v>1</v>
      </c>
    </row>
    <row r="979" spans="1:2" x14ac:dyDescent="0.2">
      <c r="A979" s="181">
        <v>43</v>
      </c>
      <c r="B979" s="182">
        <v>5</v>
      </c>
    </row>
    <row r="980" spans="1:2" x14ac:dyDescent="0.2">
      <c r="A980" s="181">
        <v>92</v>
      </c>
      <c r="B980" s="182">
        <v>5</v>
      </c>
    </row>
    <row r="981" spans="1:2" x14ac:dyDescent="0.2">
      <c r="A981" s="181">
        <v>96</v>
      </c>
      <c r="B981" s="182">
        <v>5</v>
      </c>
    </row>
    <row r="982" spans="1:2" x14ac:dyDescent="0.2">
      <c r="A982" s="181">
        <v>297</v>
      </c>
      <c r="B982" s="182">
        <v>150</v>
      </c>
    </row>
    <row r="983" spans="1:2" x14ac:dyDescent="0.2">
      <c r="A983" s="181">
        <v>311</v>
      </c>
      <c r="B983" s="182">
        <v>5</v>
      </c>
    </row>
    <row r="984" spans="1:2" x14ac:dyDescent="0.2">
      <c r="A984" s="180" t="s">
        <v>488</v>
      </c>
      <c r="B984" s="182">
        <v>150</v>
      </c>
    </row>
    <row r="985" spans="1:2" x14ac:dyDescent="0.2">
      <c r="A985" s="181">
        <v>297</v>
      </c>
      <c r="B985" s="182">
        <v>150</v>
      </c>
    </row>
    <row r="986" spans="1:2" x14ac:dyDescent="0.2">
      <c r="A986" s="180" t="s">
        <v>386</v>
      </c>
      <c r="B986" s="182">
        <v>150</v>
      </c>
    </row>
    <row r="987" spans="1:2" x14ac:dyDescent="0.2">
      <c r="A987" s="181">
        <v>297</v>
      </c>
      <c r="B987" s="182">
        <v>150</v>
      </c>
    </row>
    <row r="988" spans="1:2" x14ac:dyDescent="0.2">
      <c r="A988" s="180" t="s">
        <v>392</v>
      </c>
      <c r="B988" s="182">
        <v>150</v>
      </c>
    </row>
    <row r="989" spans="1:2" x14ac:dyDescent="0.2">
      <c r="A989" s="181">
        <v>297</v>
      </c>
      <c r="B989" s="182">
        <v>150</v>
      </c>
    </row>
    <row r="990" spans="1:2" x14ac:dyDescent="0.2">
      <c r="A990" s="180" t="s">
        <v>575</v>
      </c>
      <c r="B990" s="182">
        <v>55</v>
      </c>
    </row>
    <row r="991" spans="1:2" x14ac:dyDescent="0.2">
      <c r="A991" s="181">
        <v>117</v>
      </c>
      <c r="B991" s="182">
        <v>55</v>
      </c>
    </row>
    <row r="992" spans="1:2" x14ac:dyDescent="0.2">
      <c r="A992" s="180" t="s">
        <v>582</v>
      </c>
      <c r="B992" s="182">
        <v>145</v>
      </c>
    </row>
    <row r="993" spans="1:2" x14ac:dyDescent="0.2">
      <c r="A993" s="181">
        <v>117</v>
      </c>
      <c r="B993" s="182">
        <v>145</v>
      </c>
    </row>
    <row r="994" spans="1:2" x14ac:dyDescent="0.2">
      <c r="A994" s="180" t="s">
        <v>108</v>
      </c>
      <c r="B994" s="182">
        <v>480.5</v>
      </c>
    </row>
    <row r="995" spans="1:2" x14ac:dyDescent="0.2">
      <c r="A995" s="181">
        <v>117</v>
      </c>
      <c r="B995" s="182">
        <v>155</v>
      </c>
    </row>
    <row r="996" spans="1:2" x14ac:dyDescent="0.2">
      <c r="A996" s="181">
        <v>177</v>
      </c>
      <c r="B996" s="182">
        <v>235</v>
      </c>
    </row>
    <row r="997" spans="1:2" x14ac:dyDescent="0.2">
      <c r="A997" s="181">
        <v>197</v>
      </c>
      <c r="B997" s="182">
        <v>11.5</v>
      </c>
    </row>
    <row r="998" spans="1:2" x14ac:dyDescent="0.2">
      <c r="A998" s="181">
        <v>242</v>
      </c>
      <c r="B998" s="182">
        <v>60</v>
      </c>
    </row>
    <row r="999" spans="1:2" x14ac:dyDescent="0.2">
      <c r="A999" s="181">
        <v>315</v>
      </c>
      <c r="B999" s="182">
        <v>19</v>
      </c>
    </row>
    <row r="1000" spans="1:2" x14ac:dyDescent="0.2">
      <c r="A1000" s="180" t="s">
        <v>120</v>
      </c>
      <c r="B1000" s="182">
        <v>480.5</v>
      </c>
    </row>
    <row r="1001" spans="1:2" x14ac:dyDescent="0.2">
      <c r="A1001" s="181">
        <v>117</v>
      </c>
      <c r="B1001" s="182">
        <v>155</v>
      </c>
    </row>
    <row r="1002" spans="1:2" x14ac:dyDescent="0.2">
      <c r="A1002" s="181">
        <v>177</v>
      </c>
      <c r="B1002" s="182">
        <v>235</v>
      </c>
    </row>
    <row r="1003" spans="1:2" x14ac:dyDescent="0.2">
      <c r="A1003" s="181">
        <v>197</v>
      </c>
      <c r="B1003" s="182">
        <v>11.5</v>
      </c>
    </row>
    <row r="1004" spans="1:2" x14ac:dyDescent="0.2">
      <c r="A1004" s="181">
        <v>242</v>
      </c>
      <c r="B1004" s="182">
        <v>60</v>
      </c>
    </row>
    <row r="1005" spans="1:2" x14ac:dyDescent="0.2">
      <c r="A1005" s="181">
        <v>315</v>
      </c>
      <c r="B1005" s="182">
        <v>19</v>
      </c>
    </row>
    <row r="1006" spans="1:2" x14ac:dyDescent="0.2">
      <c r="A1006" s="180" t="s">
        <v>590</v>
      </c>
      <c r="B1006" s="182">
        <v>87.5</v>
      </c>
    </row>
    <row r="1007" spans="1:2" x14ac:dyDescent="0.2">
      <c r="A1007" s="181">
        <v>95</v>
      </c>
      <c r="B1007" s="182">
        <v>25</v>
      </c>
    </row>
    <row r="1008" spans="1:2" x14ac:dyDescent="0.2">
      <c r="A1008" s="181">
        <v>105</v>
      </c>
      <c r="B1008" s="182">
        <v>25</v>
      </c>
    </row>
    <row r="1009" spans="1:2" x14ac:dyDescent="0.2">
      <c r="A1009" s="181">
        <v>117</v>
      </c>
      <c r="B1009" s="182">
        <v>25</v>
      </c>
    </row>
    <row r="1010" spans="1:2" x14ac:dyDescent="0.2">
      <c r="A1010" s="181">
        <v>266</v>
      </c>
      <c r="B1010" s="182">
        <v>12</v>
      </c>
    </row>
    <row r="1011" spans="1:2" x14ac:dyDescent="0.2">
      <c r="A1011" s="181">
        <v>294</v>
      </c>
      <c r="B1011" s="182">
        <v>0.5</v>
      </c>
    </row>
    <row r="1012" spans="1:2" x14ac:dyDescent="0.2">
      <c r="A1012" s="180" t="s">
        <v>398</v>
      </c>
      <c r="B1012" s="182">
        <v>90</v>
      </c>
    </row>
    <row r="1013" spans="1:2" x14ac:dyDescent="0.2">
      <c r="A1013" s="181">
        <v>3</v>
      </c>
      <c r="B1013" s="182">
        <v>45</v>
      </c>
    </row>
    <row r="1014" spans="1:2" x14ac:dyDescent="0.2">
      <c r="A1014" s="181">
        <v>58</v>
      </c>
      <c r="B1014" s="182">
        <v>45</v>
      </c>
    </row>
    <row r="1015" spans="1:2" x14ac:dyDescent="0.2">
      <c r="A1015" s="180" t="s">
        <v>400</v>
      </c>
      <c r="B1015" s="182">
        <v>195</v>
      </c>
    </row>
    <row r="1016" spans="1:2" x14ac:dyDescent="0.2">
      <c r="A1016" s="181">
        <v>3</v>
      </c>
      <c r="B1016" s="182">
        <v>100</v>
      </c>
    </row>
    <row r="1017" spans="1:2" x14ac:dyDescent="0.2">
      <c r="A1017" s="181">
        <v>58</v>
      </c>
      <c r="B1017" s="182">
        <v>95</v>
      </c>
    </row>
    <row r="1018" spans="1:2" x14ac:dyDescent="0.2">
      <c r="A1018" s="180" t="s">
        <v>193</v>
      </c>
      <c r="B1018" s="182">
        <v>90</v>
      </c>
    </row>
    <row r="1019" spans="1:2" x14ac:dyDescent="0.2">
      <c r="A1019" s="181">
        <v>23</v>
      </c>
      <c r="B1019" s="182">
        <v>90</v>
      </c>
    </row>
    <row r="1020" spans="1:2" x14ac:dyDescent="0.2">
      <c r="A1020" s="180" t="s">
        <v>532</v>
      </c>
      <c r="B1020" s="182">
        <v>90</v>
      </c>
    </row>
    <row r="1021" spans="1:2" x14ac:dyDescent="0.2">
      <c r="A1021" s="181">
        <v>18</v>
      </c>
      <c r="B1021" s="182">
        <v>10</v>
      </c>
    </row>
    <row r="1022" spans="1:2" x14ac:dyDescent="0.2">
      <c r="A1022" s="181">
        <v>21</v>
      </c>
      <c r="B1022" s="182">
        <v>80</v>
      </c>
    </row>
    <row r="1023" spans="1:2" x14ac:dyDescent="0.2">
      <c r="A1023" s="180" t="s">
        <v>537</v>
      </c>
      <c r="B1023" s="182">
        <v>185</v>
      </c>
    </row>
    <row r="1024" spans="1:2" x14ac:dyDescent="0.2">
      <c r="A1024" s="181">
        <v>18</v>
      </c>
      <c r="B1024" s="182">
        <v>10</v>
      </c>
    </row>
    <row r="1025" spans="1:2" x14ac:dyDescent="0.2">
      <c r="A1025" s="181">
        <v>21</v>
      </c>
      <c r="B1025" s="182">
        <v>175</v>
      </c>
    </row>
    <row r="1026" spans="1:2" x14ac:dyDescent="0.2">
      <c r="A1026" s="180" t="s">
        <v>203</v>
      </c>
      <c r="B1026" s="182">
        <v>195</v>
      </c>
    </row>
    <row r="1027" spans="1:2" x14ac:dyDescent="0.2">
      <c r="A1027" s="181">
        <v>23</v>
      </c>
      <c r="B1027" s="182">
        <v>195</v>
      </c>
    </row>
    <row r="1028" spans="1:2" x14ac:dyDescent="0.2">
      <c r="A1028" s="180" t="s">
        <v>496</v>
      </c>
      <c r="B1028" s="182">
        <v>30</v>
      </c>
    </row>
    <row r="1029" spans="1:2" x14ac:dyDescent="0.2">
      <c r="A1029" s="181">
        <v>58</v>
      </c>
      <c r="B1029" s="182">
        <v>30</v>
      </c>
    </row>
    <row r="1030" spans="1:2" x14ac:dyDescent="0.2">
      <c r="A1030" s="180" t="s">
        <v>487</v>
      </c>
      <c r="B1030" s="182">
        <v>70</v>
      </c>
    </row>
    <row r="1031" spans="1:2" x14ac:dyDescent="0.2">
      <c r="A1031" s="181">
        <v>58</v>
      </c>
      <c r="B1031" s="182">
        <v>50</v>
      </c>
    </row>
    <row r="1032" spans="1:2" x14ac:dyDescent="0.2">
      <c r="A1032" s="181">
        <v>242</v>
      </c>
      <c r="B1032" s="182">
        <v>20</v>
      </c>
    </row>
    <row r="1033" spans="1:2" x14ac:dyDescent="0.2">
      <c r="A1033" s="180" t="s">
        <v>501</v>
      </c>
      <c r="B1033" s="182">
        <v>65</v>
      </c>
    </row>
    <row r="1034" spans="1:2" x14ac:dyDescent="0.2">
      <c r="A1034" s="181">
        <v>58</v>
      </c>
      <c r="B1034" s="182">
        <v>65</v>
      </c>
    </row>
    <row r="1035" spans="1:2" x14ac:dyDescent="0.2">
      <c r="A1035" s="180" t="s">
        <v>247</v>
      </c>
      <c r="B1035" s="182">
        <v>90</v>
      </c>
    </row>
    <row r="1036" spans="1:2" x14ac:dyDescent="0.2">
      <c r="A1036" s="181">
        <v>58</v>
      </c>
      <c r="B1036" s="182">
        <v>30</v>
      </c>
    </row>
    <row r="1037" spans="1:2" x14ac:dyDescent="0.2">
      <c r="A1037" s="181">
        <v>64</v>
      </c>
      <c r="B1037" s="182">
        <v>30</v>
      </c>
    </row>
    <row r="1038" spans="1:2" x14ac:dyDescent="0.2">
      <c r="A1038" s="181">
        <v>106</v>
      </c>
      <c r="B1038" s="182">
        <v>30</v>
      </c>
    </row>
    <row r="1039" spans="1:2" x14ac:dyDescent="0.2">
      <c r="A1039" s="180" t="s">
        <v>249</v>
      </c>
      <c r="B1039" s="182">
        <v>255</v>
      </c>
    </row>
    <row r="1040" spans="1:2" x14ac:dyDescent="0.2">
      <c r="A1040" s="181">
        <v>58</v>
      </c>
      <c r="B1040" s="182">
        <v>65</v>
      </c>
    </row>
    <row r="1041" spans="1:2" x14ac:dyDescent="0.2">
      <c r="A1041" s="181">
        <v>64</v>
      </c>
      <c r="B1041" s="182">
        <v>65</v>
      </c>
    </row>
    <row r="1042" spans="1:2" x14ac:dyDescent="0.2">
      <c r="A1042" s="181">
        <v>106</v>
      </c>
      <c r="B1042" s="182">
        <v>65</v>
      </c>
    </row>
    <row r="1043" spans="1:2" x14ac:dyDescent="0.2">
      <c r="A1043" s="181">
        <v>242</v>
      </c>
      <c r="B1043" s="182">
        <v>60</v>
      </c>
    </row>
    <row r="1044" spans="1:2" x14ac:dyDescent="0.2">
      <c r="A1044" s="180" t="s">
        <v>579</v>
      </c>
      <c r="B1044" s="182">
        <v>130</v>
      </c>
    </row>
    <row r="1045" spans="1:2" x14ac:dyDescent="0.2">
      <c r="A1045" s="181">
        <v>3</v>
      </c>
      <c r="B1045" s="182">
        <v>65</v>
      </c>
    </row>
    <row r="1046" spans="1:2" x14ac:dyDescent="0.2">
      <c r="A1046" s="181">
        <v>96</v>
      </c>
      <c r="B1046" s="182">
        <v>65</v>
      </c>
    </row>
    <row r="1047" spans="1:2" x14ac:dyDescent="0.2">
      <c r="A1047" s="180" t="s">
        <v>190</v>
      </c>
      <c r="B1047" s="182">
        <v>90</v>
      </c>
    </row>
    <row r="1048" spans="1:2" x14ac:dyDescent="0.2">
      <c r="A1048" s="181">
        <v>96</v>
      </c>
      <c r="B1048" s="182">
        <v>45</v>
      </c>
    </row>
    <row r="1049" spans="1:2" x14ac:dyDescent="0.2">
      <c r="A1049" s="181">
        <v>106</v>
      </c>
      <c r="B1049" s="182">
        <v>45</v>
      </c>
    </row>
    <row r="1050" spans="1:2" x14ac:dyDescent="0.2">
      <c r="A1050" s="180" t="s">
        <v>197</v>
      </c>
      <c r="B1050" s="182">
        <v>150</v>
      </c>
    </row>
    <row r="1051" spans="1:2" x14ac:dyDescent="0.2">
      <c r="A1051" s="181">
        <v>96</v>
      </c>
      <c r="B1051" s="182">
        <v>45</v>
      </c>
    </row>
    <row r="1052" spans="1:2" x14ac:dyDescent="0.2">
      <c r="A1052" s="181">
        <v>106</v>
      </c>
      <c r="B1052" s="182">
        <v>45</v>
      </c>
    </row>
    <row r="1053" spans="1:2" x14ac:dyDescent="0.2">
      <c r="A1053" s="181">
        <v>238</v>
      </c>
      <c r="B1053" s="182">
        <v>60</v>
      </c>
    </row>
    <row r="1054" spans="1:2" x14ac:dyDescent="0.2">
      <c r="A1054" s="180" t="s">
        <v>176</v>
      </c>
      <c r="B1054" s="182">
        <v>100</v>
      </c>
    </row>
    <row r="1055" spans="1:2" x14ac:dyDescent="0.2">
      <c r="A1055" s="181">
        <v>96</v>
      </c>
      <c r="B1055" s="182">
        <v>50</v>
      </c>
    </row>
    <row r="1056" spans="1:2" x14ac:dyDescent="0.2">
      <c r="A1056" s="181">
        <v>106</v>
      </c>
      <c r="B1056" s="182">
        <v>50</v>
      </c>
    </row>
    <row r="1057" spans="1:2" x14ac:dyDescent="0.2">
      <c r="A1057" s="180" t="s">
        <v>204</v>
      </c>
      <c r="B1057" s="182">
        <v>105</v>
      </c>
    </row>
    <row r="1058" spans="1:2" x14ac:dyDescent="0.2">
      <c r="A1058" s="181">
        <v>96</v>
      </c>
      <c r="B1058" s="182">
        <v>55</v>
      </c>
    </row>
    <row r="1059" spans="1:2" x14ac:dyDescent="0.2">
      <c r="A1059" s="181">
        <v>106</v>
      </c>
      <c r="B1059" s="182">
        <v>50</v>
      </c>
    </row>
    <row r="1060" spans="1:2" x14ac:dyDescent="0.2">
      <c r="A1060" s="180" t="s">
        <v>462</v>
      </c>
      <c r="B1060" s="182">
        <v>90</v>
      </c>
    </row>
    <row r="1061" spans="1:2" x14ac:dyDescent="0.2">
      <c r="A1061" s="181">
        <v>58</v>
      </c>
      <c r="B1061" s="182">
        <v>80</v>
      </c>
    </row>
    <row r="1062" spans="1:2" x14ac:dyDescent="0.2">
      <c r="A1062" s="181">
        <v>132</v>
      </c>
      <c r="B1062" s="182">
        <v>10</v>
      </c>
    </row>
    <row r="1063" spans="1:2" x14ac:dyDescent="0.2">
      <c r="A1063" s="180" t="s">
        <v>498</v>
      </c>
      <c r="B1063" s="182">
        <v>100</v>
      </c>
    </row>
    <row r="1064" spans="1:2" x14ac:dyDescent="0.2">
      <c r="A1064" s="181">
        <v>58</v>
      </c>
      <c r="B1064" s="182">
        <v>90</v>
      </c>
    </row>
    <row r="1065" spans="1:2" x14ac:dyDescent="0.2">
      <c r="A1065" s="181">
        <v>132</v>
      </c>
      <c r="B1065" s="182">
        <v>10</v>
      </c>
    </row>
    <row r="1066" spans="1:2" x14ac:dyDescent="0.2">
      <c r="A1066" s="180" t="s">
        <v>466</v>
      </c>
      <c r="B1066" s="182">
        <v>90</v>
      </c>
    </row>
    <row r="1067" spans="1:2" x14ac:dyDescent="0.2">
      <c r="A1067" s="181">
        <v>58</v>
      </c>
      <c r="B1067" s="182">
        <v>80</v>
      </c>
    </row>
    <row r="1068" spans="1:2" x14ac:dyDescent="0.2">
      <c r="A1068" s="181">
        <v>132</v>
      </c>
      <c r="B1068" s="182">
        <v>10</v>
      </c>
    </row>
    <row r="1069" spans="1:2" x14ac:dyDescent="0.2">
      <c r="A1069" s="180" t="s">
        <v>502</v>
      </c>
      <c r="B1069" s="182">
        <v>195</v>
      </c>
    </row>
    <row r="1070" spans="1:2" x14ac:dyDescent="0.2">
      <c r="A1070" s="181">
        <v>58</v>
      </c>
      <c r="B1070" s="182">
        <v>185</v>
      </c>
    </row>
    <row r="1071" spans="1:2" x14ac:dyDescent="0.2">
      <c r="A1071" s="181">
        <v>132</v>
      </c>
      <c r="B1071" s="182">
        <v>10</v>
      </c>
    </row>
    <row r="1072" spans="1:2" x14ac:dyDescent="0.2">
      <c r="A1072" s="180" t="s">
        <v>468</v>
      </c>
      <c r="B1072" s="182">
        <v>165</v>
      </c>
    </row>
    <row r="1073" spans="1:2" x14ac:dyDescent="0.2">
      <c r="A1073" s="181">
        <v>58</v>
      </c>
      <c r="B1073" s="182">
        <v>95</v>
      </c>
    </row>
    <row r="1074" spans="1:2" x14ac:dyDescent="0.2">
      <c r="A1074" s="181">
        <v>84</v>
      </c>
      <c r="B1074" s="182">
        <v>60</v>
      </c>
    </row>
    <row r="1075" spans="1:2" x14ac:dyDescent="0.2">
      <c r="A1075" s="181">
        <v>132</v>
      </c>
      <c r="B1075" s="182">
        <v>10</v>
      </c>
    </row>
    <row r="1076" spans="1:2" x14ac:dyDescent="0.2">
      <c r="A1076" s="180" t="s">
        <v>114</v>
      </c>
      <c r="B1076" s="182">
        <v>20</v>
      </c>
    </row>
    <row r="1077" spans="1:2" x14ac:dyDescent="0.2">
      <c r="A1077" s="181">
        <v>154</v>
      </c>
      <c r="B1077" s="182">
        <v>20</v>
      </c>
    </row>
    <row r="1078" spans="1:2" x14ac:dyDescent="0.2">
      <c r="A1078" s="180" t="s">
        <v>125</v>
      </c>
      <c r="B1078" s="182">
        <v>110</v>
      </c>
    </row>
    <row r="1079" spans="1:2" x14ac:dyDescent="0.2">
      <c r="A1079" s="181">
        <v>84</v>
      </c>
      <c r="B1079" s="182">
        <v>60</v>
      </c>
    </row>
    <row r="1080" spans="1:2" x14ac:dyDescent="0.2">
      <c r="A1080" s="181">
        <v>154</v>
      </c>
      <c r="B1080" s="182">
        <v>50</v>
      </c>
    </row>
    <row r="1081" spans="1:2" x14ac:dyDescent="0.2">
      <c r="A1081" s="180" t="s">
        <v>373</v>
      </c>
      <c r="B1081" s="182">
        <v>195</v>
      </c>
    </row>
    <row r="1082" spans="1:2" x14ac:dyDescent="0.2">
      <c r="A1082" s="181">
        <v>58</v>
      </c>
      <c r="B1082" s="182">
        <v>65</v>
      </c>
    </row>
    <row r="1083" spans="1:2" x14ac:dyDescent="0.2">
      <c r="A1083" s="181">
        <v>96</v>
      </c>
      <c r="B1083" s="182">
        <v>65</v>
      </c>
    </row>
    <row r="1084" spans="1:2" x14ac:dyDescent="0.2">
      <c r="A1084" s="181">
        <v>320</v>
      </c>
      <c r="B1084" s="182">
        <v>65</v>
      </c>
    </row>
    <row r="1085" spans="1:2" x14ac:dyDescent="0.2">
      <c r="A1085" s="180" t="s">
        <v>245</v>
      </c>
      <c r="B1085" s="182">
        <v>90</v>
      </c>
    </row>
    <row r="1086" spans="1:2" x14ac:dyDescent="0.2">
      <c r="A1086" s="181">
        <v>96</v>
      </c>
      <c r="B1086" s="182">
        <v>30</v>
      </c>
    </row>
    <row r="1087" spans="1:2" x14ac:dyDescent="0.2">
      <c r="A1087" s="181">
        <v>106</v>
      </c>
      <c r="B1087" s="182">
        <v>30</v>
      </c>
    </row>
    <row r="1088" spans="1:2" x14ac:dyDescent="0.2">
      <c r="A1088" s="181">
        <v>320</v>
      </c>
      <c r="B1088" s="182">
        <v>30</v>
      </c>
    </row>
    <row r="1089" spans="1:2" x14ac:dyDescent="0.2">
      <c r="A1089" s="180" t="s">
        <v>248</v>
      </c>
      <c r="B1089" s="182">
        <v>255</v>
      </c>
    </row>
    <row r="1090" spans="1:2" x14ac:dyDescent="0.2">
      <c r="A1090" s="181">
        <v>84</v>
      </c>
      <c r="B1090" s="182">
        <v>60</v>
      </c>
    </row>
    <row r="1091" spans="1:2" x14ac:dyDescent="0.2">
      <c r="A1091" s="181">
        <v>96</v>
      </c>
      <c r="B1091" s="182">
        <v>65</v>
      </c>
    </row>
    <row r="1092" spans="1:2" x14ac:dyDescent="0.2">
      <c r="A1092" s="181">
        <v>106</v>
      </c>
      <c r="B1092" s="182">
        <v>65</v>
      </c>
    </row>
    <row r="1093" spans="1:2" x14ac:dyDescent="0.2">
      <c r="A1093" s="181">
        <v>320</v>
      </c>
      <c r="B1093" s="182">
        <v>65</v>
      </c>
    </row>
    <row r="1094" spans="1:2" x14ac:dyDescent="0.2">
      <c r="A1094" s="180" t="s">
        <v>371</v>
      </c>
      <c r="B1094" s="182">
        <v>90</v>
      </c>
    </row>
    <row r="1095" spans="1:2" x14ac:dyDescent="0.2">
      <c r="A1095" s="181">
        <v>58</v>
      </c>
      <c r="B1095" s="182">
        <v>30</v>
      </c>
    </row>
    <row r="1096" spans="1:2" x14ac:dyDescent="0.2">
      <c r="A1096" s="181">
        <v>96</v>
      </c>
      <c r="B1096" s="182">
        <v>30</v>
      </c>
    </row>
    <row r="1097" spans="1:2" x14ac:dyDescent="0.2">
      <c r="A1097" s="181">
        <v>320</v>
      </c>
      <c r="B1097" s="182">
        <v>30</v>
      </c>
    </row>
    <row r="1098" spans="1:2" x14ac:dyDescent="0.2">
      <c r="A1098" s="180" t="s">
        <v>586</v>
      </c>
      <c r="B1098" s="182">
        <v>75</v>
      </c>
    </row>
    <row r="1099" spans="1:2" x14ac:dyDescent="0.2">
      <c r="A1099" s="181">
        <v>53</v>
      </c>
      <c r="B1099" s="182">
        <v>25</v>
      </c>
    </row>
    <row r="1100" spans="1:2" x14ac:dyDescent="0.2">
      <c r="A1100" s="181">
        <v>96</v>
      </c>
      <c r="B1100" s="182">
        <v>25</v>
      </c>
    </row>
    <row r="1101" spans="1:2" x14ac:dyDescent="0.2">
      <c r="A1101" s="181">
        <v>106</v>
      </c>
      <c r="B1101" s="182">
        <v>25</v>
      </c>
    </row>
    <row r="1102" spans="1:2" x14ac:dyDescent="0.2">
      <c r="A1102" s="180" t="s">
        <v>396</v>
      </c>
      <c r="B1102" s="182">
        <v>120</v>
      </c>
    </row>
    <row r="1103" spans="1:2" x14ac:dyDescent="0.2">
      <c r="A1103" s="181">
        <v>96</v>
      </c>
      <c r="B1103" s="182">
        <v>25</v>
      </c>
    </row>
    <row r="1104" spans="1:2" x14ac:dyDescent="0.2">
      <c r="A1104" s="181">
        <v>106</v>
      </c>
      <c r="B1104" s="182">
        <v>25</v>
      </c>
    </row>
    <row r="1105" spans="1:2" x14ac:dyDescent="0.2">
      <c r="A1105" s="181">
        <v>186</v>
      </c>
      <c r="B1105" s="182">
        <v>70</v>
      </c>
    </row>
    <row r="1106" spans="1:2" x14ac:dyDescent="0.2">
      <c r="A1106" s="180" t="s">
        <v>399</v>
      </c>
      <c r="B1106" s="182">
        <v>325</v>
      </c>
    </row>
    <row r="1107" spans="1:2" x14ac:dyDescent="0.2">
      <c r="A1107" s="181">
        <v>106</v>
      </c>
      <c r="B1107" s="182">
        <v>65</v>
      </c>
    </row>
    <row r="1108" spans="1:2" x14ac:dyDescent="0.2">
      <c r="A1108" s="181">
        <v>186</v>
      </c>
      <c r="B1108" s="182">
        <v>200</v>
      </c>
    </row>
    <row r="1109" spans="1:2" x14ac:dyDescent="0.2">
      <c r="A1109" s="181">
        <v>242</v>
      </c>
      <c r="B1109" s="182">
        <v>60</v>
      </c>
    </row>
    <row r="1110" spans="1:2" x14ac:dyDescent="0.2">
      <c r="A1110" s="180" t="s">
        <v>285</v>
      </c>
      <c r="B1110" s="182">
        <v>90</v>
      </c>
    </row>
    <row r="1111" spans="1:2" x14ac:dyDescent="0.2">
      <c r="A1111" s="181">
        <v>52</v>
      </c>
      <c r="B1111" s="182">
        <v>90</v>
      </c>
    </row>
    <row r="1112" spans="1:2" x14ac:dyDescent="0.2">
      <c r="A1112" s="180" t="s">
        <v>289</v>
      </c>
      <c r="B1112" s="182">
        <v>255</v>
      </c>
    </row>
    <row r="1113" spans="1:2" x14ac:dyDescent="0.2">
      <c r="A1113" s="181">
        <v>52</v>
      </c>
      <c r="B1113" s="182">
        <v>195</v>
      </c>
    </row>
    <row r="1114" spans="1:2" x14ac:dyDescent="0.2">
      <c r="A1114" s="181">
        <v>242</v>
      </c>
      <c r="B1114" s="182">
        <v>60</v>
      </c>
    </row>
    <row r="1115" spans="1:2" x14ac:dyDescent="0.2">
      <c r="A1115" s="180" t="s">
        <v>274</v>
      </c>
      <c r="B1115" s="182">
        <v>90</v>
      </c>
    </row>
    <row r="1116" spans="1:2" x14ac:dyDescent="0.2">
      <c r="A1116" s="181">
        <v>52</v>
      </c>
      <c r="B1116" s="182">
        <v>90</v>
      </c>
    </row>
    <row r="1117" spans="1:2" x14ac:dyDescent="0.2">
      <c r="A1117" s="180" t="s">
        <v>340</v>
      </c>
      <c r="B1117" s="182">
        <v>100</v>
      </c>
    </row>
    <row r="1118" spans="1:2" x14ac:dyDescent="0.2">
      <c r="A1118" s="181">
        <v>304</v>
      </c>
      <c r="B1118" s="182">
        <v>100</v>
      </c>
    </row>
    <row r="1119" spans="1:2" x14ac:dyDescent="0.2">
      <c r="A1119" s="180" t="s">
        <v>589</v>
      </c>
      <c r="B1119" s="182">
        <v>60</v>
      </c>
    </row>
    <row r="1120" spans="1:2" x14ac:dyDescent="0.2">
      <c r="A1120" s="181">
        <v>17</v>
      </c>
      <c r="B1120" s="182">
        <v>20</v>
      </c>
    </row>
    <row r="1121" spans="1:2" x14ac:dyDescent="0.2">
      <c r="A1121" s="181">
        <v>305</v>
      </c>
      <c r="B1121" s="182">
        <v>40</v>
      </c>
    </row>
    <row r="1122" spans="1:2" x14ac:dyDescent="0.2">
      <c r="A1122" s="180" t="s">
        <v>134</v>
      </c>
      <c r="B1122" s="182">
        <v>345</v>
      </c>
    </row>
    <row r="1123" spans="1:2" x14ac:dyDescent="0.2">
      <c r="A1123" s="181">
        <v>258</v>
      </c>
      <c r="B1123" s="182">
        <v>50</v>
      </c>
    </row>
    <row r="1124" spans="1:2" x14ac:dyDescent="0.2">
      <c r="A1124" s="181">
        <v>259</v>
      </c>
      <c r="B1124" s="182">
        <v>25</v>
      </c>
    </row>
    <row r="1125" spans="1:2" x14ac:dyDescent="0.2">
      <c r="A1125" s="181">
        <v>261</v>
      </c>
      <c r="B1125" s="182">
        <v>75</v>
      </c>
    </row>
    <row r="1126" spans="1:2" x14ac:dyDescent="0.2">
      <c r="A1126" s="181">
        <v>262</v>
      </c>
      <c r="B1126" s="182">
        <v>35</v>
      </c>
    </row>
    <row r="1127" spans="1:2" x14ac:dyDescent="0.2">
      <c r="A1127" s="181">
        <v>263</v>
      </c>
      <c r="B1127" s="182">
        <v>75</v>
      </c>
    </row>
    <row r="1128" spans="1:2" x14ac:dyDescent="0.2">
      <c r="A1128" s="181">
        <v>265</v>
      </c>
      <c r="B1128" s="182">
        <v>60</v>
      </c>
    </row>
    <row r="1129" spans="1:2" x14ac:dyDescent="0.2">
      <c r="A1129" s="181">
        <v>305</v>
      </c>
      <c r="B1129" s="182">
        <v>25</v>
      </c>
    </row>
    <row r="1130" spans="1:2" x14ac:dyDescent="0.2">
      <c r="A1130" s="180" t="s">
        <v>8</v>
      </c>
      <c r="B1130" s="182">
        <v>70</v>
      </c>
    </row>
    <row r="1131" spans="1:2" x14ac:dyDescent="0.2">
      <c r="A1131" s="181">
        <v>17</v>
      </c>
      <c r="B1131" s="182">
        <v>20</v>
      </c>
    </row>
    <row r="1132" spans="1:2" x14ac:dyDescent="0.2">
      <c r="A1132" s="181">
        <v>258</v>
      </c>
      <c r="B1132" s="182">
        <v>50</v>
      </c>
    </row>
    <row r="1133" spans="1:2" x14ac:dyDescent="0.2">
      <c r="A1133" s="180" t="s">
        <v>564</v>
      </c>
      <c r="B1133" s="182">
        <v>50</v>
      </c>
    </row>
    <row r="1134" spans="1:2" x14ac:dyDescent="0.2">
      <c r="A1134" s="181">
        <v>259</v>
      </c>
      <c r="B1134" s="182">
        <v>50</v>
      </c>
    </row>
    <row r="1135" spans="1:2" x14ac:dyDescent="0.2">
      <c r="A1135" s="180" t="s">
        <v>388</v>
      </c>
      <c r="B1135" s="182">
        <v>60</v>
      </c>
    </row>
    <row r="1136" spans="1:2" x14ac:dyDescent="0.2">
      <c r="A1136" s="181">
        <v>17</v>
      </c>
      <c r="B1136" s="182">
        <v>10</v>
      </c>
    </row>
    <row r="1137" spans="1:2" x14ac:dyDescent="0.2">
      <c r="A1137" s="181">
        <v>259</v>
      </c>
      <c r="B1137" s="182">
        <v>50</v>
      </c>
    </row>
    <row r="1138" spans="1:2" x14ac:dyDescent="0.2">
      <c r="A1138" s="180" t="s">
        <v>80</v>
      </c>
      <c r="B1138" s="182">
        <v>50</v>
      </c>
    </row>
    <row r="1139" spans="1:2" x14ac:dyDescent="0.2">
      <c r="A1139" s="181">
        <v>259</v>
      </c>
      <c r="B1139" s="182">
        <v>50</v>
      </c>
    </row>
    <row r="1140" spans="1:2" x14ac:dyDescent="0.2">
      <c r="A1140" s="180" t="s">
        <v>231</v>
      </c>
      <c r="B1140" s="182">
        <v>60</v>
      </c>
    </row>
    <row r="1141" spans="1:2" x14ac:dyDescent="0.2">
      <c r="A1141" s="181">
        <v>17</v>
      </c>
      <c r="B1141" s="182">
        <v>10</v>
      </c>
    </row>
    <row r="1142" spans="1:2" x14ac:dyDescent="0.2">
      <c r="A1142" s="181">
        <v>261</v>
      </c>
      <c r="B1142" s="182">
        <v>50</v>
      </c>
    </row>
    <row r="1143" spans="1:2" x14ac:dyDescent="0.2">
      <c r="A1143" s="180" t="s">
        <v>136</v>
      </c>
      <c r="B1143" s="182">
        <v>118</v>
      </c>
    </row>
    <row r="1144" spans="1:2" x14ac:dyDescent="0.2">
      <c r="A1144" s="181">
        <v>17</v>
      </c>
      <c r="B1144" s="182">
        <v>23</v>
      </c>
    </row>
    <row r="1145" spans="1:2" x14ac:dyDescent="0.2">
      <c r="A1145" s="181">
        <v>174</v>
      </c>
      <c r="B1145" s="182">
        <v>76</v>
      </c>
    </row>
    <row r="1146" spans="1:2" x14ac:dyDescent="0.2">
      <c r="A1146" s="181">
        <v>258</v>
      </c>
      <c r="B1146" s="182">
        <v>19</v>
      </c>
    </row>
    <row r="1147" spans="1:2" x14ac:dyDescent="0.2">
      <c r="A1147" s="180" t="s">
        <v>75</v>
      </c>
      <c r="B1147" s="182">
        <v>20</v>
      </c>
    </row>
    <row r="1148" spans="1:2" x14ac:dyDescent="0.2">
      <c r="A1148" s="181">
        <v>180</v>
      </c>
      <c r="B1148" s="182">
        <v>20</v>
      </c>
    </row>
    <row r="1149" spans="1:2" x14ac:dyDescent="0.2">
      <c r="A1149" s="180" t="s">
        <v>337</v>
      </c>
      <c r="B1149" s="182">
        <v>100</v>
      </c>
    </row>
    <row r="1150" spans="1:2" x14ac:dyDescent="0.2">
      <c r="A1150" s="181">
        <v>114</v>
      </c>
      <c r="B1150" s="182">
        <v>10</v>
      </c>
    </row>
    <row r="1151" spans="1:2" x14ac:dyDescent="0.2">
      <c r="A1151" s="181">
        <v>263</v>
      </c>
      <c r="B1151" s="182">
        <v>90</v>
      </c>
    </row>
    <row r="1152" spans="1:2" x14ac:dyDescent="0.2">
      <c r="A1152" s="180" t="s">
        <v>181</v>
      </c>
      <c r="B1152" s="182">
        <v>76.599999999999994</v>
      </c>
    </row>
    <row r="1153" spans="1:2" x14ac:dyDescent="0.2">
      <c r="A1153" s="181">
        <v>17</v>
      </c>
      <c r="B1153" s="182">
        <v>36.6</v>
      </c>
    </row>
    <row r="1154" spans="1:2" x14ac:dyDescent="0.2">
      <c r="A1154" s="181">
        <v>265</v>
      </c>
      <c r="B1154" s="182">
        <v>40</v>
      </c>
    </row>
    <row r="1155" spans="1:2" x14ac:dyDescent="0.2">
      <c r="A1155" s="180" t="s">
        <v>449</v>
      </c>
      <c r="B1155" s="182">
        <v>40</v>
      </c>
    </row>
    <row r="1156" spans="1:2" x14ac:dyDescent="0.2">
      <c r="A1156" s="181">
        <v>265</v>
      </c>
      <c r="B1156" s="182">
        <v>40</v>
      </c>
    </row>
    <row r="1157" spans="1:2" x14ac:dyDescent="0.2">
      <c r="A1157" s="180" t="s">
        <v>174</v>
      </c>
      <c r="B1157" s="182">
        <v>40</v>
      </c>
    </row>
    <row r="1158" spans="1:2" x14ac:dyDescent="0.2">
      <c r="A1158" s="181">
        <v>265</v>
      </c>
      <c r="B1158" s="182">
        <v>40</v>
      </c>
    </row>
    <row r="1159" spans="1:2" x14ac:dyDescent="0.2">
      <c r="A1159" s="180" t="s">
        <v>252</v>
      </c>
      <c r="B1159" s="182">
        <v>65</v>
      </c>
    </row>
    <row r="1160" spans="1:2" x14ac:dyDescent="0.2">
      <c r="A1160" s="181">
        <v>17</v>
      </c>
      <c r="B1160" s="182">
        <v>10</v>
      </c>
    </row>
    <row r="1161" spans="1:2" x14ac:dyDescent="0.2">
      <c r="A1161" s="181">
        <v>262</v>
      </c>
      <c r="B1161" s="182">
        <v>35</v>
      </c>
    </row>
    <row r="1162" spans="1:2" x14ac:dyDescent="0.2">
      <c r="A1162" s="181">
        <v>265</v>
      </c>
      <c r="B1162" s="182">
        <v>20</v>
      </c>
    </row>
    <row r="1163" spans="1:2" x14ac:dyDescent="0.2">
      <c r="A1163" s="180" t="s">
        <v>417</v>
      </c>
      <c r="B1163" s="182">
        <v>100</v>
      </c>
    </row>
    <row r="1164" spans="1:2" x14ac:dyDescent="0.2">
      <c r="A1164" s="181">
        <v>307</v>
      </c>
      <c r="B1164" s="182">
        <v>100</v>
      </c>
    </row>
    <row r="1165" spans="1:2" x14ac:dyDescent="0.2">
      <c r="A1165" s="180" t="s">
        <v>323</v>
      </c>
      <c r="B1165" s="182">
        <v>50</v>
      </c>
    </row>
    <row r="1166" spans="1:2" x14ac:dyDescent="0.2">
      <c r="A1166" s="181">
        <v>246</v>
      </c>
      <c r="B1166" s="182">
        <v>25</v>
      </c>
    </row>
    <row r="1167" spans="1:2" x14ac:dyDescent="0.2">
      <c r="A1167" s="181">
        <v>313</v>
      </c>
      <c r="B1167" s="182">
        <v>25</v>
      </c>
    </row>
    <row r="1168" spans="1:2" x14ac:dyDescent="0.2">
      <c r="A1168" s="180" t="s">
        <v>393</v>
      </c>
      <c r="B1168" s="182">
        <v>50</v>
      </c>
    </row>
    <row r="1169" spans="1:2" x14ac:dyDescent="0.2">
      <c r="A1169" s="181">
        <v>313</v>
      </c>
      <c r="B1169" s="182">
        <v>50</v>
      </c>
    </row>
    <row r="1170" spans="1:2" x14ac:dyDescent="0.2">
      <c r="A1170" s="180" t="s">
        <v>281</v>
      </c>
      <c r="B1170" s="182">
        <v>200</v>
      </c>
    </row>
    <row r="1171" spans="1:2" x14ac:dyDescent="0.2">
      <c r="A1171" s="181">
        <v>317</v>
      </c>
      <c r="B1171" s="182">
        <v>100</v>
      </c>
    </row>
    <row r="1172" spans="1:2" x14ac:dyDescent="0.2">
      <c r="A1172" s="181">
        <v>318</v>
      </c>
      <c r="B1172" s="182">
        <v>100</v>
      </c>
    </row>
    <row r="1173" spans="1:2" x14ac:dyDescent="0.2">
      <c r="A1173" s="180" t="s">
        <v>186</v>
      </c>
      <c r="B1173" s="182">
        <v>100</v>
      </c>
    </row>
    <row r="1174" spans="1:2" x14ac:dyDescent="0.2">
      <c r="A1174" s="181">
        <v>318</v>
      </c>
      <c r="B1174" s="182">
        <v>100</v>
      </c>
    </row>
    <row r="1175" spans="1:2" x14ac:dyDescent="0.2">
      <c r="A1175" s="180" t="s">
        <v>36</v>
      </c>
      <c r="B1175" s="182">
        <v>8</v>
      </c>
    </row>
    <row r="1176" spans="1:2" x14ac:dyDescent="0.2">
      <c r="A1176" s="181">
        <v>321</v>
      </c>
      <c r="B1176" s="182">
        <v>8</v>
      </c>
    </row>
    <row r="1177" spans="1:2" x14ac:dyDescent="0.2">
      <c r="A1177" s="180" t="s">
        <v>346</v>
      </c>
      <c r="B1177" s="182">
        <v>160</v>
      </c>
    </row>
    <row r="1178" spans="1:2" x14ac:dyDescent="0.2">
      <c r="A1178" s="181">
        <v>10</v>
      </c>
      <c r="B1178" s="182">
        <v>50</v>
      </c>
    </row>
    <row r="1179" spans="1:2" x14ac:dyDescent="0.2">
      <c r="A1179" s="181">
        <v>136</v>
      </c>
      <c r="B1179" s="182">
        <v>80</v>
      </c>
    </row>
    <row r="1180" spans="1:2" x14ac:dyDescent="0.2">
      <c r="A1180" s="181">
        <v>199</v>
      </c>
      <c r="B1180" s="182">
        <v>5</v>
      </c>
    </row>
    <row r="1181" spans="1:2" x14ac:dyDescent="0.2">
      <c r="A1181" s="181">
        <v>223</v>
      </c>
      <c r="B1181" s="182">
        <v>25</v>
      </c>
    </row>
    <row r="1182" spans="1:2" x14ac:dyDescent="0.2">
      <c r="A1182" s="180" t="s">
        <v>454</v>
      </c>
      <c r="B1182" s="182">
        <v>95</v>
      </c>
    </row>
    <row r="1183" spans="1:2" x14ac:dyDescent="0.2">
      <c r="A1183" s="181">
        <v>111</v>
      </c>
      <c r="B1183" s="182">
        <v>15</v>
      </c>
    </row>
    <row r="1184" spans="1:2" x14ac:dyDescent="0.2">
      <c r="A1184" s="181">
        <v>136</v>
      </c>
      <c r="B1184" s="182">
        <v>55</v>
      </c>
    </row>
    <row r="1185" spans="1:2" x14ac:dyDescent="0.2">
      <c r="A1185" s="181">
        <v>320</v>
      </c>
      <c r="B1185" s="182">
        <v>25</v>
      </c>
    </row>
    <row r="1186" spans="1:2" x14ac:dyDescent="0.2">
      <c r="A1186" s="180" t="s">
        <v>437</v>
      </c>
      <c r="B1186" s="182">
        <v>95</v>
      </c>
    </row>
    <row r="1187" spans="1:2" x14ac:dyDescent="0.2">
      <c r="A1187" s="181">
        <v>136</v>
      </c>
      <c r="B1187" s="182">
        <v>50</v>
      </c>
    </row>
    <row r="1188" spans="1:2" x14ac:dyDescent="0.2">
      <c r="A1188" s="181">
        <v>182</v>
      </c>
      <c r="B1188" s="182">
        <v>10</v>
      </c>
    </row>
    <row r="1189" spans="1:2" x14ac:dyDescent="0.2">
      <c r="A1189" s="181">
        <v>223</v>
      </c>
      <c r="B1189" s="182">
        <v>15</v>
      </c>
    </row>
    <row r="1190" spans="1:2" x14ac:dyDescent="0.2">
      <c r="A1190" s="181">
        <v>320</v>
      </c>
      <c r="B1190" s="182">
        <v>20</v>
      </c>
    </row>
    <row r="1191" spans="1:2" x14ac:dyDescent="0.2">
      <c r="A1191" s="180" t="s">
        <v>445</v>
      </c>
      <c r="B1191" s="182">
        <v>175</v>
      </c>
    </row>
    <row r="1192" spans="1:2" x14ac:dyDescent="0.2">
      <c r="A1192" s="181">
        <v>136</v>
      </c>
      <c r="B1192" s="182">
        <v>105</v>
      </c>
    </row>
    <row r="1193" spans="1:2" x14ac:dyDescent="0.2">
      <c r="A1193" s="181">
        <v>199</v>
      </c>
      <c r="B1193" s="182">
        <v>5</v>
      </c>
    </row>
    <row r="1194" spans="1:2" x14ac:dyDescent="0.2">
      <c r="A1194" s="181">
        <v>223</v>
      </c>
      <c r="B1194" s="182">
        <v>25</v>
      </c>
    </row>
    <row r="1195" spans="1:2" x14ac:dyDescent="0.2">
      <c r="A1195" s="181">
        <v>320</v>
      </c>
      <c r="B1195" s="182">
        <v>40</v>
      </c>
    </row>
    <row r="1196" spans="1:2" x14ac:dyDescent="0.2">
      <c r="A1196" s="180" t="s">
        <v>130</v>
      </c>
      <c r="B1196" s="182">
        <v>175</v>
      </c>
    </row>
    <row r="1197" spans="1:2" x14ac:dyDescent="0.2">
      <c r="A1197" s="181">
        <v>39</v>
      </c>
      <c r="B1197" s="182">
        <v>20</v>
      </c>
    </row>
    <row r="1198" spans="1:2" x14ac:dyDescent="0.2">
      <c r="A1198" s="181">
        <v>177</v>
      </c>
      <c r="B1198" s="182">
        <v>100</v>
      </c>
    </row>
    <row r="1199" spans="1:2" x14ac:dyDescent="0.2">
      <c r="A1199" s="181">
        <v>260</v>
      </c>
      <c r="B1199" s="182">
        <v>50</v>
      </c>
    </row>
    <row r="1200" spans="1:2" x14ac:dyDescent="0.2">
      <c r="A1200" s="181">
        <v>309</v>
      </c>
      <c r="B1200" s="182">
        <v>5</v>
      </c>
    </row>
    <row r="1201" spans="1:2" x14ac:dyDescent="0.2">
      <c r="A1201" s="180" t="s">
        <v>355</v>
      </c>
      <c r="B1201" s="182">
        <v>75</v>
      </c>
    </row>
    <row r="1202" spans="1:2" x14ac:dyDescent="0.2">
      <c r="A1202" s="181">
        <v>17</v>
      </c>
      <c r="B1202" s="182">
        <v>5</v>
      </c>
    </row>
    <row r="1203" spans="1:2" x14ac:dyDescent="0.2">
      <c r="A1203" s="181">
        <v>179</v>
      </c>
      <c r="B1203" s="182">
        <v>20</v>
      </c>
    </row>
    <row r="1204" spans="1:2" x14ac:dyDescent="0.2">
      <c r="A1204" s="181">
        <v>263</v>
      </c>
      <c r="B1204" s="182">
        <v>50</v>
      </c>
    </row>
    <row r="1205" spans="1:2" x14ac:dyDescent="0.2">
      <c r="A1205" s="180" t="s">
        <v>61</v>
      </c>
      <c r="B1205" s="182">
        <v>90</v>
      </c>
    </row>
    <row r="1206" spans="1:2" x14ac:dyDescent="0.2">
      <c r="A1206" s="181">
        <v>17</v>
      </c>
      <c r="B1206" s="182">
        <v>10</v>
      </c>
    </row>
    <row r="1207" spans="1:2" x14ac:dyDescent="0.2">
      <c r="A1207" s="181">
        <v>138</v>
      </c>
      <c r="B1207" s="182">
        <v>10</v>
      </c>
    </row>
    <row r="1208" spans="1:2" x14ac:dyDescent="0.2">
      <c r="A1208" s="181">
        <v>179</v>
      </c>
      <c r="B1208" s="182">
        <v>20</v>
      </c>
    </row>
    <row r="1209" spans="1:2" x14ac:dyDescent="0.2">
      <c r="A1209" s="181">
        <v>264</v>
      </c>
      <c r="B1209" s="182">
        <v>50</v>
      </c>
    </row>
    <row r="1210" spans="1:2" x14ac:dyDescent="0.2">
      <c r="A1210" s="180" t="s">
        <v>119</v>
      </c>
      <c r="B1210" s="182">
        <v>320</v>
      </c>
    </row>
    <row r="1211" spans="1:2" x14ac:dyDescent="0.2">
      <c r="A1211" s="181">
        <v>323</v>
      </c>
      <c r="B1211" s="182">
        <v>320</v>
      </c>
    </row>
    <row r="1212" spans="1:2" x14ac:dyDescent="0.2">
      <c r="A1212" s="180" t="s">
        <v>735</v>
      </c>
      <c r="B1212" s="182">
        <v>56733.7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C03C2-C8EF-48B7-B369-EE56A1707D0A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92D8-ED91-43F8-80BA-448C15AEB504}">
  <dimension ref="A1:B410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RowHeight="12.75" x14ac:dyDescent="0.2"/>
  <cols>
    <col min="2" max="2" width="68.28515625" bestFit="1" customWidth="1"/>
  </cols>
  <sheetData>
    <row r="1" spans="1:2" x14ac:dyDescent="0.2">
      <c r="A1" t="s">
        <v>594</v>
      </c>
      <c r="B1" t="s">
        <v>709</v>
      </c>
    </row>
    <row r="2" spans="1:2" x14ac:dyDescent="0.2">
      <c r="A2">
        <v>39</v>
      </c>
      <c r="B2" t="s">
        <v>184</v>
      </c>
    </row>
    <row r="3" spans="1:2" x14ac:dyDescent="0.2">
      <c r="A3">
        <v>40</v>
      </c>
      <c r="B3" t="s">
        <v>382</v>
      </c>
    </row>
    <row r="4" spans="1:2" x14ac:dyDescent="0.2">
      <c r="A4">
        <v>41</v>
      </c>
      <c r="B4" t="s">
        <v>284</v>
      </c>
    </row>
    <row r="5" spans="1:2" x14ac:dyDescent="0.2">
      <c r="A5">
        <v>42</v>
      </c>
      <c r="B5" t="s">
        <v>266</v>
      </c>
    </row>
    <row r="6" spans="1:2" x14ac:dyDescent="0.2">
      <c r="A6">
        <v>43</v>
      </c>
      <c r="B6" t="s">
        <v>260</v>
      </c>
    </row>
    <row r="7" spans="1:2" x14ac:dyDescent="0.2">
      <c r="A7">
        <v>44</v>
      </c>
      <c r="B7" t="s">
        <v>279</v>
      </c>
    </row>
    <row r="8" spans="1:2" x14ac:dyDescent="0.2">
      <c r="A8">
        <v>45</v>
      </c>
      <c r="B8" t="s">
        <v>161</v>
      </c>
    </row>
    <row r="9" spans="1:2" x14ac:dyDescent="0.2">
      <c r="A9">
        <v>46</v>
      </c>
      <c r="B9" t="s">
        <v>383</v>
      </c>
    </row>
    <row r="10" spans="1:2" x14ac:dyDescent="0.2">
      <c r="A10">
        <v>47</v>
      </c>
      <c r="B10" t="s">
        <v>552</v>
      </c>
    </row>
    <row r="11" spans="1:2" x14ac:dyDescent="0.2">
      <c r="A11">
        <v>48</v>
      </c>
      <c r="B11" t="s">
        <v>556</v>
      </c>
    </row>
    <row r="12" spans="1:2" x14ac:dyDescent="0.2">
      <c r="A12">
        <v>49</v>
      </c>
      <c r="B12" t="s">
        <v>416</v>
      </c>
    </row>
    <row r="13" spans="1:2" x14ac:dyDescent="0.2">
      <c r="A13">
        <v>50</v>
      </c>
      <c r="B13" t="s">
        <v>229</v>
      </c>
    </row>
    <row r="14" spans="1:2" x14ac:dyDescent="0.2">
      <c r="A14">
        <v>51</v>
      </c>
      <c r="B14" t="s">
        <v>298</v>
      </c>
    </row>
    <row r="15" spans="1:2" x14ac:dyDescent="0.2">
      <c r="A15">
        <v>52</v>
      </c>
      <c r="B15" t="s">
        <v>311</v>
      </c>
    </row>
    <row r="16" spans="1:2" x14ac:dyDescent="0.2">
      <c r="A16">
        <v>53</v>
      </c>
      <c r="B16" t="s">
        <v>503</v>
      </c>
    </row>
    <row r="17" spans="1:2" x14ac:dyDescent="0.2">
      <c r="A17">
        <v>54</v>
      </c>
      <c r="B17" t="s">
        <v>243</v>
      </c>
    </row>
    <row r="18" spans="1:2" x14ac:dyDescent="0.2">
      <c r="A18">
        <v>55</v>
      </c>
      <c r="B18" t="s">
        <v>77</v>
      </c>
    </row>
    <row r="19" spans="1:2" x14ac:dyDescent="0.2">
      <c r="A19">
        <v>56</v>
      </c>
      <c r="B19" t="s">
        <v>273</v>
      </c>
    </row>
    <row r="20" spans="1:2" x14ac:dyDescent="0.2">
      <c r="A20">
        <v>57</v>
      </c>
      <c r="B20" t="s">
        <v>182</v>
      </c>
    </row>
    <row r="21" spans="1:2" x14ac:dyDescent="0.2">
      <c r="A21">
        <v>58</v>
      </c>
      <c r="B21" t="s">
        <v>225</v>
      </c>
    </row>
    <row r="22" spans="1:2" x14ac:dyDescent="0.2">
      <c r="A22">
        <v>59</v>
      </c>
      <c r="B22" t="s">
        <v>366</v>
      </c>
    </row>
    <row r="23" spans="1:2" x14ac:dyDescent="0.2">
      <c r="A23">
        <v>60</v>
      </c>
      <c r="B23" t="s">
        <v>401</v>
      </c>
    </row>
    <row r="24" spans="1:2" x14ac:dyDescent="0.2">
      <c r="A24">
        <v>61</v>
      </c>
      <c r="B24" t="s">
        <v>494</v>
      </c>
    </row>
    <row r="25" spans="1:2" x14ac:dyDescent="0.2">
      <c r="A25">
        <v>62</v>
      </c>
      <c r="B25" t="s">
        <v>422</v>
      </c>
    </row>
    <row r="26" spans="1:2" x14ac:dyDescent="0.2">
      <c r="A26">
        <v>63</v>
      </c>
      <c r="B26" t="s">
        <v>207</v>
      </c>
    </row>
    <row r="27" spans="1:2" x14ac:dyDescent="0.2">
      <c r="A27">
        <v>64</v>
      </c>
      <c r="B27" t="s">
        <v>473</v>
      </c>
    </row>
    <row r="28" spans="1:2" x14ac:dyDescent="0.2">
      <c r="A28">
        <v>65</v>
      </c>
      <c r="B28" t="s">
        <v>424</v>
      </c>
    </row>
    <row r="29" spans="1:2" x14ac:dyDescent="0.2">
      <c r="A29">
        <v>66</v>
      </c>
      <c r="B29" t="s">
        <v>106</v>
      </c>
    </row>
    <row r="30" spans="1:2" x14ac:dyDescent="0.2">
      <c r="A30">
        <v>67</v>
      </c>
      <c r="B30" t="s">
        <v>395</v>
      </c>
    </row>
    <row r="31" spans="1:2" x14ac:dyDescent="0.2">
      <c r="A31">
        <v>68</v>
      </c>
      <c r="B31" t="s">
        <v>283</v>
      </c>
    </row>
    <row r="32" spans="1:2" x14ac:dyDescent="0.2">
      <c r="A32">
        <v>69</v>
      </c>
      <c r="B32" t="s">
        <v>379</v>
      </c>
    </row>
    <row r="33" spans="1:2" x14ac:dyDescent="0.2">
      <c r="A33">
        <v>70</v>
      </c>
      <c r="B33" t="s">
        <v>390</v>
      </c>
    </row>
    <row r="34" spans="1:2" x14ac:dyDescent="0.2">
      <c r="A34">
        <v>71</v>
      </c>
      <c r="B34" t="s">
        <v>18</v>
      </c>
    </row>
    <row r="35" spans="1:2" x14ac:dyDescent="0.2">
      <c r="A35">
        <v>72</v>
      </c>
      <c r="B35" t="s">
        <v>19</v>
      </c>
    </row>
    <row r="36" spans="1:2" x14ac:dyDescent="0.2">
      <c r="A36">
        <v>73</v>
      </c>
      <c r="B36" t="s">
        <v>527</v>
      </c>
    </row>
    <row r="37" spans="1:2" x14ac:dyDescent="0.2">
      <c r="A37">
        <v>74</v>
      </c>
      <c r="B37" t="s">
        <v>262</v>
      </c>
    </row>
    <row r="38" spans="1:2" x14ac:dyDescent="0.2">
      <c r="A38">
        <v>75</v>
      </c>
      <c r="B38" t="s">
        <v>268</v>
      </c>
    </row>
    <row r="39" spans="1:2" x14ac:dyDescent="0.2">
      <c r="A39">
        <v>76</v>
      </c>
      <c r="B39" t="s">
        <v>515</v>
      </c>
    </row>
    <row r="40" spans="1:2" x14ac:dyDescent="0.2">
      <c r="A40">
        <v>77</v>
      </c>
      <c r="B40" t="s">
        <v>113</v>
      </c>
    </row>
    <row r="41" spans="1:2" x14ac:dyDescent="0.2">
      <c r="A41">
        <v>78</v>
      </c>
      <c r="B41" t="s">
        <v>536</v>
      </c>
    </row>
    <row r="42" spans="1:2" x14ac:dyDescent="0.2">
      <c r="A42">
        <v>79</v>
      </c>
      <c r="B42" t="s">
        <v>534</v>
      </c>
    </row>
    <row r="43" spans="1:2" x14ac:dyDescent="0.2">
      <c r="A43">
        <v>80</v>
      </c>
      <c r="B43" t="s">
        <v>35</v>
      </c>
    </row>
    <row r="44" spans="1:2" x14ac:dyDescent="0.2">
      <c r="A44">
        <v>81</v>
      </c>
      <c r="B44" t="s">
        <v>183</v>
      </c>
    </row>
    <row r="45" spans="1:2" x14ac:dyDescent="0.2">
      <c r="A45">
        <v>82</v>
      </c>
      <c r="B45" t="s">
        <v>460</v>
      </c>
    </row>
    <row r="46" spans="1:2" x14ac:dyDescent="0.2">
      <c r="A46">
        <v>83</v>
      </c>
      <c r="B46" t="s">
        <v>156</v>
      </c>
    </row>
    <row r="47" spans="1:2" x14ac:dyDescent="0.2">
      <c r="A47">
        <v>84</v>
      </c>
      <c r="B47" t="s">
        <v>70</v>
      </c>
    </row>
    <row r="48" spans="1:2" x14ac:dyDescent="0.2">
      <c r="A48">
        <v>85</v>
      </c>
      <c r="B48" t="s">
        <v>486</v>
      </c>
    </row>
    <row r="49" spans="1:2" x14ac:dyDescent="0.2">
      <c r="A49">
        <v>86</v>
      </c>
      <c r="B49" t="s">
        <v>319</v>
      </c>
    </row>
    <row r="50" spans="1:2" x14ac:dyDescent="0.2">
      <c r="A50">
        <v>87</v>
      </c>
      <c r="B50" t="s">
        <v>318</v>
      </c>
    </row>
    <row r="51" spans="1:2" x14ac:dyDescent="0.2">
      <c r="A51">
        <v>88</v>
      </c>
      <c r="B51" t="s">
        <v>169</v>
      </c>
    </row>
    <row r="52" spans="1:2" x14ac:dyDescent="0.2">
      <c r="A52">
        <v>89</v>
      </c>
      <c r="B52" t="s">
        <v>419</v>
      </c>
    </row>
    <row r="53" spans="1:2" x14ac:dyDescent="0.2">
      <c r="A53">
        <v>90</v>
      </c>
      <c r="B53" t="s">
        <v>65</v>
      </c>
    </row>
    <row r="54" spans="1:2" x14ac:dyDescent="0.2">
      <c r="A54">
        <v>91</v>
      </c>
      <c r="B54" t="s">
        <v>317</v>
      </c>
    </row>
    <row r="55" spans="1:2" x14ac:dyDescent="0.2">
      <c r="A55">
        <v>92</v>
      </c>
      <c r="B55" t="s">
        <v>476</v>
      </c>
    </row>
    <row r="56" spans="1:2" x14ac:dyDescent="0.2">
      <c r="A56">
        <v>93</v>
      </c>
      <c r="B56" t="s">
        <v>493</v>
      </c>
    </row>
    <row r="57" spans="1:2" x14ac:dyDescent="0.2">
      <c r="A57">
        <v>94</v>
      </c>
      <c r="B57" t="s">
        <v>140</v>
      </c>
    </row>
    <row r="58" spans="1:2" x14ac:dyDescent="0.2">
      <c r="A58">
        <v>95</v>
      </c>
      <c r="B58" t="s">
        <v>159</v>
      </c>
    </row>
    <row r="59" spans="1:2" x14ac:dyDescent="0.2">
      <c r="A59">
        <v>96</v>
      </c>
      <c r="B59" t="s">
        <v>350</v>
      </c>
    </row>
    <row r="60" spans="1:2" x14ac:dyDescent="0.2">
      <c r="A60">
        <v>97</v>
      </c>
      <c r="B60" t="s">
        <v>525</v>
      </c>
    </row>
    <row r="61" spans="1:2" x14ac:dyDescent="0.2">
      <c r="A61">
        <v>98</v>
      </c>
      <c r="B61" t="s">
        <v>516</v>
      </c>
    </row>
    <row r="62" spans="1:2" x14ac:dyDescent="0.2">
      <c r="A62">
        <v>99</v>
      </c>
      <c r="B62" t="s">
        <v>540</v>
      </c>
    </row>
    <row r="63" spans="1:2" x14ac:dyDescent="0.2">
      <c r="A63">
        <v>100</v>
      </c>
      <c r="B63" t="s">
        <v>271</v>
      </c>
    </row>
    <row r="64" spans="1:2" x14ac:dyDescent="0.2">
      <c r="A64">
        <v>101</v>
      </c>
      <c r="B64" t="s">
        <v>385</v>
      </c>
    </row>
    <row r="65" spans="1:2" x14ac:dyDescent="0.2">
      <c r="A65">
        <v>102</v>
      </c>
      <c r="B65" t="s">
        <v>378</v>
      </c>
    </row>
    <row r="66" spans="1:2" x14ac:dyDescent="0.2">
      <c r="A66">
        <v>103</v>
      </c>
      <c r="B66" t="s">
        <v>541</v>
      </c>
    </row>
    <row r="67" spans="1:2" x14ac:dyDescent="0.2">
      <c r="A67">
        <v>104</v>
      </c>
      <c r="B67" t="s">
        <v>146</v>
      </c>
    </row>
    <row r="68" spans="1:2" x14ac:dyDescent="0.2">
      <c r="A68">
        <v>105</v>
      </c>
      <c r="B68" t="s">
        <v>436</v>
      </c>
    </row>
    <row r="69" spans="1:2" x14ac:dyDescent="0.2">
      <c r="A69">
        <v>106</v>
      </c>
      <c r="B69" t="s">
        <v>238</v>
      </c>
    </row>
    <row r="70" spans="1:2" x14ac:dyDescent="0.2">
      <c r="A70">
        <v>107</v>
      </c>
      <c r="B70" t="s">
        <v>71</v>
      </c>
    </row>
    <row r="71" spans="1:2" x14ac:dyDescent="0.2">
      <c r="A71">
        <v>108</v>
      </c>
      <c r="B71" t="s">
        <v>171</v>
      </c>
    </row>
    <row r="72" spans="1:2" x14ac:dyDescent="0.2">
      <c r="A72">
        <v>109</v>
      </c>
      <c r="B72" t="s">
        <v>301</v>
      </c>
    </row>
    <row r="73" spans="1:2" x14ac:dyDescent="0.2">
      <c r="A73">
        <v>110</v>
      </c>
      <c r="B73" t="s">
        <v>509</v>
      </c>
    </row>
    <row r="74" spans="1:2" x14ac:dyDescent="0.2">
      <c r="A74">
        <v>111</v>
      </c>
      <c r="B74" t="s">
        <v>442</v>
      </c>
    </row>
    <row r="75" spans="1:2" x14ac:dyDescent="0.2">
      <c r="A75">
        <v>112</v>
      </c>
      <c r="B75" t="s">
        <v>572</v>
      </c>
    </row>
    <row r="76" spans="1:2" x14ac:dyDescent="0.2">
      <c r="A76">
        <v>113</v>
      </c>
      <c r="B76" t="s">
        <v>558</v>
      </c>
    </row>
    <row r="77" spans="1:2" x14ac:dyDescent="0.2">
      <c r="A77">
        <v>114</v>
      </c>
      <c r="B77" t="s">
        <v>530</v>
      </c>
    </row>
    <row r="78" spans="1:2" x14ac:dyDescent="0.2">
      <c r="A78">
        <v>115</v>
      </c>
      <c r="B78" t="s">
        <v>459</v>
      </c>
    </row>
    <row r="79" spans="1:2" x14ac:dyDescent="0.2">
      <c r="A79">
        <v>116</v>
      </c>
      <c r="B79" t="s">
        <v>14</v>
      </c>
    </row>
    <row r="80" spans="1:2" x14ac:dyDescent="0.2">
      <c r="A80">
        <v>117</v>
      </c>
      <c r="B80" t="s">
        <v>79</v>
      </c>
    </row>
    <row r="81" spans="1:2" x14ac:dyDescent="0.2">
      <c r="A81">
        <v>118</v>
      </c>
      <c r="B81" t="s">
        <v>242</v>
      </c>
    </row>
    <row r="82" spans="1:2" x14ac:dyDescent="0.2">
      <c r="A82">
        <v>119</v>
      </c>
      <c r="B82" t="s">
        <v>367</v>
      </c>
    </row>
    <row r="83" spans="1:2" x14ac:dyDescent="0.2">
      <c r="A83">
        <v>120</v>
      </c>
      <c r="B83" t="s">
        <v>325</v>
      </c>
    </row>
    <row r="84" spans="1:2" x14ac:dyDescent="0.2">
      <c r="A84">
        <v>121</v>
      </c>
      <c r="B84" t="s">
        <v>5</v>
      </c>
    </row>
    <row r="85" spans="1:2" x14ac:dyDescent="0.2">
      <c r="A85">
        <v>122</v>
      </c>
      <c r="B85" t="s">
        <v>89</v>
      </c>
    </row>
    <row r="86" spans="1:2" x14ac:dyDescent="0.2">
      <c r="A86">
        <v>123</v>
      </c>
      <c r="B86" t="s">
        <v>41</v>
      </c>
    </row>
    <row r="87" spans="1:2" x14ac:dyDescent="0.2">
      <c r="A87">
        <v>124</v>
      </c>
      <c r="B87" t="s">
        <v>54</v>
      </c>
    </row>
    <row r="88" spans="1:2" x14ac:dyDescent="0.2">
      <c r="A88">
        <v>125</v>
      </c>
      <c r="B88" t="s">
        <v>241</v>
      </c>
    </row>
    <row r="89" spans="1:2" x14ac:dyDescent="0.2">
      <c r="A89">
        <v>126</v>
      </c>
      <c r="B89" t="s">
        <v>46</v>
      </c>
    </row>
    <row r="90" spans="1:2" x14ac:dyDescent="0.2">
      <c r="A90">
        <v>127</v>
      </c>
      <c r="B90" t="s">
        <v>96</v>
      </c>
    </row>
    <row r="91" spans="1:2" x14ac:dyDescent="0.2">
      <c r="A91">
        <v>128</v>
      </c>
      <c r="B91" t="s">
        <v>464</v>
      </c>
    </row>
    <row r="92" spans="1:2" x14ac:dyDescent="0.2">
      <c r="A92">
        <v>129</v>
      </c>
      <c r="B92" t="s">
        <v>452</v>
      </c>
    </row>
    <row r="93" spans="1:2" x14ac:dyDescent="0.2">
      <c r="A93">
        <v>130</v>
      </c>
      <c r="B93" t="s">
        <v>198</v>
      </c>
    </row>
    <row r="94" spans="1:2" x14ac:dyDescent="0.2">
      <c r="A94">
        <v>131</v>
      </c>
      <c r="B94" t="s">
        <v>250</v>
      </c>
    </row>
    <row r="95" spans="1:2" x14ac:dyDescent="0.2">
      <c r="A95">
        <v>132</v>
      </c>
      <c r="B95" t="s">
        <v>122</v>
      </c>
    </row>
    <row r="96" spans="1:2" x14ac:dyDescent="0.2">
      <c r="A96">
        <v>133</v>
      </c>
      <c r="B96" t="s">
        <v>251</v>
      </c>
    </row>
    <row r="97" spans="1:2" x14ac:dyDescent="0.2">
      <c r="A97">
        <v>134</v>
      </c>
      <c r="B97" t="s">
        <v>328</v>
      </c>
    </row>
    <row r="98" spans="1:2" x14ac:dyDescent="0.2">
      <c r="A98">
        <v>135</v>
      </c>
      <c r="B98" t="s">
        <v>288</v>
      </c>
    </row>
    <row r="99" spans="1:2" x14ac:dyDescent="0.2">
      <c r="A99">
        <v>136</v>
      </c>
      <c r="B99" t="s">
        <v>287</v>
      </c>
    </row>
    <row r="100" spans="1:2" x14ac:dyDescent="0.2">
      <c r="A100">
        <v>137</v>
      </c>
      <c r="B100" t="s">
        <v>292</v>
      </c>
    </row>
    <row r="101" spans="1:2" x14ac:dyDescent="0.2">
      <c r="A101">
        <v>138</v>
      </c>
      <c r="B101" t="s">
        <v>278</v>
      </c>
    </row>
    <row r="102" spans="1:2" x14ac:dyDescent="0.2">
      <c r="A102">
        <v>139</v>
      </c>
      <c r="B102" t="s">
        <v>428</v>
      </c>
    </row>
    <row r="103" spans="1:2" x14ac:dyDescent="0.2">
      <c r="A103">
        <v>140</v>
      </c>
      <c r="B103" t="s">
        <v>430</v>
      </c>
    </row>
    <row r="104" spans="1:2" x14ac:dyDescent="0.2">
      <c r="A104">
        <v>141</v>
      </c>
      <c r="B104" t="s">
        <v>414</v>
      </c>
    </row>
    <row r="105" spans="1:2" x14ac:dyDescent="0.2">
      <c r="A105">
        <v>142</v>
      </c>
      <c r="B105" t="s">
        <v>450</v>
      </c>
    </row>
    <row r="106" spans="1:2" x14ac:dyDescent="0.2">
      <c r="A106">
        <v>143</v>
      </c>
      <c r="B106" t="s">
        <v>42</v>
      </c>
    </row>
    <row r="107" spans="1:2" x14ac:dyDescent="0.2">
      <c r="A107">
        <v>144</v>
      </c>
      <c r="B107" t="s">
        <v>26</v>
      </c>
    </row>
    <row r="108" spans="1:2" x14ac:dyDescent="0.2">
      <c r="A108">
        <v>145</v>
      </c>
      <c r="B108" t="s">
        <v>82</v>
      </c>
    </row>
    <row r="109" spans="1:2" x14ac:dyDescent="0.2">
      <c r="A109">
        <v>146</v>
      </c>
      <c r="B109" t="s">
        <v>117</v>
      </c>
    </row>
    <row r="110" spans="1:2" x14ac:dyDescent="0.2">
      <c r="A110">
        <v>147</v>
      </c>
      <c r="B110" t="s">
        <v>227</v>
      </c>
    </row>
    <row r="111" spans="1:2" x14ac:dyDescent="0.2">
      <c r="A111">
        <v>148</v>
      </c>
      <c r="B111" t="s">
        <v>405</v>
      </c>
    </row>
    <row r="112" spans="1:2" x14ac:dyDescent="0.2">
      <c r="A112">
        <v>149</v>
      </c>
      <c r="B112" t="s">
        <v>138</v>
      </c>
    </row>
    <row r="113" spans="1:2" x14ac:dyDescent="0.2">
      <c r="A113">
        <v>150</v>
      </c>
      <c r="B113" t="s">
        <v>237</v>
      </c>
    </row>
    <row r="114" spans="1:2" x14ac:dyDescent="0.2">
      <c r="A114">
        <v>151</v>
      </c>
      <c r="B114" t="s">
        <v>78</v>
      </c>
    </row>
    <row r="115" spans="1:2" x14ac:dyDescent="0.2">
      <c r="A115">
        <v>152</v>
      </c>
      <c r="B115" t="s">
        <v>550</v>
      </c>
    </row>
    <row r="116" spans="1:2" x14ac:dyDescent="0.2">
      <c r="A116">
        <v>153</v>
      </c>
      <c r="B116" t="s">
        <v>359</v>
      </c>
    </row>
    <row r="117" spans="1:2" x14ac:dyDescent="0.2">
      <c r="A117">
        <v>154</v>
      </c>
      <c r="B117" t="s">
        <v>561</v>
      </c>
    </row>
    <row r="118" spans="1:2" x14ac:dyDescent="0.2">
      <c r="A118">
        <v>155</v>
      </c>
      <c r="B118" t="s">
        <v>23</v>
      </c>
    </row>
    <row r="119" spans="1:2" x14ac:dyDescent="0.2">
      <c r="A119">
        <v>156</v>
      </c>
      <c r="B119" t="s">
        <v>107</v>
      </c>
    </row>
    <row r="120" spans="1:2" x14ac:dyDescent="0.2">
      <c r="A120">
        <v>157</v>
      </c>
      <c r="B120" t="s">
        <v>315</v>
      </c>
    </row>
    <row r="121" spans="1:2" x14ac:dyDescent="0.2">
      <c r="A121">
        <v>158</v>
      </c>
      <c r="B121" t="s">
        <v>351</v>
      </c>
    </row>
    <row r="122" spans="1:2" x14ac:dyDescent="0.2">
      <c r="A122">
        <v>159</v>
      </c>
      <c r="B122" t="s">
        <v>86</v>
      </c>
    </row>
    <row r="123" spans="1:2" x14ac:dyDescent="0.2">
      <c r="A123">
        <v>160</v>
      </c>
      <c r="B123" t="s">
        <v>172</v>
      </c>
    </row>
    <row r="124" spans="1:2" x14ac:dyDescent="0.2">
      <c r="A124">
        <v>161</v>
      </c>
      <c r="B124" t="s">
        <v>73</v>
      </c>
    </row>
    <row r="125" spans="1:2" x14ac:dyDescent="0.2">
      <c r="A125">
        <v>162</v>
      </c>
      <c r="B125" t="s">
        <v>421</v>
      </c>
    </row>
    <row r="126" spans="1:2" x14ac:dyDescent="0.2">
      <c r="A126">
        <v>163</v>
      </c>
      <c r="B126" t="s">
        <v>520</v>
      </c>
    </row>
    <row r="127" spans="1:2" x14ac:dyDescent="0.2">
      <c r="A127">
        <v>164</v>
      </c>
      <c r="B127" t="s">
        <v>526</v>
      </c>
    </row>
    <row r="128" spans="1:2" x14ac:dyDescent="0.2">
      <c r="A128">
        <v>165</v>
      </c>
      <c r="B128" t="s">
        <v>448</v>
      </c>
    </row>
    <row r="129" spans="1:2" x14ac:dyDescent="0.2">
      <c r="A129">
        <v>166</v>
      </c>
      <c r="B129" t="s">
        <v>309</v>
      </c>
    </row>
    <row r="130" spans="1:2" x14ac:dyDescent="0.2">
      <c r="A130">
        <v>167</v>
      </c>
      <c r="B130" t="s">
        <v>491</v>
      </c>
    </row>
    <row r="131" spans="1:2" x14ac:dyDescent="0.2">
      <c r="A131">
        <v>168</v>
      </c>
      <c r="B131" t="s">
        <v>68</v>
      </c>
    </row>
    <row r="132" spans="1:2" x14ac:dyDescent="0.2">
      <c r="A132">
        <v>169</v>
      </c>
      <c r="B132" t="s">
        <v>50</v>
      </c>
    </row>
    <row r="133" spans="1:2" x14ac:dyDescent="0.2">
      <c r="A133">
        <v>170</v>
      </c>
      <c r="B133" t="s">
        <v>305</v>
      </c>
    </row>
    <row r="134" spans="1:2" x14ac:dyDescent="0.2">
      <c r="A134">
        <v>171</v>
      </c>
      <c r="B134" t="s">
        <v>320</v>
      </c>
    </row>
    <row r="135" spans="1:2" x14ac:dyDescent="0.2">
      <c r="A135">
        <v>172</v>
      </c>
      <c r="B135" t="s">
        <v>322</v>
      </c>
    </row>
    <row r="136" spans="1:2" x14ac:dyDescent="0.2">
      <c r="A136">
        <v>173</v>
      </c>
      <c r="B136" t="s">
        <v>505</v>
      </c>
    </row>
    <row r="137" spans="1:2" x14ac:dyDescent="0.2">
      <c r="A137">
        <v>174</v>
      </c>
      <c r="B137" t="s">
        <v>480</v>
      </c>
    </row>
    <row r="138" spans="1:2" x14ac:dyDescent="0.2">
      <c r="A138">
        <v>175</v>
      </c>
      <c r="B138" t="s">
        <v>404</v>
      </c>
    </row>
    <row r="139" spans="1:2" x14ac:dyDescent="0.2">
      <c r="A139">
        <v>176</v>
      </c>
      <c r="B139" t="s">
        <v>97</v>
      </c>
    </row>
    <row r="140" spans="1:2" x14ac:dyDescent="0.2">
      <c r="A140">
        <v>177</v>
      </c>
      <c r="B140" t="s">
        <v>49</v>
      </c>
    </row>
    <row r="141" spans="1:2" x14ac:dyDescent="0.2">
      <c r="A141">
        <v>178</v>
      </c>
      <c r="B141" t="s">
        <v>497</v>
      </c>
    </row>
    <row r="142" spans="1:2" x14ac:dyDescent="0.2">
      <c r="A142">
        <v>179</v>
      </c>
      <c r="B142" t="s">
        <v>331</v>
      </c>
    </row>
    <row r="143" spans="1:2" x14ac:dyDescent="0.2">
      <c r="A143">
        <v>180</v>
      </c>
      <c r="B143" t="s">
        <v>256</v>
      </c>
    </row>
    <row r="144" spans="1:2" x14ac:dyDescent="0.2">
      <c r="A144">
        <v>181</v>
      </c>
      <c r="B144" t="s">
        <v>321</v>
      </c>
    </row>
    <row r="145" spans="1:2" x14ac:dyDescent="0.2">
      <c r="A145">
        <v>182</v>
      </c>
      <c r="B145" t="s">
        <v>307</v>
      </c>
    </row>
    <row r="146" spans="1:2" x14ac:dyDescent="0.2">
      <c r="A146">
        <v>183</v>
      </c>
      <c r="B146" t="s">
        <v>300</v>
      </c>
    </row>
    <row r="147" spans="1:2" x14ac:dyDescent="0.2">
      <c r="A147">
        <v>184</v>
      </c>
      <c r="B147" t="s">
        <v>126</v>
      </c>
    </row>
    <row r="148" spans="1:2" x14ac:dyDescent="0.2">
      <c r="A148">
        <v>185</v>
      </c>
      <c r="B148" t="s">
        <v>551</v>
      </c>
    </row>
    <row r="149" spans="1:2" x14ac:dyDescent="0.2">
      <c r="A149">
        <v>186</v>
      </c>
      <c r="B149" t="s">
        <v>259</v>
      </c>
    </row>
    <row r="150" spans="1:2" x14ac:dyDescent="0.2">
      <c r="A150">
        <v>187</v>
      </c>
      <c r="B150" t="s">
        <v>380</v>
      </c>
    </row>
    <row r="151" spans="1:2" x14ac:dyDescent="0.2">
      <c r="A151">
        <v>188</v>
      </c>
      <c r="B151" t="s">
        <v>489</v>
      </c>
    </row>
    <row r="152" spans="1:2" x14ac:dyDescent="0.2">
      <c r="A152">
        <v>189</v>
      </c>
      <c r="B152" t="s">
        <v>391</v>
      </c>
    </row>
    <row r="153" spans="1:2" x14ac:dyDescent="0.2">
      <c r="A153">
        <v>190</v>
      </c>
      <c r="B153" t="s">
        <v>470</v>
      </c>
    </row>
    <row r="154" spans="1:2" x14ac:dyDescent="0.2">
      <c r="A154">
        <v>191</v>
      </c>
      <c r="B154" t="s">
        <v>446</v>
      </c>
    </row>
    <row r="155" spans="1:2" x14ac:dyDescent="0.2">
      <c r="A155">
        <v>192</v>
      </c>
      <c r="B155" t="s">
        <v>542</v>
      </c>
    </row>
    <row r="156" spans="1:2" x14ac:dyDescent="0.2">
      <c r="A156">
        <v>193</v>
      </c>
      <c r="B156" t="s">
        <v>31</v>
      </c>
    </row>
    <row r="157" spans="1:2" x14ac:dyDescent="0.2">
      <c r="A157">
        <v>194</v>
      </c>
      <c r="B157" t="s">
        <v>557</v>
      </c>
    </row>
    <row r="158" spans="1:2" x14ac:dyDescent="0.2">
      <c r="A158">
        <v>195</v>
      </c>
      <c r="B158" t="s">
        <v>69</v>
      </c>
    </row>
    <row r="159" spans="1:2" x14ac:dyDescent="0.2">
      <c r="A159">
        <v>196</v>
      </c>
      <c r="B159" t="s">
        <v>573</v>
      </c>
    </row>
    <row r="160" spans="1:2" x14ac:dyDescent="0.2">
      <c r="A160">
        <v>197</v>
      </c>
      <c r="B160" t="s">
        <v>510</v>
      </c>
    </row>
    <row r="161" spans="1:2" x14ac:dyDescent="0.2">
      <c r="A161">
        <v>198</v>
      </c>
      <c r="B161" t="s">
        <v>20</v>
      </c>
    </row>
    <row r="162" spans="1:2" x14ac:dyDescent="0.2">
      <c r="A162">
        <v>199</v>
      </c>
      <c r="B162" t="s">
        <v>66</v>
      </c>
    </row>
    <row r="163" spans="1:2" x14ac:dyDescent="0.2">
      <c r="A163">
        <v>200</v>
      </c>
      <c r="B163" t="s">
        <v>357</v>
      </c>
    </row>
    <row r="164" spans="1:2" x14ac:dyDescent="0.2">
      <c r="A164">
        <v>201</v>
      </c>
      <c r="B164" t="s">
        <v>384</v>
      </c>
    </row>
    <row r="165" spans="1:2" x14ac:dyDescent="0.2">
      <c r="A165">
        <v>202</v>
      </c>
      <c r="B165" t="s">
        <v>275</v>
      </c>
    </row>
    <row r="166" spans="1:2" x14ac:dyDescent="0.2">
      <c r="A166">
        <v>203</v>
      </c>
      <c r="B166" t="s">
        <v>264</v>
      </c>
    </row>
    <row r="167" spans="1:2" x14ac:dyDescent="0.2">
      <c r="A167">
        <v>204</v>
      </c>
      <c r="B167" t="s">
        <v>255</v>
      </c>
    </row>
    <row r="168" spans="1:2" x14ac:dyDescent="0.2">
      <c r="A168">
        <v>205</v>
      </c>
      <c r="B168" t="s">
        <v>139</v>
      </c>
    </row>
    <row r="169" spans="1:2" x14ac:dyDescent="0.2">
      <c r="A169">
        <v>206</v>
      </c>
      <c r="B169" t="s">
        <v>177</v>
      </c>
    </row>
    <row r="170" spans="1:2" x14ac:dyDescent="0.2">
      <c r="A170">
        <v>207</v>
      </c>
      <c r="B170" t="s">
        <v>191</v>
      </c>
    </row>
    <row r="171" spans="1:2" x14ac:dyDescent="0.2">
      <c r="A171">
        <v>208</v>
      </c>
      <c r="B171" t="s">
        <v>465</v>
      </c>
    </row>
    <row r="172" spans="1:2" x14ac:dyDescent="0.2">
      <c r="A172">
        <v>209</v>
      </c>
      <c r="B172" t="s">
        <v>453</v>
      </c>
    </row>
    <row r="173" spans="1:2" x14ac:dyDescent="0.2">
      <c r="A173">
        <v>210</v>
      </c>
      <c r="B173" t="s">
        <v>457</v>
      </c>
    </row>
    <row r="174" spans="1:2" x14ac:dyDescent="0.2">
      <c r="A174">
        <v>211</v>
      </c>
      <c r="B174" t="s">
        <v>447</v>
      </c>
    </row>
    <row r="175" spans="1:2" x14ac:dyDescent="0.2">
      <c r="A175">
        <v>212</v>
      </c>
      <c r="B175" t="s">
        <v>587</v>
      </c>
    </row>
    <row r="176" spans="1:2" x14ac:dyDescent="0.2">
      <c r="A176">
        <v>213</v>
      </c>
      <c r="B176" t="s">
        <v>581</v>
      </c>
    </row>
    <row r="177" spans="1:2" x14ac:dyDescent="0.2">
      <c r="A177">
        <v>214</v>
      </c>
      <c r="B177" t="s">
        <v>213</v>
      </c>
    </row>
    <row r="178" spans="1:2" x14ac:dyDescent="0.2">
      <c r="A178">
        <v>215</v>
      </c>
      <c r="B178" t="s">
        <v>358</v>
      </c>
    </row>
    <row r="179" spans="1:2" x14ac:dyDescent="0.2">
      <c r="A179">
        <v>216</v>
      </c>
      <c r="B179" t="s">
        <v>67</v>
      </c>
    </row>
    <row r="180" spans="1:2" x14ac:dyDescent="0.2">
      <c r="A180">
        <v>217</v>
      </c>
      <c r="B180" t="s">
        <v>377</v>
      </c>
    </row>
    <row r="181" spans="1:2" x14ac:dyDescent="0.2">
      <c r="A181">
        <v>218</v>
      </c>
      <c r="B181" t="s">
        <v>567</v>
      </c>
    </row>
    <row r="182" spans="1:2" x14ac:dyDescent="0.2">
      <c r="A182">
        <v>219</v>
      </c>
      <c r="B182" t="s">
        <v>230</v>
      </c>
    </row>
    <row r="183" spans="1:2" x14ac:dyDescent="0.2">
      <c r="A183">
        <v>220</v>
      </c>
      <c r="B183" t="s">
        <v>352</v>
      </c>
    </row>
    <row r="184" spans="1:2" x14ac:dyDescent="0.2">
      <c r="A184">
        <v>221</v>
      </c>
      <c r="B184" t="s">
        <v>316</v>
      </c>
    </row>
    <row r="185" spans="1:2" x14ac:dyDescent="0.2">
      <c r="A185">
        <v>222</v>
      </c>
      <c r="B185" t="s">
        <v>535</v>
      </c>
    </row>
    <row r="186" spans="1:2" x14ac:dyDescent="0.2">
      <c r="A186">
        <v>223</v>
      </c>
      <c r="B186" t="s">
        <v>195</v>
      </c>
    </row>
    <row r="187" spans="1:2" x14ac:dyDescent="0.2">
      <c r="A187">
        <v>224</v>
      </c>
      <c r="B187" t="s">
        <v>418</v>
      </c>
    </row>
    <row r="188" spans="1:2" x14ac:dyDescent="0.2">
      <c r="A188">
        <v>225</v>
      </c>
      <c r="B188" t="s">
        <v>179</v>
      </c>
    </row>
    <row r="189" spans="1:2" x14ac:dyDescent="0.2">
      <c r="A189">
        <v>226</v>
      </c>
      <c r="B189" t="s">
        <v>403</v>
      </c>
    </row>
    <row r="190" spans="1:2" x14ac:dyDescent="0.2">
      <c r="A190">
        <v>227</v>
      </c>
      <c r="B190" t="s">
        <v>239</v>
      </c>
    </row>
    <row r="191" spans="1:2" x14ac:dyDescent="0.2">
      <c r="A191">
        <v>228</v>
      </c>
      <c r="B191" t="s">
        <v>356</v>
      </c>
    </row>
    <row r="192" spans="1:2" x14ac:dyDescent="0.2">
      <c r="A192">
        <v>229</v>
      </c>
      <c r="B192" t="s">
        <v>363</v>
      </c>
    </row>
    <row r="193" spans="1:2" x14ac:dyDescent="0.2">
      <c r="A193">
        <v>230</v>
      </c>
      <c r="B193" t="s">
        <v>389</v>
      </c>
    </row>
    <row r="194" spans="1:2" x14ac:dyDescent="0.2">
      <c r="A194">
        <v>231</v>
      </c>
      <c r="B194" t="s">
        <v>360</v>
      </c>
    </row>
    <row r="195" spans="1:2" x14ac:dyDescent="0.2">
      <c r="A195">
        <v>232</v>
      </c>
      <c r="B195" t="s">
        <v>345</v>
      </c>
    </row>
    <row r="196" spans="1:2" x14ac:dyDescent="0.2">
      <c r="A196">
        <v>233</v>
      </c>
      <c r="B196" t="s">
        <v>364</v>
      </c>
    </row>
    <row r="197" spans="1:2" x14ac:dyDescent="0.2">
      <c r="A197">
        <v>234</v>
      </c>
      <c r="B197" t="s">
        <v>555</v>
      </c>
    </row>
    <row r="198" spans="1:2" x14ac:dyDescent="0.2">
      <c r="A198">
        <v>235</v>
      </c>
      <c r="B198" t="s">
        <v>565</v>
      </c>
    </row>
    <row r="199" spans="1:2" x14ac:dyDescent="0.2">
      <c r="A199">
        <v>236</v>
      </c>
      <c r="B199" t="s">
        <v>569</v>
      </c>
    </row>
    <row r="200" spans="1:2" x14ac:dyDescent="0.2">
      <c r="A200">
        <v>237</v>
      </c>
      <c r="B200" t="s">
        <v>571</v>
      </c>
    </row>
    <row r="201" spans="1:2" x14ac:dyDescent="0.2">
      <c r="A201">
        <v>238</v>
      </c>
      <c r="B201" t="s">
        <v>560</v>
      </c>
    </row>
    <row r="202" spans="1:2" x14ac:dyDescent="0.2">
      <c r="A202">
        <v>239</v>
      </c>
      <c r="B202" t="s">
        <v>485</v>
      </c>
    </row>
    <row r="203" spans="1:2" x14ac:dyDescent="0.2">
      <c r="A203">
        <v>240</v>
      </c>
      <c r="B203" t="s">
        <v>236</v>
      </c>
    </row>
    <row r="204" spans="1:2" x14ac:dyDescent="0.2">
      <c r="A204">
        <v>241</v>
      </c>
      <c r="B204" t="s">
        <v>308</v>
      </c>
    </row>
    <row r="205" spans="1:2" x14ac:dyDescent="0.2">
      <c r="A205">
        <v>242</v>
      </c>
      <c r="B205" t="s">
        <v>361</v>
      </c>
    </row>
    <row r="206" spans="1:2" x14ac:dyDescent="0.2">
      <c r="A206">
        <v>243</v>
      </c>
      <c r="B206" t="s">
        <v>339</v>
      </c>
    </row>
    <row r="207" spans="1:2" x14ac:dyDescent="0.2">
      <c r="A207">
        <v>244</v>
      </c>
      <c r="B207" t="s">
        <v>303</v>
      </c>
    </row>
    <row r="208" spans="1:2" x14ac:dyDescent="0.2">
      <c r="A208">
        <v>245</v>
      </c>
      <c r="B208" t="s">
        <v>336</v>
      </c>
    </row>
    <row r="209" spans="1:2" x14ac:dyDescent="0.2">
      <c r="A209">
        <v>246</v>
      </c>
      <c r="B209" t="s">
        <v>153</v>
      </c>
    </row>
    <row r="210" spans="1:2" x14ac:dyDescent="0.2">
      <c r="A210">
        <v>247</v>
      </c>
      <c r="B210" t="s">
        <v>170</v>
      </c>
    </row>
    <row r="211" spans="1:2" x14ac:dyDescent="0.2">
      <c r="A211">
        <v>248</v>
      </c>
      <c r="B211" t="s">
        <v>137</v>
      </c>
    </row>
    <row r="212" spans="1:2" x14ac:dyDescent="0.2">
      <c r="A212">
        <v>249</v>
      </c>
      <c r="B212" t="s">
        <v>210</v>
      </c>
    </row>
    <row r="213" spans="1:2" x14ac:dyDescent="0.2">
      <c r="A213">
        <v>250</v>
      </c>
      <c r="B213" t="s">
        <v>513</v>
      </c>
    </row>
    <row r="214" spans="1:2" x14ac:dyDescent="0.2">
      <c r="A214">
        <v>251</v>
      </c>
      <c r="B214" t="s">
        <v>522</v>
      </c>
    </row>
    <row r="215" spans="1:2" x14ac:dyDescent="0.2">
      <c r="A215">
        <v>252</v>
      </c>
      <c r="B215" t="s">
        <v>511</v>
      </c>
    </row>
    <row r="216" spans="1:2" x14ac:dyDescent="0.2">
      <c r="A216">
        <v>253</v>
      </c>
      <c r="B216" t="s">
        <v>529</v>
      </c>
    </row>
    <row r="217" spans="1:2" x14ac:dyDescent="0.2">
      <c r="A217">
        <v>254</v>
      </c>
      <c r="B217" t="s">
        <v>362</v>
      </c>
    </row>
    <row r="218" spans="1:2" x14ac:dyDescent="0.2">
      <c r="A218">
        <v>255</v>
      </c>
      <c r="B218" t="s">
        <v>212</v>
      </c>
    </row>
    <row r="219" spans="1:2" x14ac:dyDescent="0.2">
      <c r="A219">
        <v>256</v>
      </c>
      <c r="B219" t="s">
        <v>234</v>
      </c>
    </row>
    <row r="220" spans="1:2" x14ac:dyDescent="0.2">
      <c r="A220">
        <v>257</v>
      </c>
      <c r="B220" t="s">
        <v>189</v>
      </c>
    </row>
    <row r="221" spans="1:2" x14ac:dyDescent="0.2">
      <c r="A221">
        <v>258</v>
      </c>
      <c r="B221" t="s">
        <v>37</v>
      </c>
    </row>
    <row r="222" spans="1:2" x14ac:dyDescent="0.2">
      <c r="A222">
        <v>259</v>
      </c>
      <c r="B222" t="s">
        <v>91</v>
      </c>
    </row>
    <row r="223" spans="1:2" x14ac:dyDescent="0.2">
      <c r="A223">
        <v>260</v>
      </c>
      <c r="B223" t="s">
        <v>83</v>
      </c>
    </row>
    <row r="224" spans="1:2" x14ac:dyDescent="0.2">
      <c r="A224">
        <v>261</v>
      </c>
      <c r="B224" t="s">
        <v>342</v>
      </c>
    </row>
    <row r="225" spans="1:2" x14ac:dyDescent="0.2">
      <c r="A225">
        <v>262</v>
      </c>
      <c r="B225" t="s">
        <v>205</v>
      </c>
    </row>
    <row r="226" spans="1:2" x14ac:dyDescent="0.2">
      <c r="A226">
        <v>263</v>
      </c>
      <c r="B226" t="s">
        <v>443</v>
      </c>
    </row>
    <row r="227" spans="1:2" x14ac:dyDescent="0.2">
      <c r="A227">
        <v>264</v>
      </c>
      <c r="B227" t="s">
        <v>354</v>
      </c>
    </row>
    <row r="228" spans="1:2" x14ac:dyDescent="0.2">
      <c r="A228">
        <v>265</v>
      </c>
      <c r="B228" t="s">
        <v>426</v>
      </c>
    </row>
    <row r="229" spans="1:2" x14ac:dyDescent="0.2">
      <c r="A229">
        <v>266</v>
      </c>
      <c r="B229" t="s">
        <v>574</v>
      </c>
    </row>
    <row r="230" spans="1:2" x14ac:dyDescent="0.2">
      <c r="A230">
        <v>267</v>
      </c>
      <c r="B230" t="s">
        <v>547</v>
      </c>
    </row>
    <row r="231" spans="1:2" x14ac:dyDescent="0.2">
      <c r="A231">
        <v>268</v>
      </c>
      <c r="B231" t="s">
        <v>578</v>
      </c>
    </row>
    <row r="232" spans="1:2" x14ac:dyDescent="0.2">
      <c r="A232">
        <v>269</v>
      </c>
      <c r="B232" t="s">
        <v>32</v>
      </c>
    </row>
    <row r="233" spans="1:2" x14ac:dyDescent="0.2">
      <c r="A233">
        <v>270</v>
      </c>
      <c r="B233" t="s">
        <v>135</v>
      </c>
    </row>
    <row r="234" spans="1:2" x14ac:dyDescent="0.2">
      <c r="A234">
        <v>271</v>
      </c>
      <c r="B234" t="s">
        <v>157</v>
      </c>
    </row>
    <row r="235" spans="1:2" x14ac:dyDescent="0.2">
      <c r="A235">
        <v>272</v>
      </c>
      <c r="B235" t="s">
        <v>224</v>
      </c>
    </row>
    <row r="236" spans="1:2" x14ac:dyDescent="0.2">
      <c r="A236">
        <v>273</v>
      </c>
      <c r="B236" t="s">
        <v>214</v>
      </c>
    </row>
    <row r="237" spans="1:2" x14ac:dyDescent="0.2">
      <c r="A237">
        <v>274</v>
      </c>
      <c r="B237" t="s">
        <v>51</v>
      </c>
    </row>
    <row r="238" spans="1:2" x14ac:dyDescent="0.2">
      <c r="A238">
        <v>275</v>
      </c>
      <c r="B238" t="s">
        <v>297</v>
      </c>
    </row>
    <row r="239" spans="1:2" x14ac:dyDescent="0.2">
      <c r="A239">
        <v>276</v>
      </c>
      <c r="B239" t="s">
        <v>167</v>
      </c>
    </row>
    <row r="240" spans="1:2" x14ac:dyDescent="0.2">
      <c r="A240">
        <v>277</v>
      </c>
      <c r="B240" t="s">
        <v>290</v>
      </c>
    </row>
    <row r="241" spans="1:2" x14ac:dyDescent="0.2">
      <c r="A241">
        <v>278</v>
      </c>
      <c r="B241" t="s">
        <v>154</v>
      </c>
    </row>
    <row r="242" spans="1:2" x14ac:dyDescent="0.2">
      <c r="A242">
        <v>279</v>
      </c>
      <c r="B242" t="s">
        <v>538</v>
      </c>
    </row>
    <row r="243" spans="1:2" x14ac:dyDescent="0.2">
      <c r="A243">
        <v>280</v>
      </c>
      <c r="B243" t="s">
        <v>333</v>
      </c>
    </row>
    <row r="244" spans="1:2" x14ac:dyDescent="0.2">
      <c r="A244">
        <v>281</v>
      </c>
      <c r="B244" t="s">
        <v>431</v>
      </c>
    </row>
    <row r="245" spans="1:2" x14ac:dyDescent="0.2">
      <c r="A245">
        <v>282</v>
      </c>
      <c r="B245" t="s">
        <v>127</v>
      </c>
    </row>
    <row r="246" spans="1:2" x14ac:dyDescent="0.2">
      <c r="A246">
        <v>283</v>
      </c>
      <c r="B246" t="s">
        <v>221</v>
      </c>
    </row>
    <row r="247" spans="1:2" x14ac:dyDescent="0.2">
      <c r="A247">
        <v>284</v>
      </c>
      <c r="B247" t="s">
        <v>293</v>
      </c>
    </row>
    <row r="248" spans="1:2" x14ac:dyDescent="0.2">
      <c r="A248">
        <v>285</v>
      </c>
      <c r="B248" t="s">
        <v>123</v>
      </c>
    </row>
    <row r="249" spans="1:2" x14ac:dyDescent="0.2">
      <c r="A249">
        <v>286</v>
      </c>
      <c r="B249" t="s">
        <v>296</v>
      </c>
    </row>
    <row r="250" spans="1:2" x14ac:dyDescent="0.2">
      <c r="A250">
        <v>287</v>
      </c>
      <c r="B250" t="s">
        <v>33</v>
      </c>
    </row>
    <row r="251" spans="1:2" x14ac:dyDescent="0.2">
      <c r="A251">
        <v>288</v>
      </c>
      <c r="B251" t="s">
        <v>410</v>
      </c>
    </row>
    <row r="252" spans="1:2" x14ac:dyDescent="0.2">
      <c r="A252">
        <v>289</v>
      </c>
      <c r="B252" t="s">
        <v>295</v>
      </c>
    </row>
    <row r="253" spans="1:2" x14ac:dyDescent="0.2">
      <c r="A253">
        <v>290</v>
      </c>
      <c r="B253" t="s">
        <v>199</v>
      </c>
    </row>
    <row r="254" spans="1:2" x14ac:dyDescent="0.2">
      <c r="A254">
        <v>291</v>
      </c>
      <c r="B254" t="s">
        <v>10</v>
      </c>
    </row>
    <row r="255" spans="1:2" x14ac:dyDescent="0.2">
      <c r="A255">
        <v>292</v>
      </c>
      <c r="B255" t="s">
        <v>47</v>
      </c>
    </row>
    <row r="256" spans="1:2" x14ac:dyDescent="0.2">
      <c r="A256">
        <v>293</v>
      </c>
      <c r="B256" t="s">
        <v>438</v>
      </c>
    </row>
    <row r="257" spans="1:2" x14ac:dyDescent="0.2">
      <c r="A257">
        <v>294</v>
      </c>
      <c r="B257" t="s">
        <v>105</v>
      </c>
    </row>
    <row r="258" spans="1:2" x14ac:dyDescent="0.2">
      <c r="A258">
        <v>295</v>
      </c>
      <c r="B258" t="s">
        <v>523</v>
      </c>
    </row>
    <row r="259" spans="1:2" x14ac:dyDescent="0.2">
      <c r="A259">
        <v>296</v>
      </c>
      <c r="B259" t="s">
        <v>507</v>
      </c>
    </row>
    <row r="260" spans="1:2" x14ac:dyDescent="0.2">
      <c r="A260">
        <v>297</v>
      </c>
      <c r="B260" t="s">
        <v>514</v>
      </c>
    </row>
    <row r="261" spans="1:2" x14ac:dyDescent="0.2">
      <c r="A261">
        <v>298</v>
      </c>
      <c r="B261" t="s">
        <v>341</v>
      </c>
    </row>
    <row r="262" spans="1:2" x14ac:dyDescent="0.2">
      <c r="A262">
        <v>299</v>
      </c>
      <c r="B262" t="s">
        <v>441</v>
      </c>
    </row>
    <row r="263" spans="1:2" x14ac:dyDescent="0.2">
      <c r="A263">
        <v>300</v>
      </c>
      <c r="B263" t="s">
        <v>158</v>
      </c>
    </row>
    <row r="264" spans="1:2" x14ac:dyDescent="0.2">
      <c r="A264">
        <v>301</v>
      </c>
      <c r="B264" t="s">
        <v>39</v>
      </c>
    </row>
    <row r="265" spans="1:2" x14ac:dyDescent="0.2">
      <c r="A265">
        <v>302</v>
      </c>
      <c r="B265" t="s">
        <v>53</v>
      </c>
    </row>
    <row r="266" spans="1:2" x14ac:dyDescent="0.2">
      <c r="A266">
        <v>303</v>
      </c>
      <c r="B266" t="s">
        <v>88</v>
      </c>
    </row>
    <row r="267" spans="1:2" x14ac:dyDescent="0.2">
      <c r="A267">
        <v>304</v>
      </c>
      <c r="B267" t="s">
        <v>3</v>
      </c>
    </row>
    <row r="268" spans="1:2" x14ac:dyDescent="0.2">
      <c r="A268">
        <v>305</v>
      </c>
      <c r="B268" t="s">
        <v>44</v>
      </c>
    </row>
    <row r="269" spans="1:2" x14ac:dyDescent="0.2">
      <c r="A269">
        <v>306</v>
      </c>
      <c r="B269" t="s">
        <v>99</v>
      </c>
    </row>
    <row r="270" spans="1:2" x14ac:dyDescent="0.2">
      <c r="A270">
        <v>307</v>
      </c>
      <c r="B270" t="s">
        <v>93</v>
      </c>
    </row>
    <row r="271" spans="1:2" x14ac:dyDescent="0.2">
      <c r="A271">
        <v>308</v>
      </c>
      <c r="B271" t="s">
        <v>28</v>
      </c>
    </row>
    <row r="272" spans="1:2" x14ac:dyDescent="0.2">
      <c r="A272">
        <v>309</v>
      </c>
      <c r="B272" t="s">
        <v>524</v>
      </c>
    </row>
    <row r="273" spans="1:2" x14ac:dyDescent="0.2">
      <c r="A273">
        <v>310</v>
      </c>
      <c r="B273" t="s">
        <v>58</v>
      </c>
    </row>
    <row r="274" spans="1:2" x14ac:dyDescent="0.2">
      <c r="A274">
        <v>311</v>
      </c>
      <c r="B274" t="s">
        <v>518</v>
      </c>
    </row>
    <row r="275" spans="1:2" x14ac:dyDescent="0.2">
      <c r="A275">
        <v>312</v>
      </c>
      <c r="B275" t="s">
        <v>409</v>
      </c>
    </row>
    <row r="276" spans="1:2" x14ac:dyDescent="0.2">
      <c r="A276">
        <v>313</v>
      </c>
      <c r="B276" t="s">
        <v>21</v>
      </c>
    </row>
    <row r="277" spans="1:2" x14ac:dyDescent="0.2">
      <c r="A277">
        <v>314</v>
      </c>
      <c r="B277" t="s">
        <v>580</v>
      </c>
    </row>
    <row r="278" spans="1:2" x14ac:dyDescent="0.2">
      <c r="A278">
        <v>315</v>
      </c>
      <c r="B278" t="s">
        <v>492</v>
      </c>
    </row>
    <row r="279" spans="1:2" x14ac:dyDescent="0.2">
      <c r="A279">
        <v>316</v>
      </c>
      <c r="B279" t="s">
        <v>412</v>
      </c>
    </row>
    <row r="280" spans="1:2" x14ac:dyDescent="0.2">
      <c r="A280">
        <v>317</v>
      </c>
      <c r="B280" t="s">
        <v>415</v>
      </c>
    </row>
    <row r="281" spans="1:2" x14ac:dyDescent="0.2">
      <c r="A281">
        <v>318</v>
      </c>
      <c r="B281" t="s">
        <v>474</v>
      </c>
    </row>
    <row r="282" spans="1:2" x14ac:dyDescent="0.2">
      <c r="A282">
        <v>319</v>
      </c>
      <c r="B282" t="s">
        <v>101</v>
      </c>
    </row>
    <row r="283" spans="1:2" x14ac:dyDescent="0.2">
      <c r="A283">
        <v>320</v>
      </c>
      <c r="B283" t="s">
        <v>111</v>
      </c>
    </row>
    <row r="284" spans="1:2" x14ac:dyDescent="0.2">
      <c r="A284">
        <v>321</v>
      </c>
      <c r="B284" t="s">
        <v>420</v>
      </c>
    </row>
    <row r="285" spans="1:2" x14ac:dyDescent="0.2">
      <c r="A285">
        <v>322</v>
      </c>
      <c r="B285" t="s">
        <v>570</v>
      </c>
    </row>
    <row r="286" spans="1:2" x14ac:dyDescent="0.2">
      <c r="A286">
        <v>323</v>
      </c>
      <c r="B286" t="s">
        <v>432</v>
      </c>
    </row>
    <row r="287" spans="1:2" x14ac:dyDescent="0.2">
      <c r="A287">
        <v>324</v>
      </c>
      <c r="B287" t="s">
        <v>55</v>
      </c>
    </row>
    <row r="288" spans="1:2" x14ac:dyDescent="0.2">
      <c r="A288">
        <v>325</v>
      </c>
      <c r="B288" t="s">
        <v>495</v>
      </c>
    </row>
    <row r="289" spans="1:2" x14ac:dyDescent="0.2">
      <c r="A289">
        <v>326</v>
      </c>
      <c r="B289" t="s">
        <v>98</v>
      </c>
    </row>
    <row r="290" spans="1:2" x14ac:dyDescent="0.2">
      <c r="A290">
        <v>327</v>
      </c>
      <c r="B290" t="s">
        <v>17</v>
      </c>
    </row>
    <row r="291" spans="1:2" x14ac:dyDescent="0.2">
      <c r="A291">
        <v>328</v>
      </c>
      <c r="B291" t="s">
        <v>192</v>
      </c>
    </row>
    <row r="292" spans="1:2" x14ac:dyDescent="0.2">
      <c r="A292">
        <v>329</v>
      </c>
      <c r="B292" t="s">
        <v>381</v>
      </c>
    </row>
    <row r="293" spans="1:2" x14ac:dyDescent="0.2">
      <c r="A293">
        <v>330</v>
      </c>
      <c r="B293" t="s">
        <v>376</v>
      </c>
    </row>
    <row r="294" spans="1:2" x14ac:dyDescent="0.2">
      <c r="A294">
        <v>331</v>
      </c>
      <c r="B294" t="s">
        <v>257</v>
      </c>
    </row>
    <row r="295" spans="1:2" x14ac:dyDescent="0.2">
      <c r="A295">
        <v>332</v>
      </c>
      <c r="B295" t="s">
        <v>142</v>
      </c>
    </row>
    <row r="296" spans="1:2" x14ac:dyDescent="0.2">
      <c r="A296">
        <v>333</v>
      </c>
      <c r="B296" t="s">
        <v>201</v>
      </c>
    </row>
    <row r="297" spans="1:2" x14ac:dyDescent="0.2">
      <c r="A297">
        <v>334</v>
      </c>
      <c r="B297" t="s">
        <v>267</v>
      </c>
    </row>
    <row r="298" spans="1:2" x14ac:dyDescent="0.2">
      <c r="A298">
        <v>335</v>
      </c>
      <c r="B298" t="s">
        <v>477</v>
      </c>
    </row>
    <row r="299" spans="1:2" x14ac:dyDescent="0.2">
      <c r="A299">
        <v>336</v>
      </c>
      <c r="B299" t="s">
        <v>163</v>
      </c>
    </row>
    <row r="300" spans="1:2" x14ac:dyDescent="0.2">
      <c r="A300">
        <v>337</v>
      </c>
      <c r="B300" t="s">
        <v>559</v>
      </c>
    </row>
    <row r="301" spans="1:2" x14ac:dyDescent="0.2">
      <c r="A301">
        <v>338</v>
      </c>
      <c r="B301" t="s">
        <v>481</v>
      </c>
    </row>
    <row r="302" spans="1:2" x14ac:dyDescent="0.2">
      <c r="A302">
        <v>339</v>
      </c>
      <c r="B302" t="s">
        <v>277</v>
      </c>
    </row>
    <row r="303" spans="1:2" x14ac:dyDescent="0.2">
      <c r="A303">
        <v>340</v>
      </c>
      <c r="B303" t="s">
        <v>121</v>
      </c>
    </row>
    <row r="304" spans="1:2" x14ac:dyDescent="0.2">
      <c r="A304">
        <v>341</v>
      </c>
      <c r="B304" t="s">
        <v>563</v>
      </c>
    </row>
    <row r="305" spans="1:2" x14ac:dyDescent="0.2">
      <c r="A305">
        <v>342</v>
      </c>
      <c r="B305" t="s">
        <v>160</v>
      </c>
    </row>
    <row r="306" spans="1:2" x14ac:dyDescent="0.2">
      <c r="A306">
        <v>343</v>
      </c>
      <c r="B306" t="s">
        <v>152</v>
      </c>
    </row>
    <row r="307" spans="1:2" x14ac:dyDescent="0.2">
      <c r="A307">
        <v>344</v>
      </c>
      <c r="B307" t="s">
        <v>566</v>
      </c>
    </row>
    <row r="308" spans="1:2" x14ac:dyDescent="0.2">
      <c r="A308">
        <v>345</v>
      </c>
      <c r="B308" t="s">
        <v>246</v>
      </c>
    </row>
    <row r="309" spans="1:2" x14ac:dyDescent="0.2">
      <c r="A309">
        <v>346</v>
      </c>
      <c r="B309" t="s">
        <v>194</v>
      </c>
    </row>
    <row r="310" spans="1:2" x14ac:dyDescent="0.2">
      <c r="A310">
        <v>347</v>
      </c>
      <c r="B310" t="s">
        <v>499</v>
      </c>
    </row>
    <row r="311" spans="1:2" x14ac:dyDescent="0.2">
      <c r="A311">
        <v>348</v>
      </c>
      <c r="B311" t="s">
        <v>178</v>
      </c>
    </row>
    <row r="312" spans="1:2" x14ac:dyDescent="0.2">
      <c r="A312">
        <v>349</v>
      </c>
      <c r="B312" t="s">
        <v>116</v>
      </c>
    </row>
    <row r="313" spans="1:2" x14ac:dyDescent="0.2">
      <c r="A313">
        <v>350</v>
      </c>
      <c r="B313" t="s">
        <v>372</v>
      </c>
    </row>
    <row r="314" spans="1:2" x14ac:dyDescent="0.2">
      <c r="A314">
        <v>351</v>
      </c>
      <c r="B314" t="s">
        <v>427</v>
      </c>
    </row>
    <row r="315" spans="1:2" x14ac:dyDescent="0.2">
      <c r="A315">
        <v>352</v>
      </c>
      <c r="B315" t="s">
        <v>484</v>
      </c>
    </row>
    <row r="316" spans="1:2" x14ac:dyDescent="0.2">
      <c r="A316">
        <v>353</v>
      </c>
      <c r="B316" t="s">
        <v>165</v>
      </c>
    </row>
    <row r="317" spans="1:2" x14ac:dyDescent="0.2">
      <c r="A317">
        <v>354</v>
      </c>
      <c r="B317" t="s">
        <v>479</v>
      </c>
    </row>
    <row r="318" spans="1:2" x14ac:dyDescent="0.2">
      <c r="A318">
        <v>355</v>
      </c>
      <c r="B318" t="s">
        <v>219</v>
      </c>
    </row>
    <row r="319" spans="1:2" x14ac:dyDescent="0.2">
      <c r="A319">
        <v>356</v>
      </c>
      <c r="B319" t="s">
        <v>439</v>
      </c>
    </row>
    <row r="320" spans="1:2" x14ac:dyDescent="0.2">
      <c r="A320">
        <v>357</v>
      </c>
      <c r="B320" t="s">
        <v>456</v>
      </c>
    </row>
    <row r="321" spans="1:2" x14ac:dyDescent="0.2">
      <c r="A321">
        <v>358</v>
      </c>
      <c r="B321" t="s">
        <v>56</v>
      </c>
    </row>
    <row r="322" spans="1:2" x14ac:dyDescent="0.2">
      <c r="A322">
        <v>359</v>
      </c>
      <c r="B322" t="s">
        <v>226</v>
      </c>
    </row>
    <row r="323" spans="1:2" x14ac:dyDescent="0.2">
      <c r="A323">
        <v>360</v>
      </c>
      <c r="B323" t="s">
        <v>374</v>
      </c>
    </row>
    <row r="324" spans="1:2" x14ac:dyDescent="0.2">
      <c r="A324">
        <v>361</v>
      </c>
      <c r="B324" t="s">
        <v>188</v>
      </c>
    </row>
    <row r="325" spans="1:2" x14ac:dyDescent="0.2">
      <c r="A325">
        <v>362</v>
      </c>
      <c r="B325" t="s">
        <v>143</v>
      </c>
    </row>
    <row r="326" spans="1:2" x14ac:dyDescent="0.2">
      <c r="A326">
        <v>363</v>
      </c>
      <c r="B326" t="s">
        <v>43</v>
      </c>
    </row>
    <row r="327" spans="1:2" x14ac:dyDescent="0.2">
      <c r="A327">
        <v>364</v>
      </c>
      <c r="B327" t="s">
        <v>272</v>
      </c>
    </row>
    <row r="328" spans="1:2" x14ac:dyDescent="0.2">
      <c r="A328">
        <v>365</v>
      </c>
      <c r="B328" t="s">
        <v>353</v>
      </c>
    </row>
    <row r="329" spans="1:2" x14ac:dyDescent="0.2">
      <c r="A329">
        <v>366</v>
      </c>
      <c r="B329" t="s">
        <v>365</v>
      </c>
    </row>
    <row r="330" spans="1:2" x14ac:dyDescent="0.2">
      <c r="A330">
        <v>367</v>
      </c>
      <c r="B330" t="s">
        <v>553</v>
      </c>
    </row>
    <row r="331" spans="1:2" x14ac:dyDescent="0.2">
      <c r="A331">
        <v>368</v>
      </c>
      <c r="B331" t="s">
        <v>100</v>
      </c>
    </row>
    <row r="332" spans="1:2" x14ac:dyDescent="0.2">
      <c r="A332">
        <v>369</v>
      </c>
      <c r="B332" t="s">
        <v>302</v>
      </c>
    </row>
    <row r="333" spans="1:2" x14ac:dyDescent="0.2">
      <c r="A333">
        <v>370</v>
      </c>
      <c r="B333" t="s">
        <v>240</v>
      </c>
    </row>
    <row r="334" spans="1:2" x14ac:dyDescent="0.2">
      <c r="A334">
        <v>371</v>
      </c>
      <c r="B334" t="s">
        <v>469</v>
      </c>
    </row>
    <row r="335" spans="1:2" x14ac:dyDescent="0.2">
      <c r="A335">
        <v>372</v>
      </c>
      <c r="B335" t="s">
        <v>394</v>
      </c>
    </row>
    <row r="336" spans="1:2" x14ac:dyDescent="0.2">
      <c r="A336">
        <v>373</v>
      </c>
      <c r="B336" t="s">
        <v>413</v>
      </c>
    </row>
    <row r="337" spans="1:2" x14ac:dyDescent="0.2">
      <c r="A337">
        <v>374</v>
      </c>
      <c r="B337" t="s">
        <v>375</v>
      </c>
    </row>
    <row r="338" spans="1:2" x14ac:dyDescent="0.2">
      <c r="A338">
        <v>375</v>
      </c>
      <c r="B338" t="s">
        <v>478</v>
      </c>
    </row>
    <row r="339" spans="1:2" x14ac:dyDescent="0.2">
      <c r="A339">
        <v>376</v>
      </c>
      <c r="B339" t="s">
        <v>228</v>
      </c>
    </row>
    <row r="340" spans="1:2" x14ac:dyDescent="0.2">
      <c r="A340">
        <v>377</v>
      </c>
      <c r="B340" t="s">
        <v>215</v>
      </c>
    </row>
    <row r="341" spans="1:2" x14ac:dyDescent="0.2">
      <c r="A341">
        <v>378</v>
      </c>
      <c r="B341" t="s">
        <v>488</v>
      </c>
    </row>
    <row r="342" spans="1:2" x14ac:dyDescent="0.2">
      <c r="A342">
        <v>379</v>
      </c>
      <c r="B342" t="s">
        <v>386</v>
      </c>
    </row>
    <row r="343" spans="1:2" x14ac:dyDescent="0.2">
      <c r="A343">
        <v>380</v>
      </c>
      <c r="B343" t="s">
        <v>392</v>
      </c>
    </row>
    <row r="344" spans="1:2" x14ac:dyDescent="0.2">
      <c r="A344">
        <v>381</v>
      </c>
      <c r="B344" t="s">
        <v>575</v>
      </c>
    </row>
    <row r="345" spans="1:2" x14ac:dyDescent="0.2">
      <c r="A345">
        <v>382</v>
      </c>
      <c r="B345" t="s">
        <v>582</v>
      </c>
    </row>
    <row r="346" spans="1:2" x14ac:dyDescent="0.2">
      <c r="A346">
        <v>383</v>
      </c>
      <c r="B346" t="s">
        <v>108</v>
      </c>
    </row>
    <row r="347" spans="1:2" x14ac:dyDescent="0.2">
      <c r="A347">
        <v>384</v>
      </c>
      <c r="B347" t="s">
        <v>120</v>
      </c>
    </row>
    <row r="348" spans="1:2" x14ac:dyDescent="0.2">
      <c r="A348">
        <v>385</v>
      </c>
      <c r="B348" t="s">
        <v>590</v>
      </c>
    </row>
    <row r="349" spans="1:2" x14ac:dyDescent="0.2">
      <c r="A349">
        <v>386</v>
      </c>
      <c r="B349" t="s">
        <v>398</v>
      </c>
    </row>
    <row r="350" spans="1:2" x14ac:dyDescent="0.2">
      <c r="A350">
        <v>387</v>
      </c>
      <c r="B350" t="s">
        <v>400</v>
      </c>
    </row>
    <row r="351" spans="1:2" x14ac:dyDescent="0.2">
      <c r="A351">
        <v>388</v>
      </c>
      <c r="B351" t="s">
        <v>193</v>
      </c>
    </row>
    <row r="352" spans="1:2" x14ac:dyDescent="0.2">
      <c r="A352">
        <v>389</v>
      </c>
      <c r="B352" t="s">
        <v>532</v>
      </c>
    </row>
    <row r="353" spans="1:2" x14ac:dyDescent="0.2">
      <c r="A353">
        <v>390</v>
      </c>
      <c r="B353" t="s">
        <v>537</v>
      </c>
    </row>
    <row r="354" spans="1:2" x14ac:dyDescent="0.2">
      <c r="A354">
        <v>391</v>
      </c>
      <c r="B354" t="s">
        <v>203</v>
      </c>
    </row>
    <row r="355" spans="1:2" x14ac:dyDescent="0.2">
      <c r="A355">
        <v>392</v>
      </c>
      <c r="B355" t="s">
        <v>496</v>
      </c>
    </row>
    <row r="356" spans="1:2" x14ac:dyDescent="0.2">
      <c r="A356">
        <v>393</v>
      </c>
      <c r="B356" t="s">
        <v>487</v>
      </c>
    </row>
    <row r="357" spans="1:2" x14ac:dyDescent="0.2">
      <c r="A357">
        <v>394</v>
      </c>
      <c r="B357" t="s">
        <v>501</v>
      </c>
    </row>
    <row r="358" spans="1:2" x14ac:dyDescent="0.2">
      <c r="A358">
        <v>395</v>
      </c>
      <c r="B358" t="s">
        <v>247</v>
      </c>
    </row>
    <row r="359" spans="1:2" x14ac:dyDescent="0.2">
      <c r="A359">
        <v>396</v>
      </c>
      <c r="B359" t="s">
        <v>249</v>
      </c>
    </row>
    <row r="360" spans="1:2" x14ac:dyDescent="0.2">
      <c r="A360">
        <v>397</v>
      </c>
      <c r="B360" t="s">
        <v>579</v>
      </c>
    </row>
    <row r="361" spans="1:2" x14ac:dyDescent="0.2">
      <c r="A361">
        <v>398</v>
      </c>
      <c r="B361" t="s">
        <v>190</v>
      </c>
    </row>
    <row r="362" spans="1:2" x14ac:dyDescent="0.2">
      <c r="A362">
        <v>399</v>
      </c>
      <c r="B362" t="s">
        <v>197</v>
      </c>
    </row>
    <row r="363" spans="1:2" x14ac:dyDescent="0.2">
      <c r="A363">
        <v>400</v>
      </c>
      <c r="B363" t="s">
        <v>176</v>
      </c>
    </row>
    <row r="364" spans="1:2" x14ac:dyDescent="0.2">
      <c r="A364">
        <v>401</v>
      </c>
      <c r="B364" t="s">
        <v>204</v>
      </c>
    </row>
    <row r="365" spans="1:2" x14ac:dyDescent="0.2">
      <c r="A365">
        <v>402</v>
      </c>
      <c r="B365" t="s">
        <v>462</v>
      </c>
    </row>
    <row r="366" spans="1:2" x14ac:dyDescent="0.2">
      <c r="A366">
        <v>403</v>
      </c>
      <c r="B366" t="s">
        <v>498</v>
      </c>
    </row>
    <row r="367" spans="1:2" x14ac:dyDescent="0.2">
      <c r="A367">
        <v>404</v>
      </c>
      <c r="B367" t="s">
        <v>466</v>
      </c>
    </row>
    <row r="368" spans="1:2" x14ac:dyDescent="0.2">
      <c r="A368">
        <v>405</v>
      </c>
      <c r="B368" t="s">
        <v>502</v>
      </c>
    </row>
    <row r="369" spans="1:2" x14ac:dyDescent="0.2">
      <c r="A369">
        <v>406</v>
      </c>
      <c r="B369" t="s">
        <v>468</v>
      </c>
    </row>
    <row r="370" spans="1:2" x14ac:dyDescent="0.2">
      <c r="A370">
        <v>407</v>
      </c>
      <c r="B370" t="s">
        <v>114</v>
      </c>
    </row>
    <row r="371" spans="1:2" x14ac:dyDescent="0.2">
      <c r="A371">
        <v>408</v>
      </c>
      <c r="B371" t="s">
        <v>125</v>
      </c>
    </row>
    <row r="372" spans="1:2" x14ac:dyDescent="0.2">
      <c r="A372">
        <v>409</v>
      </c>
      <c r="B372" t="s">
        <v>373</v>
      </c>
    </row>
    <row r="373" spans="1:2" x14ac:dyDescent="0.2">
      <c r="A373">
        <v>410</v>
      </c>
      <c r="B373" t="s">
        <v>245</v>
      </c>
    </row>
    <row r="374" spans="1:2" x14ac:dyDescent="0.2">
      <c r="A374">
        <v>411</v>
      </c>
      <c r="B374" t="s">
        <v>248</v>
      </c>
    </row>
    <row r="375" spans="1:2" x14ac:dyDescent="0.2">
      <c r="A375">
        <v>412</v>
      </c>
      <c r="B375" t="s">
        <v>371</v>
      </c>
    </row>
    <row r="376" spans="1:2" x14ac:dyDescent="0.2">
      <c r="A376">
        <v>413</v>
      </c>
      <c r="B376" t="s">
        <v>586</v>
      </c>
    </row>
    <row r="377" spans="1:2" x14ac:dyDescent="0.2">
      <c r="A377">
        <v>414</v>
      </c>
      <c r="B377" t="s">
        <v>396</v>
      </c>
    </row>
    <row r="378" spans="1:2" x14ac:dyDescent="0.2">
      <c r="A378">
        <v>415</v>
      </c>
      <c r="B378" t="s">
        <v>399</v>
      </c>
    </row>
    <row r="379" spans="1:2" x14ac:dyDescent="0.2">
      <c r="A379">
        <v>416</v>
      </c>
      <c r="B379" t="s">
        <v>285</v>
      </c>
    </row>
    <row r="380" spans="1:2" x14ac:dyDescent="0.2">
      <c r="A380">
        <v>417</v>
      </c>
      <c r="B380" t="s">
        <v>289</v>
      </c>
    </row>
    <row r="381" spans="1:2" x14ac:dyDescent="0.2">
      <c r="A381">
        <v>418</v>
      </c>
      <c r="B381" t="s">
        <v>274</v>
      </c>
    </row>
    <row r="382" spans="1:2" x14ac:dyDescent="0.2">
      <c r="A382">
        <v>419</v>
      </c>
      <c r="B382" t="s">
        <v>340</v>
      </c>
    </row>
    <row r="383" spans="1:2" x14ac:dyDescent="0.2">
      <c r="A383">
        <v>420</v>
      </c>
      <c r="B383" t="s">
        <v>589</v>
      </c>
    </row>
    <row r="384" spans="1:2" x14ac:dyDescent="0.2">
      <c r="A384">
        <v>421</v>
      </c>
      <c r="B384" t="s">
        <v>134</v>
      </c>
    </row>
    <row r="385" spans="1:2" x14ac:dyDescent="0.2">
      <c r="A385">
        <v>422</v>
      </c>
      <c r="B385" t="s">
        <v>8</v>
      </c>
    </row>
    <row r="386" spans="1:2" x14ac:dyDescent="0.2">
      <c r="A386">
        <v>423</v>
      </c>
      <c r="B386" t="s">
        <v>564</v>
      </c>
    </row>
    <row r="387" spans="1:2" x14ac:dyDescent="0.2">
      <c r="A387">
        <v>424</v>
      </c>
      <c r="B387" t="s">
        <v>388</v>
      </c>
    </row>
    <row r="388" spans="1:2" x14ac:dyDescent="0.2">
      <c r="A388">
        <v>425</v>
      </c>
      <c r="B388" t="s">
        <v>80</v>
      </c>
    </row>
    <row r="389" spans="1:2" x14ac:dyDescent="0.2">
      <c r="A389">
        <v>426</v>
      </c>
      <c r="B389" t="s">
        <v>231</v>
      </c>
    </row>
    <row r="390" spans="1:2" x14ac:dyDescent="0.2">
      <c r="A390">
        <v>427</v>
      </c>
      <c r="B390" t="s">
        <v>136</v>
      </c>
    </row>
    <row r="391" spans="1:2" x14ac:dyDescent="0.2">
      <c r="A391">
        <v>428</v>
      </c>
      <c r="B391" t="s">
        <v>75</v>
      </c>
    </row>
    <row r="392" spans="1:2" x14ac:dyDescent="0.2">
      <c r="A392">
        <v>429</v>
      </c>
      <c r="B392" t="s">
        <v>337</v>
      </c>
    </row>
    <row r="393" spans="1:2" x14ac:dyDescent="0.2">
      <c r="A393">
        <v>430</v>
      </c>
      <c r="B393" t="s">
        <v>181</v>
      </c>
    </row>
    <row r="394" spans="1:2" x14ac:dyDescent="0.2">
      <c r="A394">
        <v>431</v>
      </c>
      <c r="B394" t="s">
        <v>449</v>
      </c>
    </row>
    <row r="395" spans="1:2" x14ac:dyDescent="0.2">
      <c r="A395">
        <v>432</v>
      </c>
      <c r="B395" t="s">
        <v>174</v>
      </c>
    </row>
    <row r="396" spans="1:2" x14ac:dyDescent="0.2">
      <c r="A396">
        <v>433</v>
      </c>
      <c r="B396" t="s">
        <v>252</v>
      </c>
    </row>
    <row r="397" spans="1:2" x14ac:dyDescent="0.2">
      <c r="A397">
        <v>434</v>
      </c>
      <c r="B397" t="s">
        <v>417</v>
      </c>
    </row>
    <row r="398" spans="1:2" x14ac:dyDescent="0.2">
      <c r="A398">
        <v>435</v>
      </c>
      <c r="B398" t="s">
        <v>323</v>
      </c>
    </row>
    <row r="399" spans="1:2" x14ac:dyDescent="0.2">
      <c r="A399">
        <v>436</v>
      </c>
      <c r="B399" t="s">
        <v>393</v>
      </c>
    </row>
    <row r="400" spans="1:2" x14ac:dyDescent="0.2">
      <c r="A400">
        <v>437</v>
      </c>
      <c r="B400" t="s">
        <v>281</v>
      </c>
    </row>
    <row r="401" spans="1:2" x14ac:dyDescent="0.2">
      <c r="A401">
        <v>438</v>
      </c>
      <c r="B401" t="s">
        <v>186</v>
      </c>
    </row>
    <row r="402" spans="1:2" x14ac:dyDescent="0.2">
      <c r="A402">
        <v>439</v>
      </c>
      <c r="B402" t="s">
        <v>36</v>
      </c>
    </row>
    <row r="403" spans="1:2" x14ac:dyDescent="0.2">
      <c r="A403">
        <v>440</v>
      </c>
      <c r="B403" t="s">
        <v>346</v>
      </c>
    </row>
    <row r="404" spans="1:2" x14ac:dyDescent="0.2">
      <c r="A404">
        <v>441</v>
      </c>
      <c r="B404" t="s">
        <v>454</v>
      </c>
    </row>
    <row r="405" spans="1:2" x14ac:dyDescent="0.2">
      <c r="A405">
        <v>442</v>
      </c>
      <c r="B405" t="s">
        <v>437</v>
      </c>
    </row>
    <row r="406" spans="1:2" x14ac:dyDescent="0.2">
      <c r="A406">
        <v>443</v>
      </c>
      <c r="B406" t="s">
        <v>445</v>
      </c>
    </row>
    <row r="407" spans="1:2" x14ac:dyDescent="0.2">
      <c r="A407">
        <v>444</v>
      </c>
      <c r="B407" t="s">
        <v>130</v>
      </c>
    </row>
    <row r="408" spans="1:2" x14ac:dyDescent="0.2">
      <c r="A408">
        <v>445</v>
      </c>
      <c r="B408" t="s">
        <v>355</v>
      </c>
    </row>
    <row r="409" spans="1:2" x14ac:dyDescent="0.2">
      <c r="A409">
        <v>446</v>
      </c>
      <c r="B409" t="s">
        <v>61</v>
      </c>
    </row>
    <row r="410" spans="1:2" x14ac:dyDescent="0.2">
      <c r="A410">
        <v>447</v>
      </c>
      <c r="B410" t="s">
        <v>119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E887D-CDDC-4A9D-93A4-7A8591B6E03F}">
  <dimension ref="A1:B324"/>
  <sheetViews>
    <sheetView zoomScale="85" zoomScaleNormal="85" workbookViewId="0">
      <pane ySplit="1" topLeftCell="A272" activePane="bottomLeft" state="frozen"/>
      <selection pane="bottomLeft" activeCell="A2" sqref="A2:A324"/>
    </sheetView>
  </sheetViews>
  <sheetFormatPr defaultRowHeight="12.75" x14ac:dyDescent="0.2"/>
  <cols>
    <col min="2" max="2" width="57.28515625" bestFit="1" customWidth="1"/>
  </cols>
  <sheetData>
    <row r="1" spans="1:2" x14ac:dyDescent="0.2">
      <c r="A1" t="s">
        <v>594</v>
      </c>
      <c r="B1" t="s">
        <v>595</v>
      </c>
    </row>
    <row r="2" spans="1:2" x14ac:dyDescent="0.2">
      <c r="A2">
        <v>1</v>
      </c>
      <c r="B2" t="s">
        <v>184</v>
      </c>
    </row>
    <row r="3" spans="1:2" x14ac:dyDescent="0.2">
      <c r="A3">
        <v>2</v>
      </c>
      <c r="B3" t="s">
        <v>306</v>
      </c>
    </row>
    <row r="4" spans="1:2" x14ac:dyDescent="0.2">
      <c r="A4">
        <v>4</v>
      </c>
      <c r="B4" t="s">
        <v>603</v>
      </c>
    </row>
    <row r="5" spans="1:2" x14ac:dyDescent="0.2">
      <c r="A5">
        <v>3</v>
      </c>
      <c r="B5" t="s">
        <v>604</v>
      </c>
    </row>
    <row r="6" spans="1:2" x14ac:dyDescent="0.2">
      <c r="A6">
        <v>5</v>
      </c>
      <c r="B6" t="s">
        <v>605</v>
      </c>
    </row>
    <row r="7" spans="1:2" x14ac:dyDescent="0.2">
      <c r="A7">
        <v>6</v>
      </c>
      <c r="B7" t="s">
        <v>606</v>
      </c>
    </row>
    <row r="8" spans="1:2" x14ac:dyDescent="0.2">
      <c r="A8">
        <v>7</v>
      </c>
      <c r="B8" t="s">
        <v>596</v>
      </c>
    </row>
    <row r="9" spans="1:2" x14ac:dyDescent="0.2">
      <c r="A9">
        <v>8</v>
      </c>
      <c r="B9" t="s">
        <v>597</v>
      </c>
    </row>
    <row r="10" spans="1:2" x14ac:dyDescent="0.2">
      <c r="A10">
        <v>11</v>
      </c>
      <c r="B10" t="s">
        <v>598</v>
      </c>
    </row>
    <row r="11" spans="1:2" x14ac:dyDescent="0.2">
      <c r="A11">
        <v>9</v>
      </c>
      <c r="B11" t="s">
        <v>599</v>
      </c>
    </row>
    <row r="12" spans="1:2" x14ac:dyDescent="0.2">
      <c r="A12">
        <v>10</v>
      </c>
      <c r="B12" t="s">
        <v>600</v>
      </c>
    </row>
    <row r="13" spans="1:2" x14ac:dyDescent="0.2">
      <c r="A13">
        <v>13</v>
      </c>
      <c r="B13" t="s">
        <v>601</v>
      </c>
    </row>
    <row r="14" spans="1:2" x14ac:dyDescent="0.2">
      <c r="A14">
        <v>12</v>
      </c>
      <c r="B14" t="s">
        <v>602</v>
      </c>
    </row>
    <row r="15" spans="1:2" x14ac:dyDescent="0.2">
      <c r="A15">
        <v>14</v>
      </c>
      <c r="B15" t="s">
        <v>13</v>
      </c>
    </row>
    <row r="16" spans="1:2" x14ac:dyDescent="0.2">
      <c r="A16">
        <v>15</v>
      </c>
      <c r="B16" t="s">
        <v>235</v>
      </c>
    </row>
    <row r="17" spans="1:2" x14ac:dyDescent="0.2">
      <c r="A17">
        <v>16</v>
      </c>
      <c r="B17" t="s">
        <v>335</v>
      </c>
    </row>
    <row r="18" spans="1:2" x14ac:dyDescent="0.2">
      <c r="A18">
        <v>17</v>
      </c>
      <c r="B18" t="s">
        <v>7</v>
      </c>
    </row>
    <row r="19" spans="1:2" x14ac:dyDescent="0.2">
      <c r="A19">
        <v>18</v>
      </c>
      <c r="B19" t="s">
        <v>504</v>
      </c>
    </row>
    <row r="20" spans="1:2" x14ac:dyDescent="0.2">
      <c r="A20">
        <v>19</v>
      </c>
      <c r="B20" t="s">
        <v>244</v>
      </c>
    </row>
    <row r="21" spans="1:2" x14ac:dyDescent="0.2">
      <c r="A21">
        <v>20</v>
      </c>
      <c r="B21" t="s">
        <v>77</v>
      </c>
    </row>
    <row r="22" spans="1:2" x14ac:dyDescent="0.2">
      <c r="A22">
        <v>21</v>
      </c>
      <c r="B22" t="s">
        <v>533</v>
      </c>
    </row>
    <row r="23" spans="1:2" x14ac:dyDescent="0.2">
      <c r="A23">
        <v>22</v>
      </c>
      <c r="B23" t="s">
        <v>607</v>
      </c>
    </row>
    <row r="24" spans="1:2" x14ac:dyDescent="0.2">
      <c r="A24">
        <v>23</v>
      </c>
      <c r="B24" t="s">
        <v>608</v>
      </c>
    </row>
    <row r="25" spans="1:2" x14ac:dyDescent="0.2">
      <c r="A25">
        <v>24</v>
      </c>
      <c r="B25" t="s">
        <v>102</v>
      </c>
    </row>
    <row r="26" spans="1:2" x14ac:dyDescent="0.2">
      <c r="A26">
        <v>25</v>
      </c>
      <c r="B26" t="s">
        <v>11</v>
      </c>
    </row>
    <row r="27" spans="1:2" x14ac:dyDescent="0.2">
      <c r="A27">
        <v>26</v>
      </c>
      <c r="B27" t="s">
        <v>208</v>
      </c>
    </row>
    <row r="28" spans="1:2" x14ac:dyDescent="0.2">
      <c r="A28">
        <v>27</v>
      </c>
      <c r="B28" t="s">
        <v>106</v>
      </c>
    </row>
    <row r="29" spans="1:2" x14ac:dyDescent="0.2">
      <c r="A29">
        <v>28</v>
      </c>
      <c r="B29" t="s">
        <v>104</v>
      </c>
    </row>
    <row r="30" spans="1:2" x14ac:dyDescent="0.2">
      <c r="A30">
        <v>29</v>
      </c>
      <c r="B30" t="s">
        <v>609</v>
      </c>
    </row>
    <row r="31" spans="1:2" x14ac:dyDescent="0.2">
      <c r="A31">
        <v>30</v>
      </c>
      <c r="B31" t="s">
        <v>549</v>
      </c>
    </row>
    <row r="32" spans="1:2" x14ac:dyDescent="0.2">
      <c r="A32">
        <v>31</v>
      </c>
      <c r="B32" t="s">
        <v>52</v>
      </c>
    </row>
    <row r="33" spans="1:2" x14ac:dyDescent="0.2">
      <c r="A33">
        <v>32</v>
      </c>
      <c r="B33" t="s">
        <v>483</v>
      </c>
    </row>
    <row r="34" spans="1:2" x14ac:dyDescent="0.2">
      <c r="A34">
        <v>33</v>
      </c>
      <c r="B34" t="s">
        <v>610</v>
      </c>
    </row>
    <row r="35" spans="1:2" x14ac:dyDescent="0.2">
      <c r="A35">
        <v>36</v>
      </c>
      <c r="B35" t="s">
        <v>269</v>
      </c>
    </row>
    <row r="36" spans="1:2" x14ac:dyDescent="0.2">
      <c r="A36">
        <v>37</v>
      </c>
      <c r="B36" t="s">
        <v>263</v>
      </c>
    </row>
    <row r="37" spans="1:2" x14ac:dyDescent="0.2">
      <c r="A37">
        <v>38</v>
      </c>
      <c r="B37" t="s">
        <v>113</v>
      </c>
    </row>
    <row r="38" spans="1:2" x14ac:dyDescent="0.2">
      <c r="A38">
        <v>34</v>
      </c>
      <c r="B38" t="s">
        <v>611</v>
      </c>
    </row>
    <row r="39" spans="1:2" x14ac:dyDescent="0.2">
      <c r="A39">
        <v>35</v>
      </c>
      <c r="B39" t="s">
        <v>612</v>
      </c>
    </row>
    <row r="40" spans="1:2" x14ac:dyDescent="0.2">
      <c r="A40">
        <v>39</v>
      </c>
      <c r="B40" t="s">
        <v>132</v>
      </c>
    </row>
    <row r="41" spans="1:2" x14ac:dyDescent="0.2">
      <c r="A41">
        <v>40</v>
      </c>
      <c r="B41" t="s">
        <v>168</v>
      </c>
    </row>
    <row r="42" spans="1:2" x14ac:dyDescent="0.2">
      <c r="A42">
        <v>41</v>
      </c>
      <c r="B42" t="s">
        <v>35</v>
      </c>
    </row>
    <row r="43" spans="1:2" x14ac:dyDescent="0.2">
      <c r="A43">
        <v>42</v>
      </c>
      <c r="B43" t="s">
        <v>103</v>
      </c>
    </row>
    <row r="44" spans="1:2" x14ac:dyDescent="0.2">
      <c r="A44">
        <v>43</v>
      </c>
      <c r="B44" t="s">
        <v>218</v>
      </c>
    </row>
    <row r="45" spans="1:2" x14ac:dyDescent="0.2">
      <c r="A45">
        <v>44</v>
      </c>
      <c r="B45" t="s">
        <v>261</v>
      </c>
    </row>
    <row r="46" spans="1:2" x14ac:dyDescent="0.2">
      <c r="A46">
        <v>45</v>
      </c>
      <c r="B46" t="s">
        <v>183</v>
      </c>
    </row>
    <row r="47" spans="1:2" x14ac:dyDescent="0.2">
      <c r="A47">
        <v>46</v>
      </c>
      <c r="B47" t="s">
        <v>460</v>
      </c>
    </row>
    <row r="48" spans="1:2" x14ac:dyDescent="0.2">
      <c r="A48">
        <v>47</v>
      </c>
      <c r="B48" t="s">
        <v>156</v>
      </c>
    </row>
    <row r="49" spans="1:2" x14ac:dyDescent="0.2">
      <c r="A49">
        <v>48</v>
      </c>
      <c r="B49" t="s">
        <v>70</v>
      </c>
    </row>
    <row r="50" spans="1:2" x14ac:dyDescent="0.2">
      <c r="A50">
        <v>49</v>
      </c>
      <c r="B50" t="s">
        <v>554</v>
      </c>
    </row>
    <row r="51" spans="1:2" x14ac:dyDescent="0.2">
      <c r="A51">
        <v>50</v>
      </c>
      <c r="B51" t="s">
        <v>544</v>
      </c>
    </row>
    <row r="52" spans="1:2" x14ac:dyDescent="0.2">
      <c r="A52">
        <v>51</v>
      </c>
      <c r="B52" t="s">
        <v>613</v>
      </c>
    </row>
    <row r="53" spans="1:2" x14ac:dyDescent="0.2">
      <c r="A53">
        <v>52</v>
      </c>
      <c r="B53" t="s">
        <v>614</v>
      </c>
    </row>
    <row r="54" spans="1:2" x14ac:dyDescent="0.2">
      <c r="A54">
        <v>53</v>
      </c>
      <c r="B54" t="s">
        <v>65</v>
      </c>
    </row>
    <row r="55" spans="1:2" x14ac:dyDescent="0.2">
      <c r="A55">
        <v>54</v>
      </c>
      <c r="B55" t="s">
        <v>500</v>
      </c>
    </row>
    <row r="56" spans="1:2" x14ac:dyDescent="0.2">
      <c r="A56">
        <v>55</v>
      </c>
      <c r="B56" t="s">
        <v>615</v>
      </c>
    </row>
    <row r="57" spans="1:2" x14ac:dyDescent="0.2">
      <c r="A57">
        <v>56</v>
      </c>
      <c r="B57" t="s">
        <v>616</v>
      </c>
    </row>
    <row r="58" spans="1:2" x14ac:dyDescent="0.2">
      <c r="A58">
        <v>57</v>
      </c>
      <c r="B58" t="s">
        <v>493</v>
      </c>
    </row>
    <row r="59" spans="1:2" x14ac:dyDescent="0.2">
      <c r="A59">
        <v>59</v>
      </c>
      <c r="B59" t="s">
        <v>617</v>
      </c>
    </row>
    <row r="60" spans="1:2" x14ac:dyDescent="0.2">
      <c r="A60">
        <v>58</v>
      </c>
      <c r="B60" t="s">
        <v>618</v>
      </c>
    </row>
    <row r="61" spans="1:2" x14ac:dyDescent="0.2">
      <c r="A61">
        <v>61</v>
      </c>
      <c r="B61" t="s">
        <v>619</v>
      </c>
    </row>
    <row r="62" spans="1:2" x14ac:dyDescent="0.2">
      <c r="A62">
        <v>60</v>
      </c>
      <c r="B62" t="s">
        <v>620</v>
      </c>
    </row>
    <row r="63" spans="1:2" x14ac:dyDescent="0.2">
      <c r="A63">
        <v>62</v>
      </c>
      <c r="B63" t="s">
        <v>621</v>
      </c>
    </row>
    <row r="64" spans="1:2" x14ac:dyDescent="0.2">
      <c r="A64">
        <v>63</v>
      </c>
      <c r="B64" t="s">
        <v>622</v>
      </c>
    </row>
    <row r="65" spans="1:2" x14ac:dyDescent="0.2">
      <c r="A65">
        <v>65</v>
      </c>
      <c r="B65" t="s">
        <v>623</v>
      </c>
    </row>
    <row r="66" spans="1:2" x14ac:dyDescent="0.2">
      <c r="A66">
        <v>64</v>
      </c>
      <c r="B66" t="s">
        <v>624</v>
      </c>
    </row>
    <row r="67" spans="1:2" x14ac:dyDescent="0.2">
      <c r="A67">
        <v>66</v>
      </c>
      <c r="B67" t="s">
        <v>402</v>
      </c>
    </row>
    <row r="68" spans="1:2" x14ac:dyDescent="0.2">
      <c r="A68">
        <v>67</v>
      </c>
      <c r="B68" t="s">
        <v>72</v>
      </c>
    </row>
    <row r="69" spans="1:2" x14ac:dyDescent="0.2">
      <c r="A69">
        <v>68</v>
      </c>
      <c r="B69" t="s">
        <v>626</v>
      </c>
    </row>
    <row r="70" spans="1:2" x14ac:dyDescent="0.2">
      <c r="A70">
        <v>69</v>
      </c>
      <c r="B70" t="s">
        <v>625</v>
      </c>
    </row>
    <row r="71" spans="1:2" x14ac:dyDescent="0.2">
      <c r="A71">
        <v>70</v>
      </c>
      <c r="B71" t="s">
        <v>531</v>
      </c>
    </row>
    <row r="72" spans="1:2" x14ac:dyDescent="0.2">
      <c r="A72">
        <v>71</v>
      </c>
      <c r="B72" t="s">
        <v>627</v>
      </c>
    </row>
    <row r="73" spans="1:2" x14ac:dyDescent="0.2">
      <c r="A73">
        <v>72</v>
      </c>
      <c r="B73" t="s">
        <v>628</v>
      </c>
    </row>
    <row r="74" spans="1:2" x14ac:dyDescent="0.2">
      <c r="A74">
        <v>73</v>
      </c>
      <c r="B74" t="s">
        <v>459</v>
      </c>
    </row>
    <row r="75" spans="1:2" x14ac:dyDescent="0.2">
      <c r="A75">
        <v>74</v>
      </c>
      <c r="B75" t="s">
        <v>15</v>
      </c>
    </row>
    <row r="76" spans="1:2" x14ac:dyDescent="0.2">
      <c r="A76">
        <v>75</v>
      </c>
      <c r="B76" t="s">
        <v>48</v>
      </c>
    </row>
    <row r="77" spans="1:2" x14ac:dyDescent="0.2">
      <c r="A77">
        <v>76</v>
      </c>
      <c r="B77" t="s">
        <v>112</v>
      </c>
    </row>
    <row r="78" spans="1:2" x14ac:dyDescent="0.2">
      <c r="A78">
        <v>77</v>
      </c>
      <c r="B78" t="s">
        <v>629</v>
      </c>
    </row>
    <row r="79" spans="1:2" x14ac:dyDescent="0.2">
      <c r="A79">
        <v>78</v>
      </c>
      <c r="B79" t="s">
        <v>630</v>
      </c>
    </row>
    <row r="80" spans="1:2" x14ac:dyDescent="0.2">
      <c r="A80">
        <v>79</v>
      </c>
      <c r="B80" t="s">
        <v>631</v>
      </c>
    </row>
    <row r="81" spans="1:2" x14ac:dyDescent="0.2">
      <c r="A81">
        <v>80</v>
      </c>
      <c r="B81" t="s">
        <v>632</v>
      </c>
    </row>
    <row r="82" spans="1:2" x14ac:dyDescent="0.2">
      <c r="A82">
        <v>81</v>
      </c>
      <c r="B82" t="s">
        <v>633</v>
      </c>
    </row>
    <row r="83" spans="1:2" x14ac:dyDescent="0.2">
      <c r="A83">
        <v>82</v>
      </c>
      <c r="B83" t="s">
        <v>451</v>
      </c>
    </row>
    <row r="84" spans="1:2" x14ac:dyDescent="0.2">
      <c r="A84">
        <v>83</v>
      </c>
      <c r="B84" t="s">
        <v>118</v>
      </c>
    </row>
    <row r="85" spans="1:2" x14ac:dyDescent="0.2">
      <c r="A85">
        <v>85</v>
      </c>
      <c r="B85" t="s">
        <v>634</v>
      </c>
    </row>
    <row r="86" spans="1:2" x14ac:dyDescent="0.2">
      <c r="A86">
        <v>84</v>
      </c>
      <c r="B86" t="s">
        <v>635</v>
      </c>
    </row>
    <row r="87" spans="1:2" x14ac:dyDescent="0.2">
      <c r="A87">
        <v>86</v>
      </c>
      <c r="B87" t="s">
        <v>406</v>
      </c>
    </row>
    <row r="88" spans="1:2" x14ac:dyDescent="0.2">
      <c r="A88">
        <v>87</v>
      </c>
      <c r="B88" t="s">
        <v>636</v>
      </c>
    </row>
    <row r="89" spans="1:2" x14ac:dyDescent="0.2">
      <c r="A89">
        <v>88</v>
      </c>
      <c r="B89" t="s">
        <v>637</v>
      </c>
    </row>
    <row r="90" spans="1:2" x14ac:dyDescent="0.2">
      <c r="A90">
        <v>89</v>
      </c>
      <c r="B90" t="s">
        <v>638</v>
      </c>
    </row>
    <row r="91" spans="1:2" x14ac:dyDescent="0.2">
      <c r="A91">
        <v>90</v>
      </c>
      <c r="B91" t="s">
        <v>639</v>
      </c>
    </row>
    <row r="92" spans="1:2" x14ac:dyDescent="0.2">
      <c r="A92">
        <v>91</v>
      </c>
      <c r="B92" t="s">
        <v>147</v>
      </c>
    </row>
    <row r="93" spans="1:2" x14ac:dyDescent="0.2">
      <c r="A93">
        <v>92</v>
      </c>
      <c r="B93" t="s">
        <v>216</v>
      </c>
    </row>
    <row r="94" spans="1:2" x14ac:dyDescent="0.2">
      <c r="A94">
        <v>93</v>
      </c>
      <c r="B94" t="s">
        <v>435</v>
      </c>
    </row>
    <row r="95" spans="1:2" x14ac:dyDescent="0.2">
      <c r="A95">
        <v>94</v>
      </c>
      <c r="B95" t="s">
        <v>506</v>
      </c>
    </row>
    <row r="96" spans="1:2" x14ac:dyDescent="0.2">
      <c r="A96">
        <v>95</v>
      </c>
      <c r="B96" t="s">
        <v>591</v>
      </c>
    </row>
    <row r="97" spans="1:2" x14ac:dyDescent="0.2">
      <c r="A97">
        <v>97</v>
      </c>
      <c r="B97" t="s">
        <v>640</v>
      </c>
    </row>
    <row r="98" spans="1:2" x14ac:dyDescent="0.2">
      <c r="A98">
        <v>96</v>
      </c>
      <c r="B98" t="s">
        <v>641</v>
      </c>
    </row>
    <row r="99" spans="1:2" x14ac:dyDescent="0.2">
      <c r="A99">
        <v>98</v>
      </c>
      <c r="B99" t="s">
        <v>24</v>
      </c>
    </row>
    <row r="100" spans="1:2" x14ac:dyDescent="0.2">
      <c r="A100">
        <v>99</v>
      </c>
      <c r="B100" t="s">
        <v>642</v>
      </c>
    </row>
    <row r="101" spans="1:2" x14ac:dyDescent="0.2">
      <c r="A101">
        <v>100</v>
      </c>
      <c r="B101" t="s">
        <v>166</v>
      </c>
    </row>
    <row r="102" spans="1:2" x14ac:dyDescent="0.2">
      <c r="A102">
        <v>101</v>
      </c>
      <c r="B102" t="s">
        <v>173</v>
      </c>
    </row>
    <row r="103" spans="1:2" x14ac:dyDescent="0.2">
      <c r="A103">
        <v>102</v>
      </c>
      <c r="B103" t="s">
        <v>585</v>
      </c>
    </row>
    <row r="104" spans="1:2" x14ac:dyDescent="0.2">
      <c r="A104">
        <v>103</v>
      </c>
      <c r="B104" t="s">
        <v>87</v>
      </c>
    </row>
    <row r="105" spans="1:2" x14ac:dyDescent="0.2">
      <c r="A105">
        <v>104</v>
      </c>
      <c r="B105" t="s">
        <v>74</v>
      </c>
    </row>
    <row r="106" spans="1:2" x14ac:dyDescent="0.2">
      <c r="A106">
        <v>105</v>
      </c>
      <c r="B106" t="s">
        <v>592</v>
      </c>
    </row>
    <row r="107" spans="1:2" x14ac:dyDescent="0.2">
      <c r="A107">
        <v>107</v>
      </c>
      <c r="B107" t="s">
        <v>644</v>
      </c>
    </row>
    <row r="108" spans="1:2" x14ac:dyDescent="0.2">
      <c r="A108">
        <v>106</v>
      </c>
      <c r="B108" t="s">
        <v>645</v>
      </c>
    </row>
    <row r="109" spans="1:2" x14ac:dyDescent="0.2">
      <c r="A109">
        <v>108</v>
      </c>
      <c r="B109" t="s">
        <v>50</v>
      </c>
    </row>
    <row r="110" spans="1:2" x14ac:dyDescent="0.2">
      <c r="A110">
        <v>110</v>
      </c>
      <c r="B110" t="s">
        <v>646</v>
      </c>
    </row>
    <row r="111" spans="1:2" x14ac:dyDescent="0.2">
      <c r="A111">
        <v>109</v>
      </c>
      <c r="B111" t="s">
        <v>643</v>
      </c>
    </row>
    <row r="112" spans="1:2" x14ac:dyDescent="0.2">
      <c r="A112">
        <v>111</v>
      </c>
      <c r="B112" t="s">
        <v>455</v>
      </c>
    </row>
    <row r="113" spans="1:2" x14ac:dyDescent="0.2">
      <c r="A113">
        <v>112</v>
      </c>
      <c r="B113" t="s">
        <v>521</v>
      </c>
    </row>
    <row r="114" spans="1:2" x14ac:dyDescent="0.2">
      <c r="A114">
        <v>113</v>
      </c>
      <c r="B114" t="s">
        <v>368</v>
      </c>
    </row>
    <row r="115" spans="1:2" x14ac:dyDescent="0.2">
      <c r="A115">
        <v>114</v>
      </c>
      <c r="B115" t="s">
        <v>258</v>
      </c>
    </row>
    <row r="116" spans="1:2" x14ac:dyDescent="0.2">
      <c r="A116">
        <v>115</v>
      </c>
      <c r="B116" t="s">
        <v>429</v>
      </c>
    </row>
    <row r="117" spans="1:2" x14ac:dyDescent="0.2">
      <c r="A117">
        <v>116</v>
      </c>
      <c r="B117" t="s">
        <v>12</v>
      </c>
    </row>
    <row r="118" spans="1:2" x14ac:dyDescent="0.2">
      <c r="A118">
        <v>118</v>
      </c>
      <c r="B118" t="s">
        <v>647</v>
      </c>
    </row>
    <row r="119" spans="1:2" x14ac:dyDescent="0.2">
      <c r="A119">
        <v>117</v>
      </c>
      <c r="B119" t="s">
        <v>648</v>
      </c>
    </row>
    <row r="120" spans="1:2" x14ac:dyDescent="0.2">
      <c r="A120">
        <v>119</v>
      </c>
      <c r="B120" t="s">
        <v>49</v>
      </c>
    </row>
    <row r="121" spans="1:2" x14ac:dyDescent="0.2">
      <c r="A121">
        <v>120</v>
      </c>
      <c r="B121" t="s">
        <v>155</v>
      </c>
    </row>
    <row r="122" spans="1:2" x14ac:dyDescent="0.2">
      <c r="A122">
        <v>121</v>
      </c>
      <c r="B122" t="s">
        <v>334</v>
      </c>
    </row>
    <row r="123" spans="1:2" x14ac:dyDescent="0.2">
      <c r="A123">
        <v>122</v>
      </c>
      <c r="B123" t="s">
        <v>126</v>
      </c>
    </row>
    <row r="124" spans="1:2" x14ac:dyDescent="0.2">
      <c r="A124">
        <v>123</v>
      </c>
      <c r="B124" t="s">
        <v>649</v>
      </c>
    </row>
    <row r="125" spans="1:2" x14ac:dyDescent="0.2">
      <c r="A125">
        <v>124</v>
      </c>
      <c r="B125" t="s">
        <v>650</v>
      </c>
    </row>
    <row r="126" spans="1:2" x14ac:dyDescent="0.2">
      <c r="A126">
        <v>125</v>
      </c>
      <c r="B126" t="s">
        <v>332</v>
      </c>
    </row>
    <row r="127" spans="1:2" x14ac:dyDescent="0.2">
      <c r="A127">
        <v>126</v>
      </c>
      <c r="B127" t="s">
        <v>27</v>
      </c>
    </row>
    <row r="128" spans="1:2" x14ac:dyDescent="0.2">
      <c r="A128">
        <v>129</v>
      </c>
      <c r="B128" t="s">
        <v>651</v>
      </c>
    </row>
    <row r="129" spans="1:2" x14ac:dyDescent="0.2">
      <c r="A129">
        <v>130</v>
      </c>
      <c r="B129" t="s">
        <v>652</v>
      </c>
    </row>
    <row r="130" spans="1:2" x14ac:dyDescent="0.2">
      <c r="A130">
        <v>131</v>
      </c>
      <c r="B130" t="s">
        <v>490</v>
      </c>
    </row>
    <row r="131" spans="1:2" x14ac:dyDescent="0.2">
      <c r="A131">
        <v>127</v>
      </c>
      <c r="B131" t="s">
        <v>653</v>
      </c>
    </row>
    <row r="132" spans="1:2" x14ac:dyDescent="0.2">
      <c r="A132">
        <v>128</v>
      </c>
      <c r="B132" t="s">
        <v>654</v>
      </c>
    </row>
    <row r="133" spans="1:2" x14ac:dyDescent="0.2">
      <c r="A133">
        <v>132</v>
      </c>
      <c r="B133" t="s">
        <v>463</v>
      </c>
    </row>
    <row r="134" spans="1:2" x14ac:dyDescent="0.2">
      <c r="A134">
        <v>133</v>
      </c>
      <c r="B134" t="s">
        <v>655</v>
      </c>
    </row>
    <row r="135" spans="1:2" x14ac:dyDescent="0.2">
      <c r="A135">
        <v>134</v>
      </c>
      <c r="B135" t="s">
        <v>656</v>
      </c>
    </row>
    <row r="136" spans="1:2" x14ac:dyDescent="0.2">
      <c r="A136">
        <v>135</v>
      </c>
      <c r="B136" t="s">
        <v>543</v>
      </c>
    </row>
    <row r="137" spans="1:2" x14ac:dyDescent="0.2">
      <c r="A137">
        <v>136</v>
      </c>
      <c r="B137" t="s">
        <v>347</v>
      </c>
    </row>
    <row r="138" spans="1:2" x14ac:dyDescent="0.2">
      <c r="A138">
        <v>137</v>
      </c>
      <c r="B138" t="s">
        <v>148</v>
      </c>
    </row>
    <row r="139" spans="1:2" x14ac:dyDescent="0.2">
      <c r="A139">
        <v>138</v>
      </c>
      <c r="B139" t="s">
        <v>64</v>
      </c>
    </row>
    <row r="140" spans="1:2" x14ac:dyDescent="0.2">
      <c r="A140">
        <v>139</v>
      </c>
      <c r="B140" t="s">
        <v>657</v>
      </c>
    </row>
    <row r="141" spans="1:2" x14ac:dyDescent="0.2">
      <c r="A141">
        <v>140</v>
      </c>
      <c r="B141" t="s">
        <v>658</v>
      </c>
    </row>
    <row r="142" spans="1:2" x14ac:dyDescent="0.2">
      <c r="A142">
        <v>141</v>
      </c>
      <c r="B142" t="s">
        <v>659</v>
      </c>
    </row>
    <row r="143" spans="1:2" x14ac:dyDescent="0.2">
      <c r="A143">
        <v>142</v>
      </c>
      <c r="B143" t="s">
        <v>659</v>
      </c>
    </row>
    <row r="144" spans="1:2" x14ac:dyDescent="0.2">
      <c r="A144">
        <v>143</v>
      </c>
      <c r="B144" t="s">
        <v>660</v>
      </c>
    </row>
    <row r="145" spans="1:2" x14ac:dyDescent="0.2">
      <c r="A145">
        <v>144</v>
      </c>
      <c r="B145" t="s">
        <v>280</v>
      </c>
    </row>
    <row r="146" spans="1:2" x14ac:dyDescent="0.2">
      <c r="A146">
        <v>145</v>
      </c>
      <c r="B146" t="s">
        <v>661</v>
      </c>
    </row>
    <row r="147" spans="1:2" x14ac:dyDescent="0.2">
      <c r="A147">
        <v>146</v>
      </c>
      <c r="B147" t="s">
        <v>662</v>
      </c>
    </row>
    <row r="148" spans="1:2" x14ac:dyDescent="0.2">
      <c r="A148">
        <v>148</v>
      </c>
      <c r="B148" t="s">
        <v>663</v>
      </c>
    </row>
    <row r="149" spans="1:2" x14ac:dyDescent="0.2">
      <c r="A149">
        <v>147</v>
      </c>
      <c r="B149" t="s">
        <v>664</v>
      </c>
    </row>
    <row r="150" spans="1:2" x14ac:dyDescent="0.2">
      <c r="A150">
        <v>149</v>
      </c>
      <c r="B150" t="s">
        <v>255</v>
      </c>
    </row>
    <row r="151" spans="1:2" x14ac:dyDescent="0.2">
      <c r="A151">
        <v>150</v>
      </c>
      <c r="B151" t="s">
        <v>162</v>
      </c>
    </row>
    <row r="152" spans="1:2" x14ac:dyDescent="0.2">
      <c r="A152">
        <v>151</v>
      </c>
      <c r="B152" t="s">
        <v>191</v>
      </c>
    </row>
    <row r="153" spans="1:2" x14ac:dyDescent="0.2">
      <c r="A153">
        <v>152</v>
      </c>
      <c r="B153" t="s">
        <v>447</v>
      </c>
    </row>
    <row r="154" spans="1:2" x14ac:dyDescent="0.2">
      <c r="A154">
        <v>153</v>
      </c>
      <c r="B154" t="s">
        <v>584</v>
      </c>
    </row>
    <row r="155" spans="1:2" x14ac:dyDescent="0.2">
      <c r="A155">
        <v>154</v>
      </c>
      <c r="B155" t="s">
        <v>115</v>
      </c>
    </row>
    <row r="156" spans="1:2" x14ac:dyDescent="0.2">
      <c r="A156">
        <v>155</v>
      </c>
      <c r="B156" t="s">
        <v>581</v>
      </c>
    </row>
    <row r="157" spans="1:2" x14ac:dyDescent="0.2">
      <c r="A157">
        <v>156</v>
      </c>
      <c r="B157" t="s">
        <v>665</v>
      </c>
    </row>
    <row r="158" spans="1:2" x14ac:dyDescent="0.2">
      <c r="A158">
        <v>157</v>
      </c>
      <c r="B158" t="s">
        <v>213</v>
      </c>
    </row>
    <row r="159" spans="1:2" x14ac:dyDescent="0.2">
      <c r="A159">
        <v>158</v>
      </c>
      <c r="B159" t="s">
        <v>358</v>
      </c>
    </row>
    <row r="160" spans="1:2" x14ac:dyDescent="0.2">
      <c r="A160">
        <v>159</v>
      </c>
      <c r="B160" t="s">
        <v>67</v>
      </c>
    </row>
    <row r="161" spans="1:2" x14ac:dyDescent="0.2">
      <c r="A161">
        <v>160</v>
      </c>
      <c r="B161" t="s">
        <v>377</v>
      </c>
    </row>
    <row r="162" spans="1:2" x14ac:dyDescent="0.2">
      <c r="A162">
        <v>161</v>
      </c>
      <c r="B162" t="s">
        <v>230</v>
      </c>
    </row>
    <row r="163" spans="1:2" x14ac:dyDescent="0.2">
      <c r="A163">
        <v>162</v>
      </c>
      <c r="B163" t="s">
        <v>352</v>
      </c>
    </row>
    <row r="164" spans="1:2" x14ac:dyDescent="0.2">
      <c r="A164">
        <v>163</v>
      </c>
      <c r="B164" t="s">
        <v>316</v>
      </c>
    </row>
    <row r="165" spans="1:2" x14ac:dyDescent="0.2">
      <c r="A165">
        <v>164</v>
      </c>
      <c r="B165" t="s">
        <v>568</v>
      </c>
    </row>
    <row r="166" spans="1:2" x14ac:dyDescent="0.2">
      <c r="A166">
        <v>165</v>
      </c>
      <c r="B166" t="s">
        <v>196</v>
      </c>
    </row>
    <row r="167" spans="1:2" x14ac:dyDescent="0.2">
      <c r="A167">
        <v>166</v>
      </c>
      <c r="B167" t="s">
        <v>180</v>
      </c>
    </row>
    <row r="168" spans="1:2" x14ac:dyDescent="0.2">
      <c r="A168">
        <v>167</v>
      </c>
      <c r="B168" t="s">
        <v>329</v>
      </c>
    </row>
    <row r="169" spans="1:2" x14ac:dyDescent="0.2">
      <c r="A169">
        <v>168</v>
      </c>
      <c r="B169" t="s">
        <v>667</v>
      </c>
    </row>
    <row r="170" spans="1:2" x14ac:dyDescent="0.2">
      <c r="A170">
        <v>169</v>
      </c>
      <c r="B170" t="s">
        <v>666</v>
      </c>
    </row>
    <row r="171" spans="1:2" x14ac:dyDescent="0.2">
      <c r="A171">
        <v>170</v>
      </c>
      <c r="B171" t="s">
        <v>236</v>
      </c>
    </row>
    <row r="172" spans="1:2" x14ac:dyDescent="0.2">
      <c r="A172">
        <v>171</v>
      </c>
      <c r="B172" t="s">
        <v>668</v>
      </c>
    </row>
    <row r="173" spans="1:2" x14ac:dyDescent="0.2">
      <c r="A173">
        <v>172</v>
      </c>
      <c r="B173" t="s">
        <v>669</v>
      </c>
    </row>
    <row r="174" spans="1:2" x14ac:dyDescent="0.2">
      <c r="A174">
        <v>173</v>
      </c>
      <c r="B174" t="s">
        <v>170</v>
      </c>
    </row>
    <row r="175" spans="1:2" x14ac:dyDescent="0.2">
      <c r="A175">
        <v>174</v>
      </c>
      <c r="B175" t="s">
        <v>137</v>
      </c>
    </row>
    <row r="176" spans="1:2" x14ac:dyDescent="0.2">
      <c r="A176">
        <v>175</v>
      </c>
      <c r="B176" t="s">
        <v>211</v>
      </c>
    </row>
    <row r="177" spans="1:2" x14ac:dyDescent="0.2">
      <c r="A177">
        <v>176</v>
      </c>
      <c r="B177" t="s">
        <v>270</v>
      </c>
    </row>
    <row r="178" spans="1:2" x14ac:dyDescent="0.2">
      <c r="A178">
        <v>177</v>
      </c>
      <c r="B178" t="s">
        <v>6</v>
      </c>
    </row>
    <row r="179" spans="1:2" x14ac:dyDescent="0.2">
      <c r="A179">
        <v>178</v>
      </c>
      <c r="B179" t="s">
        <v>90</v>
      </c>
    </row>
    <row r="180" spans="1:2" x14ac:dyDescent="0.2">
      <c r="A180">
        <v>179</v>
      </c>
      <c r="B180" t="s">
        <v>62</v>
      </c>
    </row>
    <row r="181" spans="1:2" x14ac:dyDescent="0.2">
      <c r="A181">
        <v>180</v>
      </c>
      <c r="B181" t="s">
        <v>76</v>
      </c>
    </row>
    <row r="182" spans="1:2" x14ac:dyDescent="0.2">
      <c r="A182">
        <v>181</v>
      </c>
      <c r="B182" t="s">
        <v>304</v>
      </c>
    </row>
    <row r="183" spans="1:2" x14ac:dyDescent="0.2">
      <c r="A183">
        <v>182</v>
      </c>
      <c r="B183" t="s">
        <v>408</v>
      </c>
    </row>
    <row r="184" spans="1:2" x14ac:dyDescent="0.2">
      <c r="A184">
        <v>183</v>
      </c>
      <c r="B184" t="s">
        <v>37</v>
      </c>
    </row>
    <row r="185" spans="1:2" x14ac:dyDescent="0.2">
      <c r="A185">
        <v>184</v>
      </c>
      <c r="B185" t="s">
        <v>512</v>
      </c>
    </row>
    <row r="186" spans="1:2" x14ac:dyDescent="0.2">
      <c r="A186">
        <v>185</v>
      </c>
      <c r="B186" t="s">
        <v>38</v>
      </c>
    </row>
    <row r="187" spans="1:2" x14ac:dyDescent="0.2">
      <c r="A187">
        <v>186</v>
      </c>
      <c r="B187" t="s">
        <v>397</v>
      </c>
    </row>
    <row r="188" spans="1:2" x14ac:dyDescent="0.2">
      <c r="A188">
        <v>187</v>
      </c>
      <c r="B188" t="s">
        <v>670</v>
      </c>
    </row>
    <row r="189" spans="1:2" x14ac:dyDescent="0.2">
      <c r="A189">
        <v>188</v>
      </c>
      <c r="B189" t="s">
        <v>671</v>
      </c>
    </row>
    <row r="190" spans="1:2" x14ac:dyDescent="0.2">
      <c r="A190">
        <v>189</v>
      </c>
      <c r="B190" t="s">
        <v>59</v>
      </c>
    </row>
    <row r="191" spans="1:2" x14ac:dyDescent="0.2">
      <c r="A191">
        <v>190</v>
      </c>
      <c r="B191" t="s">
        <v>343</v>
      </c>
    </row>
    <row r="192" spans="1:2" x14ac:dyDescent="0.2">
      <c r="A192">
        <v>191</v>
      </c>
      <c r="B192" t="s">
        <v>205</v>
      </c>
    </row>
    <row r="193" spans="1:2" x14ac:dyDescent="0.2">
      <c r="A193">
        <v>192</v>
      </c>
      <c r="B193" t="s">
        <v>206</v>
      </c>
    </row>
    <row r="194" spans="1:2" x14ac:dyDescent="0.2">
      <c r="A194">
        <v>193</v>
      </c>
      <c r="B194" t="s">
        <v>145</v>
      </c>
    </row>
    <row r="195" spans="1:2" x14ac:dyDescent="0.2">
      <c r="A195">
        <v>194</v>
      </c>
      <c r="B195" t="s">
        <v>471</v>
      </c>
    </row>
    <row r="196" spans="1:2" x14ac:dyDescent="0.2">
      <c r="A196">
        <v>195</v>
      </c>
      <c r="B196" t="s">
        <v>30</v>
      </c>
    </row>
    <row r="197" spans="1:2" x14ac:dyDescent="0.2">
      <c r="A197">
        <v>196</v>
      </c>
      <c r="B197" t="s">
        <v>265</v>
      </c>
    </row>
    <row r="198" spans="1:2" x14ac:dyDescent="0.2">
      <c r="A198">
        <v>197</v>
      </c>
      <c r="B198" t="s">
        <v>109</v>
      </c>
    </row>
    <row r="199" spans="1:2" x14ac:dyDescent="0.2">
      <c r="A199">
        <v>198</v>
      </c>
      <c r="B199" t="s">
        <v>4</v>
      </c>
    </row>
    <row r="200" spans="1:2" x14ac:dyDescent="0.2">
      <c r="A200">
        <v>199</v>
      </c>
      <c r="B200" t="s">
        <v>95</v>
      </c>
    </row>
    <row r="201" spans="1:2" x14ac:dyDescent="0.2">
      <c r="A201">
        <v>200</v>
      </c>
      <c r="B201" t="s">
        <v>32</v>
      </c>
    </row>
    <row r="202" spans="1:2" x14ac:dyDescent="0.2">
      <c r="A202">
        <v>201</v>
      </c>
      <c r="B202" t="s">
        <v>135</v>
      </c>
    </row>
    <row r="203" spans="1:2" x14ac:dyDescent="0.2">
      <c r="A203">
        <v>202</v>
      </c>
      <c r="B203" t="s">
        <v>672</v>
      </c>
    </row>
    <row r="204" spans="1:2" x14ac:dyDescent="0.2">
      <c r="A204">
        <v>203</v>
      </c>
      <c r="B204" t="s">
        <v>344</v>
      </c>
    </row>
    <row r="205" spans="1:2" x14ac:dyDescent="0.2">
      <c r="A205">
        <v>204</v>
      </c>
      <c r="B205" t="s">
        <v>92</v>
      </c>
    </row>
    <row r="206" spans="1:2" x14ac:dyDescent="0.2">
      <c r="A206">
        <v>205</v>
      </c>
      <c r="B206" t="s">
        <v>141</v>
      </c>
    </row>
    <row r="207" spans="1:2" x14ac:dyDescent="0.2">
      <c r="A207">
        <v>206</v>
      </c>
      <c r="B207" t="s">
        <v>407</v>
      </c>
    </row>
    <row r="208" spans="1:2" x14ac:dyDescent="0.2">
      <c r="A208">
        <v>207</v>
      </c>
      <c r="B208" t="s">
        <v>475</v>
      </c>
    </row>
    <row r="209" spans="1:2" x14ac:dyDescent="0.2">
      <c r="A209">
        <v>208</v>
      </c>
      <c r="B209" t="s">
        <v>16</v>
      </c>
    </row>
    <row r="210" spans="1:2" x14ac:dyDescent="0.2">
      <c r="A210">
        <v>209</v>
      </c>
      <c r="B210" t="s">
        <v>673</v>
      </c>
    </row>
    <row r="211" spans="1:2" x14ac:dyDescent="0.2">
      <c r="A211">
        <v>210</v>
      </c>
      <c r="B211" t="s">
        <v>674</v>
      </c>
    </row>
    <row r="212" spans="1:2" x14ac:dyDescent="0.2">
      <c r="A212">
        <v>211</v>
      </c>
      <c r="B212" t="s">
        <v>60</v>
      </c>
    </row>
    <row r="213" spans="1:2" x14ac:dyDescent="0.2">
      <c r="A213">
        <v>212</v>
      </c>
      <c r="B213" t="s">
        <v>85</v>
      </c>
    </row>
    <row r="214" spans="1:2" x14ac:dyDescent="0.2">
      <c r="A214">
        <v>213</v>
      </c>
      <c r="B214" t="s">
        <v>438</v>
      </c>
    </row>
    <row r="215" spans="1:2" x14ac:dyDescent="0.2">
      <c r="A215">
        <v>214</v>
      </c>
      <c r="B215" t="s">
        <v>294</v>
      </c>
    </row>
    <row r="216" spans="1:2" x14ac:dyDescent="0.2">
      <c r="A216">
        <v>215</v>
      </c>
      <c r="B216" t="s">
        <v>124</v>
      </c>
    </row>
    <row r="217" spans="1:2" x14ac:dyDescent="0.2">
      <c r="A217">
        <v>216</v>
      </c>
      <c r="B217" t="s">
        <v>291</v>
      </c>
    </row>
    <row r="218" spans="1:2" x14ac:dyDescent="0.2">
      <c r="A218">
        <v>217</v>
      </c>
      <c r="B218" t="s">
        <v>467</v>
      </c>
    </row>
    <row r="219" spans="1:2" x14ac:dyDescent="0.2">
      <c r="A219">
        <v>218</v>
      </c>
      <c r="B219" t="s">
        <v>34</v>
      </c>
    </row>
    <row r="220" spans="1:2" x14ac:dyDescent="0.2">
      <c r="A220">
        <v>219</v>
      </c>
      <c r="B220" t="s">
        <v>411</v>
      </c>
    </row>
    <row r="221" spans="1:2" x14ac:dyDescent="0.2">
      <c r="A221">
        <v>220</v>
      </c>
      <c r="B221" t="s">
        <v>105</v>
      </c>
    </row>
    <row r="222" spans="1:2" x14ac:dyDescent="0.2">
      <c r="A222">
        <v>221</v>
      </c>
      <c r="B222" t="s">
        <v>151</v>
      </c>
    </row>
    <row r="223" spans="1:2" x14ac:dyDescent="0.2">
      <c r="A223">
        <v>222</v>
      </c>
      <c r="B223" t="s">
        <v>149</v>
      </c>
    </row>
    <row r="224" spans="1:2" x14ac:dyDescent="0.2">
      <c r="A224">
        <v>223</v>
      </c>
      <c r="B224" t="s">
        <v>348</v>
      </c>
    </row>
    <row r="225" spans="1:2" x14ac:dyDescent="0.2">
      <c r="A225">
        <v>224</v>
      </c>
      <c r="B225" t="s">
        <v>546</v>
      </c>
    </row>
    <row r="226" spans="1:2" x14ac:dyDescent="0.2">
      <c r="A226">
        <v>225</v>
      </c>
      <c r="B226" t="s">
        <v>310</v>
      </c>
    </row>
    <row r="227" spans="1:2" x14ac:dyDescent="0.2">
      <c r="A227">
        <v>226</v>
      </c>
      <c r="B227" t="s">
        <v>341</v>
      </c>
    </row>
    <row r="228" spans="1:2" x14ac:dyDescent="0.2">
      <c r="A228">
        <v>227</v>
      </c>
      <c r="B228" t="s">
        <v>40</v>
      </c>
    </row>
    <row r="229" spans="1:2" x14ac:dyDescent="0.2">
      <c r="A229">
        <v>228</v>
      </c>
      <c r="B229" t="s">
        <v>53</v>
      </c>
    </row>
    <row r="230" spans="1:2" x14ac:dyDescent="0.2">
      <c r="A230">
        <v>229</v>
      </c>
      <c r="B230" t="s">
        <v>539</v>
      </c>
    </row>
    <row r="231" spans="1:2" x14ac:dyDescent="0.2">
      <c r="A231">
        <v>230</v>
      </c>
      <c r="B231" t="s">
        <v>45</v>
      </c>
    </row>
    <row r="232" spans="1:2" x14ac:dyDescent="0.2">
      <c r="A232">
        <v>231</v>
      </c>
      <c r="B232" t="s">
        <v>94</v>
      </c>
    </row>
    <row r="233" spans="1:2" x14ac:dyDescent="0.2">
      <c r="A233">
        <v>232</v>
      </c>
      <c r="B233" t="s">
        <v>675</v>
      </c>
    </row>
    <row r="234" spans="1:2" x14ac:dyDescent="0.2">
      <c r="A234">
        <v>233</v>
      </c>
      <c r="B234" t="s">
        <v>676</v>
      </c>
    </row>
    <row r="235" spans="1:2" x14ac:dyDescent="0.2">
      <c r="A235">
        <v>234</v>
      </c>
      <c r="B235" t="s">
        <v>576</v>
      </c>
    </row>
    <row r="236" spans="1:2" x14ac:dyDescent="0.2">
      <c r="A236">
        <v>235</v>
      </c>
      <c r="B236" t="s">
        <v>519</v>
      </c>
    </row>
    <row r="237" spans="1:2" x14ac:dyDescent="0.2">
      <c r="A237">
        <v>236</v>
      </c>
      <c r="B237" t="s">
        <v>409</v>
      </c>
    </row>
    <row r="238" spans="1:2" x14ac:dyDescent="0.2">
      <c r="A238">
        <v>237</v>
      </c>
      <c r="B238" t="s">
        <v>22</v>
      </c>
    </row>
    <row r="239" spans="1:2" x14ac:dyDescent="0.2">
      <c r="A239">
        <v>238</v>
      </c>
      <c r="B239" t="s">
        <v>677</v>
      </c>
    </row>
    <row r="240" spans="1:2" x14ac:dyDescent="0.2">
      <c r="A240">
        <v>239</v>
      </c>
      <c r="B240" t="s">
        <v>678</v>
      </c>
    </row>
    <row r="241" spans="1:2" x14ac:dyDescent="0.2">
      <c r="A241">
        <v>240</v>
      </c>
      <c r="B241" t="s">
        <v>458</v>
      </c>
    </row>
    <row r="242" spans="1:2" x14ac:dyDescent="0.2">
      <c r="A242">
        <v>241</v>
      </c>
      <c r="B242" t="s">
        <v>461</v>
      </c>
    </row>
    <row r="243" spans="1:2" x14ac:dyDescent="0.2">
      <c r="A243">
        <v>242</v>
      </c>
      <c r="B243" t="s">
        <v>276</v>
      </c>
    </row>
    <row r="244" spans="1:2" x14ac:dyDescent="0.2">
      <c r="A244">
        <v>243</v>
      </c>
      <c r="B244" t="s">
        <v>679</v>
      </c>
    </row>
    <row r="245" spans="1:2" x14ac:dyDescent="0.2">
      <c r="A245">
        <v>244</v>
      </c>
      <c r="B245" t="s">
        <v>680</v>
      </c>
    </row>
    <row r="246" spans="1:2" x14ac:dyDescent="0.2">
      <c r="A246">
        <v>245</v>
      </c>
      <c r="B246" t="s">
        <v>444</v>
      </c>
    </row>
    <row r="247" spans="1:2" x14ac:dyDescent="0.2">
      <c r="A247">
        <v>246</v>
      </c>
      <c r="B247" t="s">
        <v>324</v>
      </c>
    </row>
    <row r="248" spans="1:2" x14ac:dyDescent="0.2">
      <c r="A248">
        <v>247</v>
      </c>
      <c r="B248" t="s">
        <v>433</v>
      </c>
    </row>
    <row r="249" spans="1:2" x14ac:dyDescent="0.2">
      <c r="A249">
        <v>248</v>
      </c>
      <c r="B249" t="s">
        <v>425</v>
      </c>
    </row>
    <row r="250" spans="1:2" x14ac:dyDescent="0.2">
      <c r="A250">
        <v>249</v>
      </c>
      <c r="B250" t="s">
        <v>55</v>
      </c>
    </row>
    <row r="251" spans="1:2" x14ac:dyDescent="0.2">
      <c r="A251">
        <v>250</v>
      </c>
      <c r="B251" t="s">
        <v>517</v>
      </c>
    </row>
    <row r="252" spans="1:2" x14ac:dyDescent="0.2">
      <c r="A252">
        <v>251</v>
      </c>
      <c r="B252" t="s">
        <v>313</v>
      </c>
    </row>
    <row r="253" spans="1:2" x14ac:dyDescent="0.2">
      <c r="A253">
        <v>252</v>
      </c>
      <c r="B253" t="s">
        <v>312</v>
      </c>
    </row>
    <row r="254" spans="1:2" x14ac:dyDescent="0.2">
      <c r="A254">
        <v>253</v>
      </c>
      <c r="B254" t="s">
        <v>314</v>
      </c>
    </row>
    <row r="255" spans="1:2" x14ac:dyDescent="0.2">
      <c r="A255">
        <v>254</v>
      </c>
      <c r="B255" t="s">
        <v>681</v>
      </c>
    </row>
    <row r="256" spans="1:2" x14ac:dyDescent="0.2">
      <c r="A256">
        <v>255</v>
      </c>
      <c r="B256" t="s">
        <v>682</v>
      </c>
    </row>
    <row r="257" spans="1:2" x14ac:dyDescent="0.2">
      <c r="A257">
        <v>256</v>
      </c>
      <c r="B257" t="s">
        <v>683</v>
      </c>
    </row>
    <row r="258" spans="1:2" x14ac:dyDescent="0.2">
      <c r="A258">
        <v>257</v>
      </c>
      <c r="B258" t="s">
        <v>684</v>
      </c>
    </row>
    <row r="259" spans="1:2" x14ac:dyDescent="0.2">
      <c r="A259">
        <v>258</v>
      </c>
      <c r="B259" t="s">
        <v>9</v>
      </c>
    </row>
    <row r="260" spans="1:2" x14ac:dyDescent="0.2">
      <c r="A260">
        <v>259</v>
      </c>
      <c r="B260" t="s">
        <v>81</v>
      </c>
    </row>
    <row r="261" spans="1:2" x14ac:dyDescent="0.2">
      <c r="A261">
        <v>260</v>
      </c>
      <c r="B261" t="s">
        <v>131</v>
      </c>
    </row>
    <row r="262" spans="1:2" x14ac:dyDescent="0.2">
      <c r="A262">
        <v>261</v>
      </c>
      <c r="B262" t="s">
        <v>232</v>
      </c>
    </row>
    <row r="263" spans="1:2" x14ac:dyDescent="0.2">
      <c r="A263">
        <v>262</v>
      </c>
      <c r="B263" t="s">
        <v>253</v>
      </c>
    </row>
    <row r="264" spans="1:2" x14ac:dyDescent="0.2">
      <c r="A264">
        <v>263</v>
      </c>
      <c r="B264" t="s">
        <v>338</v>
      </c>
    </row>
    <row r="265" spans="1:2" x14ac:dyDescent="0.2">
      <c r="A265">
        <v>264</v>
      </c>
      <c r="B265" t="s">
        <v>63</v>
      </c>
    </row>
    <row r="266" spans="1:2" x14ac:dyDescent="0.2">
      <c r="A266">
        <v>265</v>
      </c>
      <c r="B266" t="s">
        <v>175</v>
      </c>
    </row>
    <row r="267" spans="1:2" x14ac:dyDescent="0.2">
      <c r="A267">
        <v>266</v>
      </c>
      <c r="B267" t="s">
        <v>593</v>
      </c>
    </row>
    <row r="268" spans="1:2" x14ac:dyDescent="0.2">
      <c r="A268">
        <v>267</v>
      </c>
      <c r="B268" t="s">
        <v>142</v>
      </c>
    </row>
    <row r="269" spans="1:2" x14ac:dyDescent="0.2">
      <c r="A269">
        <v>268</v>
      </c>
      <c r="B269" t="s">
        <v>202</v>
      </c>
    </row>
    <row r="270" spans="1:2" x14ac:dyDescent="0.2">
      <c r="A270">
        <v>269</v>
      </c>
      <c r="B270" t="s">
        <v>267</v>
      </c>
    </row>
    <row r="271" spans="1:2" x14ac:dyDescent="0.2">
      <c r="A271">
        <v>270</v>
      </c>
      <c r="B271" t="s">
        <v>548</v>
      </c>
    </row>
    <row r="272" spans="1:2" x14ac:dyDescent="0.2">
      <c r="A272">
        <v>271</v>
      </c>
      <c r="B272" t="s">
        <v>164</v>
      </c>
    </row>
    <row r="273" spans="1:2" x14ac:dyDescent="0.2">
      <c r="A273">
        <v>272</v>
      </c>
      <c r="B273" t="s">
        <v>559</v>
      </c>
    </row>
    <row r="274" spans="1:2" x14ac:dyDescent="0.2">
      <c r="A274">
        <v>273</v>
      </c>
      <c r="B274" t="s">
        <v>482</v>
      </c>
    </row>
    <row r="275" spans="1:2" x14ac:dyDescent="0.2">
      <c r="A275">
        <v>276</v>
      </c>
      <c r="B275" t="s">
        <v>194</v>
      </c>
    </row>
    <row r="276" spans="1:2" x14ac:dyDescent="0.2">
      <c r="A276">
        <v>274</v>
      </c>
      <c r="B276" t="s">
        <v>685</v>
      </c>
    </row>
    <row r="277" spans="1:2" x14ac:dyDescent="0.2">
      <c r="A277">
        <v>275</v>
      </c>
      <c r="B277" t="s">
        <v>686</v>
      </c>
    </row>
    <row r="278" spans="1:2" x14ac:dyDescent="0.2">
      <c r="A278">
        <v>277</v>
      </c>
      <c r="B278" t="s">
        <v>29</v>
      </c>
    </row>
    <row r="279" spans="1:2" x14ac:dyDescent="0.2">
      <c r="A279">
        <v>278</v>
      </c>
      <c r="B279" t="s">
        <v>508</v>
      </c>
    </row>
    <row r="280" spans="1:2" x14ac:dyDescent="0.2">
      <c r="A280">
        <v>279</v>
      </c>
      <c r="B280" t="s">
        <v>472</v>
      </c>
    </row>
    <row r="281" spans="1:2" x14ac:dyDescent="0.2">
      <c r="A281">
        <v>280</v>
      </c>
      <c r="B281" t="s">
        <v>687</v>
      </c>
    </row>
    <row r="282" spans="1:2" x14ac:dyDescent="0.2">
      <c r="A282">
        <v>281</v>
      </c>
      <c r="B282" t="s">
        <v>688</v>
      </c>
    </row>
    <row r="283" spans="1:2" x14ac:dyDescent="0.2">
      <c r="A283">
        <v>282</v>
      </c>
      <c r="B283" t="s">
        <v>689</v>
      </c>
    </row>
    <row r="284" spans="1:2" x14ac:dyDescent="0.2">
      <c r="A284">
        <v>283</v>
      </c>
      <c r="B284" t="s">
        <v>690</v>
      </c>
    </row>
    <row r="285" spans="1:2" x14ac:dyDescent="0.2">
      <c r="A285">
        <v>284</v>
      </c>
      <c r="B285" t="s">
        <v>479</v>
      </c>
    </row>
    <row r="286" spans="1:2" x14ac:dyDescent="0.2">
      <c r="A286">
        <v>285</v>
      </c>
      <c r="B286" t="s">
        <v>220</v>
      </c>
    </row>
    <row r="287" spans="1:2" x14ac:dyDescent="0.2">
      <c r="A287">
        <v>286</v>
      </c>
      <c r="B287" t="s">
        <v>423</v>
      </c>
    </row>
    <row r="288" spans="1:2" x14ac:dyDescent="0.2">
      <c r="A288">
        <v>287</v>
      </c>
      <c r="B288" t="s">
        <v>440</v>
      </c>
    </row>
    <row r="289" spans="1:2" x14ac:dyDescent="0.2">
      <c r="A289">
        <v>288</v>
      </c>
      <c r="B289" t="s">
        <v>57</v>
      </c>
    </row>
    <row r="290" spans="1:2" x14ac:dyDescent="0.2">
      <c r="A290">
        <v>289</v>
      </c>
      <c r="B290" t="s">
        <v>226</v>
      </c>
    </row>
    <row r="291" spans="1:2" x14ac:dyDescent="0.2">
      <c r="A291">
        <v>290</v>
      </c>
      <c r="B291" t="s">
        <v>209</v>
      </c>
    </row>
    <row r="292" spans="1:2" x14ac:dyDescent="0.2">
      <c r="A292">
        <v>292</v>
      </c>
      <c r="B292" t="s">
        <v>691</v>
      </c>
    </row>
    <row r="293" spans="1:2" x14ac:dyDescent="0.2">
      <c r="A293">
        <v>291</v>
      </c>
      <c r="B293" t="s">
        <v>692</v>
      </c>
    </row>
    <row r="294" spans="1:2" x14ac:dyDescent="0.2">
      <c r="A294">
        <v>293</v>
      </c>
      <c r="B294" t="s">
        <v>144</v>
      </c>
    </row>
    <row r="295" spans="1:2" x14ac:dyDescent="0.2">
      <c r="A295">
        <v>294</v>
      </c>
      <c r="B295" t="s">
        <v>43</v>
      </c>
    </row>
    <row r="296" spans="1:2" x14ac:dyDescent="0.2">
      <c r="A296">
        <v>295</v>
      </c>
      <c r="B296" t="s">
        <v>693</v>
      </c>
    </row>
    <row r="297" spans="1:2" x14ac:dyDescent="0.2">
      <c r="A297">
        <v>296</v>
      </c>
      <c r="B297" t="s">
        <v>694</v>
      </c>
    </row>
    <row r="298" spans="1:2" x14ac:dyDescent="0.2">
      <c r="A298">
        <v>297</v>
      </c>
      <c r="B298" t="s">
        <v>387</v>
      </c>
    </row>
    <row r="299" spans="1:2" x14ac:dyDescent="0.2">
      <c r="A299">
        <v>298</v>
      </c>
      <c r="B299" t="s">
        <v>695</v>
      </c>
    </row>
    <row r="300" spans="1:2" x14ac:dyDescent="0.2">
      <c r="A300">
        <v>299</v>
      </c>
      <c r="B300" t="s">
        <v>696</v>
      </c>
    </row>
    <row r="301" spans="1:2" x14ac:dyDescent="0.2">
      <c r="A301">
        <v>300</v>
      </c>
      <c r="B301" t="s">
        <v>697</v>
      </c>
    </row>
    <row r="302" spans="1:2" x14ac:dyDescent="0.2">
      <c r="A302">
        <v>301</v>
      </c>
      <c r="B302" t="s">
        <v>698</v>
      </c>
    </row>
    <row r="303" spans="1:2" x14ac:dyDescent="0.2">
      <c r="A303">
        <v>302</v>
      </c>
      <c r="B303" t="s">
        <v>699</v>
      </c>
    </row>
    <row r="304" spans="1:2" x14ac:dyDescent="0.2">
      <c r="A304">
        <v>303</v>
      </c>
      <c r="B304" t="s">
        <v>700</v>
      </c>
    </row>
    <row r="305" spans="1:2" x14ac:dyDescent="0.2">
      <c r="A305">
        <v>304</v>
      </c>
      <c r="B305" t="s">
        <v>701</v>
      </c>
    </row>
    <row r="306" spans="1:2" x14ac:dyDescent="0.2">
      <c r="A306">
        <v>305</v>
      </c>
      <c r="B306" t="s">
        <v>564</v>
      </c>
    </row>
    <row r="307" spans="1:2" x14ac:dyDescent="0.2">
      <c r="A307">
        <v>306</v>
      </c>
      <c r="B307" t="s">
        <v>702</v>
      </c>
    </row>
    <row r="308" spans="1:2" x14ac:dyDescent="0.2">
      <c r="A308">
        <v>307</v>
      </c>
      <c r="B308" t="s">
        <v>703</v>
      </c>
    </row>
    <row r="309" spans="1:2" x14ac:dyDescent="0.2">
      <c r="A309">
        <v>308</v>
      </c>
      <c r="B309" t="s">
        <v>200</v>
      </c>
    </row>
    <row r="310" spans="1:2" x14ac:dyDescent="0.2">
      <c r="A310">
        <v>309</v>
      </c>
      <c r="B310" t="s">
        <v>133</v>
      </c>
    </row>
    <row r="311" spans="1:2" x14ac:dyDescent="0.2">
      <c r="A311">
        <v>310</v>
      </c>
      <c r="B311" t="s">
        <v>150</v>
      </c>
    </row>
    <row r="312" spans="1:2" x14ac:dyDescent="0.2">
      <c r="A312">
        <v>311</v>
      </c>
      <c r="B312" t="s">
        <v>217</v>
      </c>
    </row>
    <row r="313" spans="1:2" x14ac:dyDescent="0.2">
      <c r="A313">
        <v>312</v>
      </c>
      <c r="B313" t="s">
        <v>326</v>
      </c>
    </row>
    <row r="314" spans="1:2" x14ac:dyDescent="0.2">
      <c r="A314">
        <v>313</v>
      </c>
      <c r="B314" t="s">
        <v>25</v>
      </c>
    </row>
    <row r="315" spans="1:2" x14ac:dyDescent="0.2">
      <c r="A315">
        <v>314</v>
      </c>
      <c r="B315" t="s">
        <v>434</v>
      </c>
    </row>
    <row r="316" spans="1:2" x14ac:dyDescent="0.2">
      <c r="A316">
        <v>315</v>
      </c>
      <c r="B316" t="s">
        <v>110</v>
      </c>
    </row>
    <row r="317" spans="1:2" x14ac:dyDescent="0.2">
      <c r="A317">
        <v>316</v>
      </c>
      <c r="B317" t="s">
        <v>545</v>
      </c>
    </row>
    <row r="318" spans="1:2" x14ac:dyDescent="0.2">
      <c r="A318">
        <v>317</v>
      </c>
      <c r="B318" t="s">
        <v>282</v>
      </c>
    </row>
    <row r="319" spans="1:2" x14ac:dyDescent="0.2">
      <c r="A319">
        <v>318</v>
      </c>
      <c r="B319" t="s">
        <v>187</v>
      </c>
    </row>
    <row r="320" spans="1:2" x14ac:dyDescent="0.2">
      <c r="A320">
        <v>319</v>
      </c>
      <c r="B320" t="s">
        <v>704</v>
      </c>
    </row>
    <row r="321" spans="1:2" x14ac:dyDescent="0.2">
      <c r="A321">
        <v>320</v>
      </c>
      <c r="B321" t="s">
        <v>705</v>
      </c>
    </row>
    <row r="322" spans="1:2" x14ac:dyDescent="0.2">
      <c r="A322">
        <v>321</v>
      </c>
      <c r="B322" t="s">
        <v>36</v>
      </c>
    </row>
    <row r="323" spans="1:2" x14ac:dyDescent="0.2">
      <c r="A323">
        <v>322</v>
      </c>
      <c r="B323" t="s">
        <v>299</v>
      </c>
    </row>
    <row r="324" spans="1:2" x14ac:dyDescent="0.2">
      <c r="A324">
        <v>323</v>
      </c>
      <c r="B324" t="s">
        <v>119</v>
      </c>
    </row>
  </sheetData>
  <sortState xmlns:xlrd2="http://schemas.microsoft.com/office/spreadsheetml/2017/richdata2" ref="A2:B324">
    <sortCondition ref="B2:B324"/>
  </sortState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1630E-74AF-41FB-B19E-CAD59F4107F2}">
  <dimension ref="A1:A410"/>
  <sheetViews>
    <sheetView topLeftCell="A358" zoomScale="85" zoomScaleNormal="85" workbookViewId="0">
      <selection activeCell="A411" sqref="A411"/>
    </sheetView>
  </sheetViews>
  <sheetFormatPr defaultRowHeight="12.75" x14ac:dyDescent="0.2"/>
  <cols>
    <col min="1" max="1" width="79.85546875" customWidth="1"/>
  </cols>
  <sheetData>
    <row r="1" spans="1:1" ht="15" x14ac:dyDescent="0.2">
      <c r="A1" s="107" t="s">
        <v>0</v>
      </c>
    </row>
    <row r="2" spans="1:1" x14ac:dyDescent="0.2">
      <c r="A2" s="111" t="s">
        <v>184</v>
      </c>
    </row>
    <row r="3" spans="1:1" x14ac:dyDescent="0.2">
      <c r="A3" s="124" t="s">
        <v>382</v>
      </c>
    </row>
    <row r="4" spans="1:1" x14ac:dyDescent="0.2">
      <c r="A4" s="52" t="s">
        <v>284</v>
      </c>
    </row>
    <row r="5" spans="1:1" x14ac:dyDescent="0.2">
      <c r="A5" s="52" t="s">
        <v>266</v>
      </c>
    </row>
    <row r="6" spans="1:1" x14ac:dyDescent="0.2">
      <c r="A6" s="109" t="s">
        <v>260</v>
      </c>
    </row>
    <row r="7" spans="1:1" x14ac:dyDescent="0.2">
      <c r="A7" s="109" t="s">
        <v>279</v>
      </c>
    </row>
    <row r="8" spans="1:1" x14ac:dyDescent="0.2">
      <c r="A8" s="125" t="s">
        <v>161</v>
      </c>
    </row>
    <row r="9" spans="1:1" x14ac:dyDescent="0.2">
      <c r="A9" s="52" t="s">
        <v>383</v>
      </c>
    </row>
    <row r="10" spans="1:1" x14ac:dyDescent="0.2">
      <c r="A10" s="52" t="s">
        <v>552</v>
      </c>
    </row>
    <row r="11" spans="1:1" x14ac:dyDescent="0.2">
      <c r="A11" s="116" t="s">
        <v>556</v>
      </c>
    </row>
    <row r="12" spans="1:1" x14ac:dyDescent="0.2">
      <c r="A12" s="108" t="s">
        <v>416</v>
      </c>
    </row>
    <row r="13" spans="1:1" x14ac:dyDescent="0.2">
      <c r="A13" s="109" t="s">
        <v>229</v>
      </c>
    </row>
    <row r="14" spans="1:1" x14ac:dyDescent="0.2">
      <c r="A14" s="109" t="s">
        <v>298</v>
      </c>
    </row>
    <row r="15" spans="1:1" x14ac:dyDescent="0.2">
      <c r="A15" s="111" t="s">
        <v>311</v>
      </c>
    </row>
    <row r="16" spans="1:1" x14ac:dyDescent="0.2">
      <c r="A16" s="111" t="s">
        <v>503</v>
      </c>
    </row>
    <row r="17" spans="1:1" x14ac:dyDescent="0.2">
      <c r="A17" s="111" t="s">
        <v>243</v>
      </c>
    </row>
    <row r="18" spans="1:1" x14ac:dyDescent="0.2">
      <c r="A18" s="111" t="s">
        <v>77</v>
      </c>
    </row>
    <row r="19" spans="1:1" x14ac:dyDescent="0.2">
      <c r="A19" s="111" t="s">
        <v>273</v>
      </c>
    </row>
    <row r="20" spans="1:1" x14ac:dyDescent="0.2">
      <c r="A20" s="108" t="s">
        <v>182</v>
      </c>
    </row>
    <row r="21" spans="1:1" x14ac:dyDescent="0.2">
      <c r="A21" s="109" t="s">
        <v>225</v>
      </c>
    </row>
    <row r="22" spans="1:1" x14ac:dyDescent="0.2">
      <c r="A22" s="109" t="s">
        <v>366</v>
      </c>
    </row>
    <row r="23" spans="1:1" x14ac:dyDescent="0.2">
      <c r="A23" s="116" t="s">
        <v>401</v>
      </c>
    </row>
    <row r="24" spans="1:1" x14ac:dyDescent="0.2">
      <c r="A24" s="128" t="s">
        <v>494</v>
      </c>
    </row>
    <row r="25" spans="1:1" x14ac:dyDescent="0.2">
      <c r="A25" s="108" t="s">
        <v>422</v>
      </c>
    </row>
    <row r="26" spans="1:1" x14ac:dyDescent="0.2">
      <c r="A26" s="52" t="s">
        <v>207</v>
      </c>
    </row>
    <row r="27" spans="1:1" x14ac:dyDescent="0.2">
      <c r="A27" s="128" t="s">
        <v>473</v>
      </c>
    </row>
    <row r="28" spans="1:1" x14ac:dyDescent="0.2">
      <c r="A28" s="52" t="s">
        <v>424</v>
      </c>
    </row>
    <row r="29" spans="1:1" x14ac:dyDescent="0.2">
      <c r="A29" s="125" t="s">
        <v>106</v>
      </c>
    </row>
    <row r="30" spans="1:1" x14ac:dyDescent="0.2">
      <c r="A30" s="111" t="s">
        <v>395</v>
      </c>
    </row>
    <row r="31" spans="1:1" x14ac:dyDescent="0.2">
      <c r="A31" s="124" t="s">
        <v>283</v>
      </c>
    </row>
    <row r="32" spans="1:1" x14ac:dyDescent="0.2">
      <c r="A32" s="128" t="s">
        <v>379</v>
      </c>
    </row>
    <row r="33" spans="1:1" x14ac:dyDescent="0.2">
      <c r="A33" s="52" t="s">
        <v>390</v>
      </c>
    </row>
    <row r="34" spans="1:1" x14ac:dyDescent="0.2">
      <c r="A34" s="109" t="s">
        <v>18</v>
      </c>
    </row>
    <row r="35" spans="1:1" x14ac:dyDescent="0.2">
      <c r="A35" s="109" t="s">
        <v>19</v>
      </c>
    </row>
    <row r="36" spans="1:1" x14ac:dyDescent="0.2">
      <c r="A36" s="116" t="s">
        <v>527</v>
      </c>
    </row>
    <row r="37" spans="1:1" x14ac:dyDescent="0.2">
      <c r="A37" s="116" t="s">
        <v>262</v>
      </c>
    </row>
    <row r="38" spans="1:1" x14ac:dyDescent="0.2">
      <c r="A38" s="111" t="s">
        <v>268</v>
      </c>
    </row>
    <row r="39" spans="1:1" x14ac:dyDescent="0.2">
      <c r="A39" s="116" t="s">
        <v>515</v>
      </c>
    </row>
    <row r="40" spans="1:1" x14ac:dyDescent="0.2">
      <c r="A40" s="116" t="s">
        <v>113</v>
      </c>
    </row>
    <row r="41" spans="1:1" x14ac:dyDescent="0.2">
      <c r="A41" s="52" t="s">
        <v>536</v>
      </c>
    </row>
    <row r="42" spans="1:1" x14ac:dyDescent="0.2">
      <c r="A42" s="115" t="s">
        <v>534</v>
      </c>
    </row>
    <row r="43" spans="1:1" x14ac:dyDescent="0.2">
      <c r="A43" s="130" t="s">
        <v>35</v>
      </c>
    </row>
    <row r="44" spans="1:1" x14ac:dyDescent="0.2">
      <c r="A44" s="108" t="s">
        <v>183</v>
      </c>
    </row>
    <row r="45" spans="1:1" x14ac:dyDescent="0.2">
      <c r="A45" s="52" t="s">
        <v>460</v>
      </c>
    </row>
    <row r="46" spans="1:1" x14ac:dyDescent="0.2">
      <c r="A46" s="111" t="s">
        <v>156</v>
      </c>
    </row>
    <row r="47" spans="1:1" x14ac:dyDescent="0.2">
      <c r="A47" s="111" t="s">
        <v>70</v>
      </c>
    </row>
    <row r="48" spans="1:1" x14ac:dyDescent="0.2">
      <c r="A48" s="52" t="s">
        <v>486</v>
      </c>
    </row>
    <row r="49" spans="1:1" x14ac:dyDescent="0.2">
      <c r="A49" s="128" t="s">
        <v>319</v>
      </c>
    </row>
    <row r="50" spans="1:1" x14ac:dyDescent="0.2">
      <c r="A50" s="111" t="s">
        <v>318</v>
      </c>
    </row>
    <row r="51" spans="1:1" x14ac:dyDescent="0.2">
      <c r="A51" s="111" t="s">
        <v>169</v>
      </c>
    </row>
    <row r="52" spans="1:1" x14ac:dyDescent="0.2">
      <c r="A52" s="52" t="s">
        <v>419</v>
      </c>
    </row>
    <row r="53" spans="1:1" x14ac:dyDescent="0.2">
      <c r="A53" s="52" t="s">
        <v>65</v>
      </c>
    </row>
    <row r="54" spans="1:1" x14ac:dyDescent="0.2">
      <c r="A54" s="109" t="s">
        <v>317</v>
      </c>
    </row>
    <row r="55" spans="1:1" x14ac:dyDescent="0.2">
      <c r="A55" s="109" t="s">
        <v>476</v>
      </c>
    </row>
    <row r="56" spans="1:1" x14ac:dyDescent="0.2">
      <c r="A56" s="111" t="s">
        <v>493</v>
      </c>
    </row>
    <row r="57" spans="1:1" x14ac:dyDescent="0.2">
      <c r="A57" s="116" t="s">
        <v>140</v>
      </c>
    </row>
    <row r="58" spans="1:1" x14ac:dyDescent="0.2">
      <c r="A58" s="116" t="s">
        <v>159</v>
      </c>
    </row>
    <row r="59" spans="1:1" x14ac:dyDescent="0.2">
      <c r="A59" s="109" t="s">
        <v>350</v>
      </c>
    </row>
    <row r="60" spans="1:1" x14ac:dyDescent="0.2">
      <c r="A60" s="111" t="s">
        <v>525</v>
      </c>
    </row>
    <row r="61" spans="1:1" x14ac:dyDescent="0.2">
      <c r="A61" s="123" t="s">
        <v>516</v>
      </c>
    </row>
    <row r="62" spans="1:1" x14ac:dyDescent="0.2">
      <c r="A62" s="123" t="s">
        <v>540</v>
      </c>
    </row>
    <row r="63" spans="1:1" x14ac:dyDescent="0.2">
      <c r="A63" s="109" t="s">
        <v>271</v>
      </c>
    </row>
    <row r="64" spans="1:1" x14ac:dyDescent="0.2">
      <c r="A64" s="52" t="s">
        <v>385</v>
      </c>
    </row>
    <row r="65" spans="1:1" x14ac:dyDescent="0.2">
      <c r="A65" s="109" t="s">
        <v>378</v>
      </c>
    </row>
    <row r="66" spans="1:1" x14ac:dyDescent="0.2">
      <c r="A66" s="111" t="s">
        <v>541</v>
      </c>
    </row>
    <row r="67" spans="1:1" x14ac:dyDescent="0.2">
      <c r="A67" s="111" t="s">
        <v>146</v>
      </c>
    </row>
    <row r="68" spans="1:1" x14ac:dyDescent="0.2">
      <c r="A68" s="109" t="s">
        <v>436</v>
      </c>
    </row>
    <row r="69" spans="1:1" x14ac:dyDescent="0.2">
      <c r="A69" s="52" t="s">
        <v>238</v>
      </c>
    </row>
    <row r="70" spans="1:1" x14ac:dyDescent="0.2">
      <c r="A70" s="52" t="s">
        <v>71</v>
      </c>
    </row>
    <row r="71" spans="1:1" x14ac:dyDescent="0.2">
      <c r="A71" s="116" t="s">
        <v>171</v>
      </c>
    </row>
    <row r="72" spans="1:1" x14ac:dyDescent="0.2">
      <c r="A72" s="130" t="s">
        <v>301</v>
      </c>
    </row>
    <row r="73" spans="1:1" x14ac:dyDescent="0.2">
      <c r="A73" s="116" t="s">
        <v>509</v>
      </c>
    </row>
    <row r="74" spans="1:1" x14ac:dyDescent="0.2">
      <c r="A74" s="130" t="s">
        <v>442</v>
      </c>
    </row>
    <row r="75" spans="1:1" x14ac:dyDescent="0.2">
      <c r="A75" s="52" t="s">
        <v>572</v>
      </c>
    </row>
    <row r="76" spans="1:1" x14ac:dyDescent="0.2">
      <c r="A76" s="52" t="s">
        <v>558</v>
      </c>
    </row>
    <row r="77" spans="1:1" x14ac:dyDescent="0.2">
      <c r="A77" s="111" t="s">
        <v>530</v>
      </c>
    </row>
    <row r="78" spans="1:1" x14ac:dyDescent="0.2">
      <c r="A78" s="109" t="s">
        <v>459</v>
      </c>
    </row>
    <row r="79" spans="1:1" x14ac:dyDescent="0.2">
      <c r="A79" s="111" t="s">
        <v>14</v>
      </c>
    </row>
    <row r="80" spans="1:1" x14ac:dyDescent="0.2">
      <c r="A80" s="108" t="s">
        <v>79</v>
      </c>
    </row>
    <row r="81" spans="1:1" x14ac:dyDescent="0.2">
      <c r="A81" s="108" t="s">
        <v>242</v>
      </c>
    </row>
    <row r="82" spans="1:1" x14ac:dyDescent="0.2">
      <c r="A82" s="108" t="s">
        <v>367</v>
      </c>
    </row>
    <row r="83" spans="1:1" x14ac:dyDescent="0.2">
      <c r="A83" s="108" t="s">
        <v>325</v>
      </c>
    </row>
    <row r="84" spans="1:1" x14ac:dyDescent="0.2">
      <c r="A84" s="128" t="s">
        <v>5</v>
      </c>
    </row>
    <row r="85" spans="1:1" x14ac:dyDescent="0.2">
      <c r="A85" s="128" t="s">
        <v>89</v>
      </c>
    </row>
    <row r="86" spans="1:1" x14ac:dyDescent="0.2">
      <c r="A86" s="111" t="s">
        <v>41</v>
      </c>
    </row>
    <row r="87" spans="1:1" x14ac:dyDescent="0.2">
      <c r="A87" s="111" t="s">
        <v>54</v>
      </c>
    </row>
    <row r="88" spans="1:1" x14ac:dyDescent="0.2">
      <c r="A88" s="111" t="s">
        <v>241</v>
      </c>
    </row>
    <row r="89" spans="1:1" x14ac:dyDescent="0.2">
      <c r="A89" s="52" t="s">
        <v>46</v>
      </c>
    </row>
    <row r="90" spans="1:1" x14ac:dyDescent="0.2">
      <c r="A90" s="114" t="s">
        <v>96</v>
      </c>
    </row>
    <row r="91" spans="1:1" x14ac:dyDescent="0.2">
      <c r="A91" s="114" t="s">
        <v>464</v>
      </c>
    </row>
    <row r="92" spans="1:1" x14ac:dyDescent="0.2">
      <c r="A92" s="111" t="s">
        <v>452</v>
      </c>
    </row>
    <row r="93" spans="1:1" x14ac:dyDescent="0.2">
      <c r="A93" s="128" t="s">
        <v>198</v>
      </c>
    </row>
    <row r="94" spans="1:1" x14ac:dyDescent="0.2">
      <c r="A94" s="128" t="s">
        <v>250</v>
      </c>
    </row>
    <row r="95" spans="1:1" x14ac:dyDescent="0.2">
      <c r="A95" s="52" t="s">
        <v>122</v>
      </c>
    </row>
    <row r="96" spans="1:1" x14ac:dyDescent="0.2">
      <c r="A96" s="52" t="s">
        <v>251</v>
      </c>
    </row>
    <row r="97" spans="1:1" x14ac:dyDescent="0.2">
      <c r="A97" s="52" t="s">
        <v>328</v>
      </c>
    </row>
    <row r="98" spans="1:1" x14ac:dyDescent="0.2">
      <c r="A98" s="52" t="s">
        <v>288</v>
      </c>
    </row>
    <row r="99" spans="1:1" x14ac:dyDescent="0.2">
      <c r="A99" s="52" t="s">
        <v>287</v>
      </c>
    </row>
    <row r="100" spans="1:1" x14ac:dyDescent="0.2">
      <c r="A100" s="111" t="s">
        <v>292</v>
      </c>
    </row>
    <row r="101" spans="1:1" x14ac:dyDescent="0.2">
      <c r="A101" s="108" t="s">
        <v>278</v>
      </c>
    </row>
    <row r="102" spans="1:1" x14ac:dyDescent="0.2">
      <c r="A102" s="109" t="s">
        <v>428</v>
      </c>
    </row>
    <row r="103" spans="1:1" x14ac:dyDescent="0.2">
      <c r="A103" s="109" t="s">
        <v>430</v>
      </c>
    </row>
    <row r="104" spans="1:1" x14ac:dyDescent="0.2">
      <c r="A104" s="109" t="s">
        <v>414</v>
      </c>
    </row>
    <row r="105" spans="1:1" x14ac:dyDescent="0.2">
      <c r="A105" s="111" t="s">
        <v>450</v>
      </c>
    </row>
    <row r="106" spans="1:1" x14ac:dyDescent="0.2">
      <c r="A106" s="52" t="s">
        <v>42</v>
      </c>
    </row>
    <row r="107" spans="1:1" x14ac:dyDescent="0.2">
      <c r="A107" s="111" t="s">
        <v>26</v>
      </c>
    </row>
    <row r="108" spans="1:1" x14ac:dyDescent="0.2">
      <c r="A108" s="109" t="s">
        <v>82</v>
      </c>
    </row>
    <row r="109" spans="1:1" x14ac:dyDescent="0.2">
      <c r="A109" s="52" t="s">
        <v>117</v>
      </c>
    </row>
    <row r="110" spans="1:1" x14ac:dyDescent="0.2">
      <c r="A110" s="52" t="s">
        <v>227</v>
      </c>
    </row>
    <row r="111" spans="1:1" x14ac:dyDescent="0.2">
      <c r="A111" s="109" t="s">
        <v>405</v>
      </c>
    </row>
    <row r="112" spans="1:1" x14ac:dyDescent="0.2">
      <c r="A112" s="52" t="s">
        <v>138</v>
      </c>
    </row>
    <row r="113" spans="1:1" x14ac:dyDescent="0.2">
      <c r="A113" s="111" t="s">
        <v>237</v>
      </c>
    </row>
    <row r="114" spans="1:1" x14ac:dyDescent="0.2">
      <c r="A114" s="111" t="s">
        <v>78</v>
      </c>
    </row>
    <row r="115" spans="1:1" x14ac:dyDescent="0.2">
      <c r="A115" s="111" t="s">
        <v>550</v>
      </c>
    </row>
    <row r="116" spans="1:1" x14ac:dyDescent="0.2">
      <c r="A116" s="128" t="s">
        <v>359</v>
      </c>
    </row>
    <row r="117" spans="1:1" x14ac:dyDescent="0.2">
      <c r="A117" s="116" t="s">
        <v>561</v>
      </c>
    </row>
    <row r="118" spans="1:1" x14ac:dyDescent="0.2">
      <c r="A118" s="109" t="s">
        <v>23</v>
      </c>
    </row>
    <row r="119" spans="1:1" x14ac:dyDescent="0.2">
      <c r="A119" s="130" t="s">
        <v>107</v>
      </c>
    </row>
    <row r="120" spans="1:1" x14ac:dyDescent="0.2">
      <c r="A120" s="111" t="s">
        <v>315</v>
      </c>
    </row>
    <row r="121" spans="1:1" x14ac:dyDescent="0.2">
      <c r="A121" s="116" t="s">
        <v>351</v>
      </c>
    </row>
    <row r="122" spans="1:1" x14ac:dyDescent="0.2">
      <c r="A122" s="52" t="s">
        <v>86</v>
      </c>
    </row>
    <row r="123" spans="1:1" x14ac:dyDescent="0.2">
      <c r="A123" s="52" t="s">
        <v>172</v>
      </c>
    </row>
    <row r="124" spans="1:1" x14ac:dyDescent="0.2">
      <c r="A124" s="111" t="s">
        <v>73</v>
      </c>
    </row>
    <row r="125" spans="1:1" x14ac:dyDescent="0.2">
      <c r="A125" s="111" t="s">
        <v>421</v>
      </c>
    </row>
    <row r="126" spans="1:1" x14ac:dyDescent="0.2">
      <c r="A126" s="111" t="s">
        <v>520</v>
      </c>
    </row>
    <row r="127" spans="1:1" x14ac:dyDescent="0.2">
      <c r="A127" s="109" t="s">
        <v>526</v>
      </c>
    </row>
    <row r="128" spans="1:1" x14ac:dyDescent="0.2">
      <c r="A128" s="130" t="s">
        <v>448</v>
      </c>
    </row>
    <row r="129" spans="1:1" x14ac:dyDescent="0.2">
      <c r="A129" s="52" t="s">
        <v>309</v>
      </c>
    </row>
    <row r="130" spans="1:1" x14ac:dyDescent="0.2">
      <c r="A130" s="111" t="s">
        <v>491</v>
      </c>
    </row>
    <row r="131" spans="1:1" x14ac:dyDescent="0.2">
      <c r="A131" s="52" t="s">
        <v>68</v>
      </c>
    </row>
    <row r="132" spans="1:1" x14ac:dyDescent="0.2">
      <c r="A132" s="134" t="s">
        <v>50</v>
      </c>
    </row>
    <row r="133" spans="1:1" x14ac:dyDescent="0.2">
      <c r="A133" s="111" t="s">
        <v>305</v>
      </c>
    </row>
    <row r="134" spans="1:1" x14ac:dyDescent="0.2">
      <c r="A134" s="109" t="s">
        <v>320</v>
      </c>
    </row>
    <row r="135" spans="1:1" x14ac:dyDescent="0.2">
      <c r="A135" s="111" t="s">
        <v>322</v>
      </c>
    </row>
    <row r="136" spans="1:1" x14ac:dyDescent="0.2">
      <c r="A136" s="111" t="s">
        <v>505</v>
      </c>
    </row>
    <row r="137" spans="1:1" x14ac:dyDescent="0.2">
      <c r="A137" s="114" t="s">
        <v>480</v>
      </c>
    </row>
    <row r="138" spans="1:1" x14ac:dyDescent="0.2">
      <c r="A138" s="111" t="s">
        <v>404</v>
      </c>
    </row>
    <row r="139" spans="1:1" x14ac:dyDescent="0.2">
      <c r="A139" s="52" t="s">
        <v>97</v>
      </c>
    </row>
    <row r="140" spans="1:1" x14ac:dyDescent="0.2">
      <c r="A140" s="52" t="s">
        <v>49</v>
      </c>
    </row>
    <row r="141" spans="1:1" x14ac:dyDescent="0.2">
      <c r="A141" s="124" t="s">
        <v>497</v>
      </c>
    </row>
    <row r="142" spans="1:1" x14ac:dyDescent="0.2">
      <c r="A142" s="116" t="s">
        <v>331</v>
      </c>
    </row>
    <row r="143" spans="1:1" x14ac:dyDescent="0.2">
      <c r="A143" s="128" t="s">
        <v>256</v>
      </c>
    </row>
    <row r="144" spans="1:1" x14ac:dyDescent="0.2">
      <c r="A144" s="109" t="s">
        <v>321</v>
      </c>
    </row>
    <row r="145" spans="1:1" x14ac:dyDescent="0.2">
      <c r="A145" s="109" t="s">
        <v>307</v>
      </c>
    </row>
    <row r="146" spans="1:1" x14ac:dyDescent="0.2">
      <c r="A146" s="109" t="s">
        <v>300</v>
      </c>
    </row>
    <row r="147" spans="1:1" x14ac:dyDescent="0.2">
      <c r="A147" s="52" t="s">
        <v>126</v>
      </c>
    </row>
    <row r="148" spans="1:1" x14ac:dyDescent="0.2">
      <c r="A148" s="52" t="s">
        <v>551</v>
      </c>
    </row>
    <row r="149" spans="1:1" x14ac:dyDescent="0.2">
      <c r="A149" s="116" t="s">
        <v>259</v>
      </c>
    </row>
    <row r="150" spans="1:1" x14ac:dyDescent="0.2">
      <c r="A150" s="52" t="s">
        <v>380</v>
      </c>
    </row>
    <row r="151" spans="1:1" x14ac:dyDescent="0.2">
      <c r="A151" s="52" t="s">
        <v>489</v>
      </c>
    </row>
    <row r="152" spans="1:1" x14ac:dyDescent="0.2">
      <c r="A152" s="124" t="s">
        <v>391</v>
      </c>
    </row>
    <row r="153" spans="1:1" x14ac:dyDescent="0.2">
      <c r="A153" s="117" t="s">
        <v>470</v>
      </c>
    </row>
    <row r="154" spans="1:1" x14ac:dyDescent="0.2">
      <c r="A154" s="109" t="s">
        <v>446</v>
      </c>
    </row>
    <row r="155" spans="1:1" x14ac:dyDescent="0.2">
      <c r="A155" s="109" t="s">
        <v>542</v>
      </c>
    </row>
    <row r="156" spans="1:1" x14ac:dyDescent="0.2">
      <c r="A156" s="109" t="s">
        <v>31</v>
      </c>
    </row>
    <row r="157" spans="1:1" x14ac:dyDescent="0.2">
      <c r="A157" s="109" t="s">
        <v>557</v>
      </c>
    </row>
    <row r="158" spans="1:1" x14ac:dyDescent="0.2">
      <c r="A158" s="117" t="s">
        <v>69</v>
      </c>
    </row>
    <row r="159" spans="1:1" x14ac:dyDescent="0.2">
      <c r="A159" s="130" t="s">
        <v>573</v>
      </c>
    </row>
    <row r="160" spans="1:1" x14ac:dyDescent="0.2">
      <c r="A160" s="130" t="s">
        <v>510</v>
      </c>
    </row>
    <row r="161" spans="1:1" x14ac:dyDescent="0.2">
      <c r="A161" s="52" t="s">
        <v>20</v>
      </c>
    </row>
    <row r="162" spans="1:1" x14ac:dyDescent="0.2">
      <c r="A162" s="109" t="s">
        <v>66</v>
      </c>
    </row>
    <row r="163" spans="1:1" x14ac:dyDescent="0.2">
      <c r="A163" s="116" t="s">
        <v>357</v>
      </c>
    </row>
    <row r="164" spans="1:1" x14ac:dyDescent="0.2">
      <c r="A164" s="108" t="s">
        <v>384</v>
      </c>
    </row>
    <row r="165" spans="1:1" x14ac:dyDescent="0.2">
      <c r="A165" s="111" t="s">
        <v>275</v>
      </c>
    </row>
    <row r="166" spans="1:1" x14ac:dyDescent="0.2">
      <c r="A166" s="112" t="s">
        <v>264</v>
      </c>
    </row>
    <row r="167" spans="1:1" x14ac:dyDescent="0.2">
      <c r="A167" s="124" t="s">
        <v>255</v>
      </c>
    </row>
    <row r="168" spans="1:1" x14ac:dyDescent="0.2">
      <c r="A168" s="116" t="s">
        <v>139</v>
      </c>
    </row>
    <row r="169" spans="1:1" x14ac:dyDescent="0.2">
      <c r="A169" s="52" t="s">
        <v>177</v>
      </c>
    </row>
    <row r="170" spans="1:1" x14ac:dyDescent="0.2">
      <c r="A170" s="52" t="s">
        <v>191</v>
      </c>
    </row>
    <row r="171" spans="1:1" x14ac:dyDescent="0.2">
      <c r="A171" s="52" t="s">
        <v>465</v>
      </c>
    </row>
    <row r="172" spans="1:1" x14ac:dyDescent="0.2">
      <c r="A172" s="116" t="s">
        <v>453</v>
      </c>
    </row>
    <row r="173" spans="1:1" x14ac:dyDescent="0.2">
      <c r="A173" s="111" t="s">
        <v>457</v>
      </c>
    </row>
    <row r="174" spans="1:1" x14ac:dyDescent="0.2">
      <c r="A174" s="116" t="s">
        <v>447</v>
      </c>
    </row>
    <row r="175" spans="1:1" x14ac:dyDescent="0.2">
      <c r="A175" s="111" t="s">
        <v>587</v>
      </c>
    </row>
    <row r="176" spans="1:1" x14ac:dyDescent="0.2">
      <c r="A176" s="109" t="s">
        <v>581</v>
      </c>
    </row>
    <row r="177" spans="1:1" x14ac:dyDescent="0.2">
      <c r="A177" s="111" t="s">
        <v>213</v>
      </c>
    </row>
    <row r="178" spans="1:1" x14ac:dyDescent="0.2">
      <c r="A178" s="111" t="s">
        <v>358</v>
      </c>
    </row>
    <row r="179" spans="1:1" x14ac:dyDescent="0.2">
      <c r="A179" s="111" t="s">
        <v>67</v>
      </c>
    </row>
    <row r="180" spans="1:1" x14ac:dyDescent="0.2">
      <c r="A180" s="127" t="s">
        <v>377</v>
      </c>
    </row>
    <row r="181" spans="1:1" x14ac:dyDescent="0.2">
      <c r="A181" s="52" t="s">
        <v>567</v>
      </c>
    </row>
    <row r="182" spans="1:1" x14ac:dyDescent="0.2">
      <c r="A182" s="52" t="s">
        <v>230</v>
      </c>
    </row>
    <row r="183" spans="1:1" x14ac:dyDescent="0.2">
      <c r="A183" s="111" t="s">
        <v>352</v>
      </c>
    </row>
    <row r="184" spans="1:1" x14ac:dyDescent="0.2">
      <c r="A184" s="116" t="s">
        <v>316</v>
      </c>
    </row>
    <row r="185" spans="1:1" x14ac:dyDescent="0.2">
      <c r="A185" s="116" t="s">
        <v>535</v>
      </c>
    </row>
    <row r="186" spans="1:1" x14ac:dyDescent="0.2">
      <c r="A186" s="116" t="s">
        <v>195</v>
      </c>
    </row>
    <row r="187" spans="1:1" x14ac:dyDescent="0.2">
      <c r="A187" s="116" t="s">
        <v>418</v>
      </c>
    </row>
    <row r="188" spans="1:1" x14ac:dyDescent="0.2">
      <c r="A188" s="116" t="s">
        <v>179</v>
      </c>
    </row>
    <row r="189" spans="1:1" x14ac:dyDescent="0.2">
      <c r="A189" s="116" t="s">
        <v>403</v>
      </c>
    </row>
    <row r="190" spans="1:1" x14ac:dyDescent="0.2">
      <c r="A190" s="108" t="s">
        <v>239</v>
      </c>
    </row>
    <row r="191" spans="1:1" x14ac:dyDescent="0.2">
      <c r="A191" s="111" t="s">
        <v>356</v>
      </c>
    </row>
    <row r="192" spans="1:1" x14ac:dyDescent="0.2">
      <c r="A192" s="109" t="s">
        <v>363</v>
      </c>
    </row>
    <row r="193" spans="1:1" x14ac:dyDescent="0.2">
      <c r="A193" s="109" t="s">
        <v>389</v>
      </c>
    </row>
    <row r="194" spans="1:1" x14ac:dyDescent="0.2">
      <c r="A194" s="111" t="s">
        <v>360</v>
      </c>
    </row>
    <row r="195" spans="1:1" x14ac:dyDescent="0.2">
      <c r="A195" s="52" t="s">
        <v>345</v>
      </c>
    </row>
    <row r="196" spans="1:1" x14ac:dyDescent="0.2">
      <c r="A196" s="52" t="s">
        <v>364</v>
      </c>
    </row>
    <row r="197" spans="1:1" x14ac:dyDescent="0.2">
      <c r="A197" s="111" t="s">
        <v>555</v>
      </c>
    </row>
    <row r="198" spans="1:1" x14ac:dyDescent="0.2">
      <c r="A198" s="108" t="s">
        <v>565</v>
      </c>
    </row>
    <row r="199" spans="1:1" x14ac:dyDescent="0.2">
      <c r="A199" s="135" t="s">
        <v>569</v>
      </c>
    </row>
    <row r="200" spans="1:1" x14ac:dyDescent="0.2">
      <c r="A200" s="135" t="s">
        <v>571</v>
      </c>
    </row>
    <row r="201" spans="1:1" x14ac:dyDescent="0.2">
      <c r="A201" s="52" t="s">
        <v>560</v>
      </c>
    </row>
    <row r="202" spans="1:1" x14ac:dyDescent="0.2">
      <c r="A202" s="135" t="s">
        <v>485</v>
      </c>
    </row>
    <row r="203" spans="1:1" x14ac:dyDescent="0.2">
      <c r="A203" s="122" t="s">
        <v>236</v>
      </c>
    </row>
    <row r="204" spans="1:1" x14ac:dyDescent="0.2">
      <c r="A204" s="119" t="s">
        <v>308</v>
      </c>
    </row>
    <row r="205" spans="1:1" x14ac:dyDescent="0.2">
      <c r="A205" s="109" t="s">
        <v>361</v>
      </c>
    </row>
    <row r="206" spans="1:1" x14ac:dyDescent="0.2">
      <c r="A206" s="116" t="s">
        <v>339</v>
      </c>
    </row>
    <row r="207" spans="1:1" x14ac:dyDescent="0.2">
      <c r="A207" s="110" t="s">
        <v>303</v>
      </c>
    </row>
    <row r="208" spans="1:1" x14ac:dyDescent="0.2">
      <c r="A208" s="111" t="s">
        <v>336</v>
      </c>
    </row>
    <row r="209" spans="1:1" x14ac:dyDescent="0.2">
      <c r="A209" s="111" t="s">
        <v>153</v>
      </c>
    </row>
    <row r="210" spans="1:1" x14ac:dyDescent="0.2">
      <c r="A210" s="52" t="s">
        <v>170</v>
      </c>
    </row>
    <row r="211" spans="1:1" x14ac:dyDescent="0.2">
      <c r="A211" s="118" t="s">
        <v>137</v>
      </c>
    </row>
    <row r="212" spans="1:1" x14ac:dyDescent="0.2">
      <c r="A212" s="108" t="s">
        <v>210</v>
      </c>
    </row>
    <row r="213" spans="1:1" x14ac:dyDescent="0.2">
      <c r="A213" s="116" t="s">
        <v>513</v>
      </c>
    </row>
    <row r="214" spans="1:1" x14ac:dyDescent="0.2">
      <c r="A214" s="52" t="s">
        <v>522</v>
      </c>
    </row>
    <row r="215" spans="1:1" x14ac:dyDescent="0.2">
      <c r="A215" s="116" t="s">
        <v>511</v>
      </c>
    </row>
    <row r="216" spans="1:1" x14ac:dyDescent="0.2">
      <c r="A216" s="52" t="s">
        <v>529</v>
      </c>
    </row>
    <row r="217" spans="1:1" x14ac:dyDescent="0.2">
      <c r="A217" s="111" t="s">
        <v>362</v>
      </c>
    </row>
    <row r="218" spans="1:1" x14ac:dyDescent="0.2">
      <c r="A218" s="52" t="s">
        <v>212</v>
      </c>
    </row>
    <row r="219" spans="1:1" x14ac:dyDescent="0.2">
      <c r="A219" s="52" t="s">
        <v>234</v>
      </c>
    </row>
    <row r="220" spans="1:1" x14ac:dyDescent="0.2">
      <c r="A220" s="52" t="s">
        <v>189</v>
      </c>
    </row>
    <row r="221" spans="1:1" x14ac:dyDescent="0.2">
      <c r="A221" s="52" t="s">
        <v>37</v>
      </c>
    </row>
    <row r="222" spans="1:1" x14ac:dyDescent="0.2">
      <c r="A222" s="52" t="s">
        <v>91</v>
      </c>
    </row>
    <row r="223" spans="1:1" x14ac:dyDescent="0.2">
      <c r="A223" s="111" t="s">
        <v>83</v>
      </c>
    </row>
    <row r="224" spans="1:1" x14ac:dyDescent="0.2">
      <c r="A224" s="52" t="s">
        <v>342</v>
      </c>
    </row>
    <row r="225" spans="1:1" x14ac:dyDescent="0.2">
      <c r="A225" s="116" t="s">
        <v>205</v>
      </c>
    </row>
    <row r="226" spans="1:1" x14ac:dyDescent="0.2">
      <c r="A226" s="111" t="s">
        <v>443</v>
      </c>
    </row>
    <row r="227" spans="1:1" x14ac:dyDescent="0.2">
      <c r="A227" s="128" t="s">
        <v>354</v>
      </c>
    </row>
    <row r="228" spans="1:1" x14ac:dyDescent="0.2">
      <c r="A228" s="52" t="s">
        <v>426</v>
      </c>
    </row>
    <row r="229" spans="1:1" x14ac:dyDescent="0.2">
      <c r="A229" s="52" t="s">
        <v>574</v>
      </c>
    </row>
    <row r="230" spans="1:1" x14ac:dyDescent="0.2">
      <c r="A230" s="52" t="s">
        <v>547</v>
      </c>
    </row>
    <row r="231" spans="1:1" x14ac:dyDescent="0.2">
      <c r="A231" s="52" t="s">
        <v>578</v>
      </c>
    </row>
    <row r="232" spans="1:1" x14ac:dyDescent="0.2">
      <c r="A232" s="111" t="s">
        <v>32</v>
      </c>
    </row>
    <row r="233" spans="1:1" x14ac:dyDescent="0.2">
      <c r="A233" s="52" t="s">
        <v>135</v>
      </c>
    </row>
    <row r="234" spans="1:1" x14ac:dyDescent="0.2">
      <c r="A234" s="109" t="s">
        <v>157</v>
      </c>
    </row>
    <row r="235" spans="1:1" x14ac:dyDescent="0.2">
      <c r="A235" s="52" t="s">
        <v>224</v>
      </c>
    </row>
    <row r="236" spans="1:1" x14ac:dyDescent="0.2">
      <c r="A236" s="52" t="s">
        <v>214</v>
      </c>
    </row>
    <row r="237" spans="1:1" x14ac:dyDescent="0.2">
      <c r="A237" s="109" t="s">
        <v>51</v>
      </c>
    </row>
    <row r="238" spans="1:1" x14ac:dyDescent="0.2">
      <c r="A238" s="52" t="s">
        <v>297</v>
      </c>
    </row>
    <row r="239" spans="1:1" x14ac:dyDescent="0.2">
      <c r="A239" s="52" t="s">
        <v>167</v>
      </c>
    </row>
    <row r="240" spans="1:1" x14ac:dyDescent="0.2">
      <c r="A240" s="52" t="s">
        <v>290</v>
      </c>
    </row>
    <row r="241" spans="1:1" x14ac:dyDescent="0.2">
      <c r="A241" s="135" t="s">
        <v>154</v>
      </c>
    </row>
    <row r="242" spans="1:1" x14ac:dyDescent="0.2">
      <c r="A242" s="52" t="s">
        <v>538</v>
      </c>
    </row>
    <row r="243" spans="1:1" x14ac:dyDescent="0.2">
      <c r="A243" s="116" t="s">
        <v>333</v>
      </c>
    </row>
    <row r="244" spans="1:1" x14ac:dyDescent="0.2">
      <c r="A244" s="52" t="s">
        <v>431</v>
      </c>
    </row>
    <row r="245" spans="1:1" x14ac:dyDescent="0.2">
      <c r="A245" s="52" t="s">
        <v>127</v>
      </c>
    </row>
    <row r="246" spans="1:1" x14ac:dyDescent="0.2">
      <c r="A246" s="52" t="s">
        <v>221</v>
      </c>
    </row>
    <row r="247" spans="1:1" x14ac:dyDescent="0.2">
      <c r="A247" s="111" t="s">
        <v>293</v>
      </c>
    </row>
    <row r="248" spans="1:1" x14ac:dyDescent="0.2">
      <c r="A248" s="111" t="s">
        <v>123</v>
      </c>
    </row>
    <row r="249" spans="1:1" x14ac:dyDescent="0.2">
      <c r="A249" s="108" t="s">
        <v>296</v>
      </c>
    </row>
    <row r="250" spans="1:1" x14ac:dyDescent="0.2">
      <c r="A250" s="111" t="s">
        <v>33</v>
      </c>
    </row>
    <row r="251" spans="1:1" x14ac:dyDescent="0.2">
      <c r="A251" s="111" t="s">
        <v>410</v>
      </c>
    </row>
    <row r="252" spans="1:1" x14ac:dyDescent="0.2">
      <c r="A252" s="52" t="s">
        <v>295</v>
      </c>
    </row>
    <row r="253" spans="1:1" x14ac:dyDescent="0.2">
      <c r="A253" s="52" t="s">
        <v>199</v>
      </c>
    </row>
    <row r="254" spans="1:1" x14ac:dyDescent="0.2">
      <c r="A254" s="135" t="s">
        <v>10</v>
      </c>
    </row>
    <row r="255" spans="1:1" x14ac:dyDescent="0.2">
      <c r="A255" s="52" t="s">
        <v>47</v>
      </c>
    </row>
    <row r="256" spans="1:1" x14ac:dyDescent="0.2">
      <c r="A256" s="116" t="s">
        <v>438</v>
      </c>
    </row>
    <row r="257" spans="1:1" x14ac:dyDescent="0.2">
      <c r="A257" s="52" t="s">
        <v>105</v>
      </c>
    </row>
    <row r="258" spans="1:1" x14ac:dyDescent="0.2">
      <c r="A258" s="52" t="s">
        <v>523</v>
      </c>
    </row>
    <row r="259" spans="1:1" x14ac:dyDescent="0.2">
      <c r="A259" s="130" t="s">
        <v>507</v>
      </c>
    </row>
    <row r="260" spans="1:1" x14ac:dyDescent="0.2">
      <c r="A260" s="116" t="s">
        <v>514</v>
      </c>
    </row>
    <row r="261" spans="1:1" x14ac:dyDescent="0.2">
      <c r="A261" s="109" t="s">
        <v>341</v>
      </c>
    </row>
    <row r="262" spans="1:1" x14ac:dyDescent="0.2">
      <c r="A262" s="109" t="s">
        <v>441</v>
      </c>
    </row>
    <row r="263" spans="1:1" x14ac:dyDescent="0.2">
      <c r="A263" s="52" t="s">
        <v>158</v>
      </c>
    </row>
    <row r="264" spans="1:1" x14ac:dyDescent="0.2">
      <c r="A264" s="111" t="s">
        <v>39</v>
      </c>
    </row>
    <row r="265" spans="1:1" x14ac:dyDescent="0.2">
      <c r="A265" s="111" t="s">
        <v>53</v>
      </c>
    </row>
    <row r="266" spans="1:1" x14ac:dyDescent="0.2">
      <c r="A266" s="130" t="s">
        <v>88</v>
      </c>
    </row>
    <row r="267" spans="1:1" x14ac:dyDescent="0.2">
      <c r="A267" s="116" t="s">
        <v>3</v>
      </c>
    </row>
    <row r="268" spans="1:1" x14ac:dyDescent="0.2">
      <c r="A268" s="109" t="s">
        <v>44</v>
      </c>
    </row>
    <row r="269" spans="1:1" x14ac:dyDescent="0.2">
      <c r="A269" s="111" t="s">
        <v>99</v>
      </c>
    </row>
    <row r="270" spans="1:1" x14ac:dyDescent="0.2">
      <c r="A270" s="130" t="s">
        <v>93</v>
      </c>
    </row>
    <row r="271" spans="1:1" x14ac:dyDescent="0.2">
      <c r="A271" s="52" t="s">
        <v>28</v>
      </c>
    </row>
    <row r="272" spans="1:1" x14ac:dyDescent="0.2">
      <c r="A272" s="52" t="s">
        <v>524</v>
      </c>
    </row>
    <row r="273" spans="1:1" x14ac:dyDescent="0.2">
      <c r="A273" s="111" t="s">
        <v>58</v>
      </c>
    </row>
    <row r="274" spans="1:1" x14ac:dyDescent="0.2">
      <c r="A274" s="123" t="s">
        <v>518</v>
      </c>
    </row>
    <row r="275" spans="1:1" x14ac:dyDescent="0.2">
      <c r="A275" s="52" t="s">
        <v>409</v>
      </c>
    </row>
    <row r="276" spans="1:1" x14ac:dyDescent="0.2">
      <c r="A276" s="52" t="s">
        <v>21</v>
      </c>
    </row>
    <row r="277" spans="1:1" x14ac:dyDescent="0.2">
      <c r="A277" s="111" t="s">
        <v>580</v>
      </c>
    </row>
    <row r="278" spans="1:1" x14ac:dyDescent="0.2">
      <c r="A278" s="52" t="s">
        <v>492</v>
      </c>
    </row>
    <row r="279" spans="1:1" x14ac:dyDescent="0.2">
      <c r="A279" s="130" t="s">
        <v>412</v>
      </c>
    </row>
    <row r="280" spans="1:1" x14ac:dyDescent="0.2">
      <c r="A280" s="114" t="s">
        <v>415</v>
      </c>
    </row>
    <row r="281" spans="1:1" x14ac:dyDescent="0.2">
      <c r="A281" s="116" t="s">
        <v>474</v>
      </c>
    </row>
    <row r="282" spans="1:1" x14ac:dyDescent="0.2">
      <c r="A282" s="52" t="s">
        <v>101</v>
      </c>
    </row>
    <row r="283" spans="1:1" x14ac:dyDescent="0.2">
      <c r="A283" s="111" t="s">
        <v>111</v>
      </c>
    </row>
    <row r="284" spans="1:1" x14ac:dyDescent="0.2">
      <c r="A284" s="52" t="s">
        <v>420</v>
      </c>
    </row>
    <row r="285" spans="1:1" x14ac:dyDescent="0.2">
      <c r="A285" s="52" t="s">
        <v>570</v>
      </c>
    </row>
    <row r="286" spans="1:1" x14ac:dyDescent="0.2">
      <c r="A286" s="116" t="s">
        <v>432</v>
      </c>
    </row>
    <row r="287" spans="1:1" x14ac:dyDescent="0.2">
      <c r="A287" s="111" t="s">
        <v>55</v>
      </c>
    </row>
    <row r="288" spans="1:1" x14ac:dyDescent="0.2">
      <c r="A288" s="111" t="s">
        <v>495</v>
      </c>
    </row>
    <row r="289" spans="1:1" x14ac:dyDescent="0.2">
      <c r="A289" s="116" t="s">
        <v>98</v>
      </c>
    </row>
    <row r="290" spans="1:1" x14ac:dyDescent="0.2">
      <c r="A290" s="111" t="s">
        <v>17</v>
      </c>
    </row>
    <row r="291" spans="1:1" x14ac:dyDescent="0.2">
      <c r="A291" s="111" t="s">
        <v>192</v>
      </c>
    </row>
    <row r="292" spans="1:1" x14ac:dyDescent="0.2">
      <c r="A292" s="111" t="s">
        <v>381</v>
      </c>
    </row>
    <row r="293" spans="1:1" x14ac:dyDescent="0.2">
      <c r="A293" s="128" t="s">
        <v>376</v>
      </c>
    </row>
    <row r="294" spans="1:1" x14ac:dyDescent="0.2">
      <c r="A294" s="116" t="s">
        <v>257</v>
      </c>
    </row>
    <row r="295" spans="1:1" x14ac:dyDescent="0.2">
      <c r="A295" s="52" t="s">
        <v>142</v>
      </c>
    </row>
    <row r="296" spans="1:1" x14ac:dyDescent="0.2">
      <c r="A296" s="109" t="s">
        <v>201</v>
      </c>
    </row>
    <row r="297" spans="1:1" x14ac:dyDescent="0.2">
      <c r="A297" s="52" t="s">
        <v>267</v>
      </c>
    </row>
    <row r="298" spans="1:1" x14ac:dyDescent="0.2">
      <c r="A298" s="109" t="s">
        <v>477</v>
      </c>
    </row>
    <row r="299" spans="1:1" x14ac:dyDescent="0.2">
      <c r="A299" s="128" t="s">
        <v>163</v>
      </c>
    </row>
    <row r="300" spans="1:1" x14ac:dyDescent="0.2">
      <c r="A300" s="52" t="s">
        <v>559</v>
      </c>
    </row>
    <row r="301" spans="1:1" x14ac:dyDescent="0.2">
      <c r="A301" s="108" t="s">
        <v>481</v>
      </c>
    </row>
    <row r="302" spans="1:1" x14ac:dyDescent="0.2">
      <c r="A302" s="123" t="s">
        <v>277</v>
      </c>
    </row>
    <row r="303" spans="1:1" x14ac:dyDescent="0.2">
      <c r="A303" s="52" t="s">
        <v>121</v>
      </c>
    </row>
    <row r="304" spans="1:1" x14ac:dyDescent="0.2">
      <c r="A304" s="52" t="s">
        <v>563</v>
      </c>
    </row>
    <row r="305" spans="1:1" x14ac:dyDescent="0.2">
      <c r="A305" s="52" t="s">
        <v>160</v>
      </c>
    </row>
    <row r="306" spans="1:1" x14ac:dyDescent="0.2">
      <c r="A306" s="111" t="s">
        <v>152</v>
      </c>
    </row>
    <row r="307" spans="1:1" x14ac:dyDescent="0.2">
      <c r="A307" s="111" t="s">
        <v>566</v>
      </c>
    </row>
    <row r="308" spans="1:1" x14ac:dyDescent="0.2">
      <c r="A308" s="111" t="s">
        <v>246</v>
      </c>
    </row>
    <row r="309" spans="1:1" x14ac:dyDescent="0.2">
      <c r="A309" s="52" t="s">
        <v>194</v>
      </c>
    </row>
    <row r="310" spans="1:1" x14ac:dyDescent="0.2">
      <c r="A310" s="111" t="s">
        <v>499</v>
      </c>
    </row>
    <row r="311" spans="1:1" x14ac:dyDescent="0.2">
      <c r="A311" s="111" t="s">
        <v>178</v>
      </c>
    </row>
    <row r="312" spans="1:1" x14ac:dyDescent="0.2">
      <c r="A312" s="109" t="s">
        <v>116</v>
      </c>
    </row>
    <row r="313" spans="1:1" x14ac:dyDescent="0.2">
      <c r="A313" s="117" t="s">
        <v>372</v>
      </c>
    </row>
    <row r="314" spans="1:1" x14ac:dyDescent="0.2">
      <c r="A314" s="109" t="s">
        <v>427</v>
      </c>
    </row>
    <row r="315" spans="1:1" x14ac:dyDescent="0.2">
      <c r="A315" s="123" t="s">
        <v>484</v>
      </c>
    </row>
    <row r="316" spans="1:1" x14ac:dyDescent="0.2">
      <c r="A316" s="109" t="s">
        <v>165</v>
      </c>
    </row>
    <row r="317" spans="1:1" x14ac:dyDescent="0.2">
      <c r="A317" s="52" t="s">
        <v>479</v>
      </c>
    </row>
    <row r="318" spans="1:1" x14ac:dyDescent="0.2">
      <c r="A318" s="52" t="s">
        <v>219</v>
      </c>
    </row>
    <row r="319" spans="1:1" x14ac:dyDescent="0.2">
      <c r="A319" s="116" t="s">
        <v>439</v>
      </c>
    </row>
    <row r="320" spans="1:1" x14ac:dyDescent="0.2">
      <c r="A320" s="52" t="s">
        <v>456</v>
      </c>
    </row>
    <row r="321" spans="1:1" x14ac:dyDescent="0.2">
      <c r="A321" s="109" t="s">
        <v>56</v>
      </c>
    </row>
    <row r="322" spans="1:1" x14ac:dyDescent="0.2">
      <c r="A322" s="116" t="s">
        <v>226</v>
      </c>
    </row>
    <row r="323" spans="1:1" x14ac:dyDescent="0.2">
      <c r="A323" s="116" t="s">
        <v>374</v>
      </c>
    </row>
    <row r="324" spans="1:1" x14ac:dyDescent="0.2">
      <c r="A324" s="108" t="s">
        <v>188</v>
      </c>
    </row>
    <row r="325" spans="1:1" x14ac:dyDescent="0.2">
      <c r="A325" s="111" t="s">
        <v>143</v>
      </c>
    </row>
    <row r="326" spans="1:1" x14ac:dyDescent="0.2">
      <c r="A326" s="111" t="s">
        <v>43</v>
      </c>
    </row>
    <row r="327" spans="1:1" x14ac:dyDescent="0.2">
      <c r="A327" s="128" t="s">
        <v>272</v>
      </c>
    </row>
    <row r="328" spans="1:1" x14ac:dyDescent="0.2">
      <c r="A328" s="128" t="s">
        <v>353</v>
      </c>
    </row>
    <row r="329" spans="1:1" x14ac:dyDescent="0.2">
      <c r="A329" s="111" t="s">
        <v>365</v>
      </c>
    </row>
    <row r="330" spans="1:1" x14ac:dyDescent="0.2">
      <c r="A330" s="116" t="s">
        <v>553</v>
      </c>
    </row>
    <row r="331" spans="1:1" x14ac:dyDescent="0.2">
      <c r="A331" s="116" t="s">
        <v>100</v>
      </c>
    </row>
    <row r="332" spans="1:1" x14ac:dyDescent="0.2">
      <c r="A332" s="111" t="s">
        <v>302</v>
      </c>
    </row>
    <row r="333" spans="1:1" x14ac:dyDescent="0.2">
      <c r="A333" s="130" t="s">
        <v>240</v>
      </c>
    </row>
    <row r="334" spans="1:1" x14ac:dyDescent="0.2">
      <c r="A334" s="116" t="s">
        <v>469</v>
      </c>
    </row>
    <row r="335" spans="1:1" x14ac:dyDescent="0.2">
      <c r="A335" s="130" t="s">
        <v>394</v>
      </c>
    </row>
    <row r="336" spans="1:1" x14ac:dyDescent="0.2">
      <c r="A336" s="111" t="s">
        <v>413</v>
      </c>
    </row>
    <row r="337" spans="1:1" x14ac:dyDescent="0.2">
      <c r="A337" s="111" t="s">
        <v>375</v>
      </c>
    </row>
    <row r="338" spans="1:1" x14ac:dyDescent="0.2">
      <c r="A338" s="116" t="s">
        <v>478</v>
      </c>
    </row>
    <row r="339" spans="1:1" x14ac:dyDescent="0.2">
      <c r="A339" s="111" t="s">
        <v>228</v>
      </c>
    </row>
    <row r="340" spans="1:1" x14ac:dyDescent="0.2">
      <c r="A340" s="111" t="s">
        <v>215</v>
      </c>
    </row>
    <row r="341" spans="1:1" x14ac:dyDescent="0.2">
      <c r="A341" s="109" t="s">
        <v>488</v>
      </c>
    </row>
    <row r="342" spans="1:1" x14ac:dyDescent="0.2">
      <c r="A342" s="111" t="s">
        <v>386</v>
      </c>
    </row>
    <row r="343" spans="1:1" x14ac:dyDescent="0.2">
      <c r="A343" s="128" t="s">
        <v>392</v>
      </c>
    </row>
    <row r="344" spans="1:1" x14ac:dyDescent="0.2">
      <c r="A344" s="130" t="s">
        <v>575</v>
      </c>
    </row>
    <row r="345" spans="1:1" x14ac:dyDescent="0.2">
      <c r="A345" s="133" t="s">
        <v>582</v>
      </c>
    </row>
    <row r="346" spans="1:1" x14ac:dyDescent="0.2">
      <c r="A346" s="130" t="s">
        <v>108</v>
      </c>
    </row>
    <row r="347" spans="1:1" x14ac:dyDescent="0.2">
      <c r="A347" s="128" t="s">
        <v>120</v>
      </c>
    </row>
    <row r="348" spans="1:1" x14ac:dyDescent="0.2">
      <c r="A348" s="108" t="s">
        <v>590</v>
      </c>
    </row>
    <row r="349" spans="1:1" x14ac:dyDescent="0.2">
      <c r="A349" s="111" t="s">
        <v>398</v>
      </c>
    </row>
    <row r="350" spans="1:1" x14ac:dyDescent="0.2">
      <c r="A350" s="111" t="s">
        <v>400</v>
      </c>
    </row>
    <row r="351" spans="1:1" x14ac:dyDescent="0.2">
      <c r="A351" s="114" t="s">
        <v>193</v>
      </c>
    </row>
    <row r="352" spans="1:1" x14ac:dyDescent="0.2">
      <c r="A352" s="111" t="s">
        <v>532</v>
      </c>
    </row>
    <row r="353" spans="1:1" x14ac:dyDescent="0.2">
      <c r="A353" s="111" t="s">
        <v>537</v>
      </c>
    </row>
    <row r="354" spans="1:1" x14ac:dyDescent="0.2">
      <c r="A354" s="112" t="s">
        <v>203</v>
      </c>
    </row>
    <row r="355" spans="1:1" x14ac:dyDescent="0.2">
      <c r="A355" s="127" t="s">
        <v>496</v>
      </c>
    </row>
    <row r="356" spans="1:1" x14ac:dyDescent="0.2">
      <c r="A356" s="127" t="s">
        <v>487</v>
      </c>
    </row>
    <row r="357" spans="1:1" x14ac:dyDescent="0.2">
      <c r="A357" s="111" t="s">
        <v>501</v>
      </c>
    </row>
    <row r="358" spans="1:1" x14ac:dyDescent="0.2">
      <c r="A358" s="111" t="s">
        <v>247</v>
      </c>
    </row>
    <row r="359" spans="1:1" x14ac:dyDescent="0.2">
      <c r="A359" s="111" t="s">
        <v>249</v>
      </c>
    </row>
    <row r="360" spans="1:1" x14ac:dyDescent="0.2">
      <c r="A360" s="109" t="s">
        <v>579</v>
      </c>
    </row>
    <row r="361" spans="1:1" x14ac:dyDescent="0.2">
      <c r="A361" s="112" t="s">
        <v>190</v>
      </c>
    </row>
    <row r="362" spans="1:1" x14ac:dyDescent="0.2">
      <c r="A362" s="111" t="s">
        <v>197</v>
      </c>
    </row>
    <row r="363" spans="1:1" x14ac:dyDescent="0.2">
      <c r="A363" s="108" t="s">
        <v>176</v>
      </c>
    </row>
    <row r="364" spans="1:1" x14ac:dyDescent="0.2">
      <c r="A364" s="126" t="s">
        <v>204</v>
      </c>
    </row>
    <row r="365" spans="1:1" x14ac:dyDescent="0.2">
      <c r="A365" s="130" t="s">
        <v>462</v>
      </c>
    </row>
    <row r="366" spans="1:1" x14ac:dyDescent="0.2">
      <c r="A366" s="111" t="s">
        <v>498</v>
      </c>
    </row>
    <row r="367" spans="1:1" x14ac:dyDescent="0.2">
      <c r="A367" s="52" t="s">
        <v>466</v>
      </c>
    </row>
    <row r="368" spans="1:1" x14ac:dyDescent="0.2">
      <c r="A368" s="108" t="s">
        <v>502</v>
      </c>
    </row>
    <row r="369" spans="1:1" x14ac:dyDescent="0.2">
      <c r="A369" s="111" t="s">
        <v>468</v>
      </c>
    </row>
    <row r="370" spans="1:1" x14ac:dyDescent="0.2">
      <c r="A370" s="52" t="s">
        <v>114</v>
      </c>
    </row>
    <row r="371" spans="1:1" x14ac:dyDescent="0.2">
      <c r="A371" s="111" t="s">
        <v>125</v>
      </c>
    </row>
    <row r="372" spans="1:1" x14ac:dyDescent="0.2">
      <c r="A372" s="111" t="s">
        <v>373</v>
      </c>
    </row>
    <row r="373" spans="1:1" x14ac:dyDescent="0.2">
      <c r="A373" s="108" t="s">
        <v>245</v>
      </c>
    </row>
    <row r="374" spans="1:1" x14ac:dyDescent="0.2">
      <c r="A374" s="52" t="s">
        <v>248</v>
      </c>
    </row>
    <row r="375" spans="1:1" x14ac:dyDescent="0.2">
      <c r="A375" s="111" t="s">
        <v>371</v>
      </c>
    </row>
    <row r="376" spans="1:1" x14ac:dyDescent="0.2">
      <c r="A376" s="123" t="s">
        <v>586</v>
      </c>
    </row>
    <row r="377" spans="1:1" x14ac:dyDescent="0.2">
      <c r="A377" s="111" t="s">
        <v>396</v>
      </c>
    </row>
    <row r="378" spans="1:1" x14ac:dyDescent="0.2">
      <c r="A378" s="52" t="s">
        <v>399</v>
      </c>
    </row>
    <row r="379" spans="1:1" x14ac:dyDescent="0.2">
      <c r="A379" s="52" t="s">
        <v>285</v>
      </c>
    </row>
    <row r="380" spans="1:1" x14ac:dyDescent="0.2">
      <c r="A380" s="52" t="s">
        <v>289</v>
      </c>
    </row>
    <row r="381" spans="1:1" x14ac:dyDescent="0.2">
      <c r="A381" s="52" t="s">
        <v>274</v>
      </c>
    </row>
    <row r="382" spans="1:1" x14ac:dyDescent="0.2">
      <c r="A382" s="52" t="s">
        <v>340</v>
      </c>
    </row>
    <row r="383" spans="1:1" x14ac:dyDescent="0.2">
      <c r="A383" s="111" t="s">
        <v>589</v>
      </c>
    </row>
    <row r="384" spans="1:1" x14ac:dyDescent="0.2">
      <c r="A384" s="52" t="s">
        <v>134</v>
      </c>
    </row>
    <row r="385" spans="1:1" x14ac:dyDescent="0.2">
      <c r="A385" s="52" t="s">
        <v>8</v>
      </c>
    </row>
    <row r="386" spans="1:1" x14ac:dyDescent="0.2">
      <c r="A386" s="111" t="s">
        <v>564</v>
      </c>
    </row>
    <row r="387" spans="1:1" x14ac:dyDescent="0.2">
      <c r="A387" t="s">
        <v>388</v>
      </c>
    </row>
    <row r="388" spans="1:1" x14ac:dyDescent="0.2">
      <c r="A388" t="s">
        <v>80</v>
      </c>
    </row>
    <row r="389" spans="1:1" x14ac:dyDescent="0.2">
      <c r="A389" t="s">
        <v>231</v>
      </c>
    </row>
    <row r="390" spans="1:1" x14ac:dyDescent="0.2">
      <c r="A390" t="s">
        <v>136</v>
      </c>
    </row>
    <row r="391" spans="1:1" x14ac:dyDescent="0.2">
      <c r="A391" t="s">
        <v>75</v>
      </c>
    </row>
    <row r="392" spans="1:1" x14ac:dyDescent="0.2">
      <c r="A392" t="s">
        <v>337</v>
      </c>
    </row>
    <row r="393" spans="1:1" x14ac:dyDescent="0.2">
      <c r="A393" t="s">
        <v>181</v>
      </c>
    </row>
    <row r="394" spans="1:1" x14ac:dyDescent="0.2">
      <c r="A394" t="s">
        <v>449</v>
      </c>
    </row>
    <row r="395" spans="1:1" x14ac:dyDescent="0.2">
      <c r="A395" t="s">
        <v>174</v>
      </c>
    </row>
    <row r="396" spans="1:1" x14ac:dyDescent="0.2">
      <c r="A396" t="s">
        <v>252</v>
      </c>
    </row>
    <row r="397" spans="1:1" x14ac:dyDescent="0.2">
      <c r="A397" t="s">
        <v>417</v>
      </c>
    </row>
    <row r="398" spans="1:1" x14ac:dyDescent="0.2">
      <c r="A398" t="s">
        <v>323</v>
      </c>
    </row>
    <row r="399" spans="1:1" x14ac:dyDescent="0.2">
      <c r="A399" t="s">
        <v>393</v>
      </c>
    </row>
    <row r="400" spans="1:1" x14ac:dyDescent="0.2">
      <c r="A400" t="s">
        <v>281</v>
      </c>
    </row>
    <row r="401" spans="1:1" x14ac:dyDescent="0.2">
      <c r="A401" t="s">
        <v>186</v>
      </c>
    </row>
    <row r="402" spans="1:1" x14ac:dyDescent="0.2">
      <c r="A402" t="s">
        <v>36</v>
      </c>
    </row>
    <row r="403" spans="1:1" x14ac:dyDescent="0.2">
      <c r="A403" t="s">
        <v>346</v>
      </c>
    </row>
    <row r="404" spans="1:1" x14ac:dyDescent="0.2">
      <c r="A404" t="s">
        <v>454</v>
      </c>
    </row>
    <row r="405" spans="1:1" x14ac:dyDescent="0.2">
      <c r="A405" t="s">
        <v>437</v>
      </c>
    </row>
    <row r="406" spans="1:1" x14ac:dyDescent="0.2">
      <c r="A406" t="s">
        <v>445</v>
      </c>
    </row>
    <row r="407" spans="1:1" x14ac:dyDescent="0.2">
      <c r="A407" t="s">
        <v>130</v>
      </c>
    </row>
    <row r="408" spans="1:1" x14ac:dyDescent="0.2">
      <c r="A408" t="s">
        <v>355</v>
      </c>
    </row>
    <row r="409" spans="1:1" x14ac:dyDescent="0.2">
      <c r="A409" t="s">
        <v>61</v>
      </c>
    </row>
    <row r="410" spans="1:1" x14ac:dyDescent="0.2">
      <c r="A410" t="s">
        <v>119</v>
      </c>
    </row>
  </sheetData>
  <sortState xmlns:xlrd2="http://schemas.microsoft.com/office/spreadsheetml/2017/richdata2" ref="A2:A386">
    <sortCondition ref="A1:A386"/>
  </sortState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7D1A2-CBC7-4E58-B601-CA1DD32700FE}">
  <dimension ref="A1:D410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2.75" x14ac:dyDescent="0.2"/>
  <cols>
    <col min="1" max="1" width="68.28515625" bestFit="1" customWidth="1"/>
    <col min="2" max="2" width="19.28515625" customWidth="1"/>
    <col min="3" max="3" width="28.140625" style="185" customWidth="1"/>
    <col min="4" max="4" width="16" bestFit="1" customWidth="1"/>
  </cols>
  <sheetData>
    <row r="1" spans="1:4" x14ac:dyDescent="0.2">
      <c r="A1" s="183" t="s">
        <v>737</v>
      </c>
      <c r="B1" s="183" t="s">
        <v>738</v>
      </c>
      <c r="C1" s="186" t="s">
        <v>750</v>
      </c>
      <c r="D1" s="186" t="s">
        <v>750</v>
      </c>
    </row>
    <row r="2" spans="1:4" x14ac:dyDescent="0.2">
      <c r="A2" t="s">
        <v>184</v>
      </c>
      <c r="B2">
        <v>210</v>
      </c>
      <c r="C2" s="185" t="s">
        <v>741</v>
      </c>
      <c r="D2">
        <f>_xlfn.XLOOKUP(C2,tipo_preparacoes!$B$2:$B$12,tipo_preparacoes!$A$2:$A$12,"não")</f>
        <v>3</v>
      </c>
    </row>
    <row r="3" spans="1:4" x14ac:dyDescent="0.2">
      <c r="A3" t="s">
        <v>382</v>
      </c>
      <c r="B3">
        <v>150</v>
      </c>
      <c r="C3" t="s">
        <v>746</v>
      </c>
      <c r="D3">
        <f>_xlfn.XLOOKUP(C3,tipo_preparacoes!$B$2:$B$12,tipo_preparacoes!$A$2:$A$12,"não")</f>
        <v>8</v>
      </c>
    </row>
    <row r="4" spans="1:4" x14ac:dyDescent="0.2">
      <c r="A4" t="s">
        <v>284</v>
      </c>
      <c r="B4">
        <v>100</v>
      </c>
      <c r="C4" t="s">
        <v>746</v>
      </c>
      <c r="D4">
        <f>_xlfn.XLOOKUP(C4,tipo_preparacoes!$B$2:$B$12,tipo_preparacoes!$A$2:$A$12,"não")</f>
        <v>8</v>
      </c>
    </row>
    <row r="5" spans="1:4" x14ac:dyDescent="0.2">
      <c r="A5" t="s">
        <v>266</v>
      </c>
      <c r="B5">
        <v>100</v>
      </c>
      <c r="C5" t="s">
        <v>746</v>
      </c>
      <c r="D5">
        <f>_xlfn.XLOOKUP(C5,tipo_preparacoes!$B$2:$B$12,tipo_preparacoes!$A$2:$A$12,"não")</f>
        <v>8</v>
      </c>
    </row>
    <row r="6" spans="1:4" x14ac:dyDescent="0.2">
      <c r="A6" t="s">
        <v>260</v>
      </c>
      <c r="B6">
        <v>110</v>
      </c>
      <c r="C6" t="s">
        <v>746</v>
      </c>
      <c r="D6">
        <f>_xlfn.XLOOKUP(C6,tipo_preparacoes!$B$2:$B$12,tipo_preparacoes!$A$2:$A$12,"não")</f>
        <v>8</v>
      </c>
    </row>
    <row r="7" spans="1:4" x14ac:dyDescent="0.2">
      <c r="A7" t="s">
        <v>279</v>
      </c>
      <c r="B7">
        <v>100</v>
      </c>
      <c r="C7" t="s">
        <v>746</v>
      </c>
      <c r="D7">
        <f>_xlfn.XLOOKUP(C7,tipo_preparacoes!$B$2:$B$12,tipo_preparacoes!$A$2:$A$12,"não")</f>
        <v>8</v>
      </c>
    </row>
    <row r="8" spans="1:4" x14ac:dyDescent="0.2">
      <c r="A8" t="s">
        <v>161</v>
      </c>
      <c r="B8">
        <v>105</v>
      </c>
      <c r="C8" t="s">
        <v>746</v>
      </c>
      <c r="D8">
        <f>_xlfn.XLOOKUP(C8,tipo_preparacoes!$B$2:$B$12,tipo_preparacoes!$A$2:$A$12,"não")</f>
        <v>8</v>
      </c>
    </row>
    <row r="9" spans="1:4" x14ac:dyDescent="0.2">
      <c r="A9" t="s">
        <v>383</v>
      </c>
      <c r="B9">
        <v>100</v>
      </c>
      <c r="C9" t="s">
        <v>746</v>
      </c>
      <c r="D9">
        <f>_xlfn.XLOOKUP(C9,tipo_preparacoes!$B$2:$B$12,tipo_preparacoes!$A$2:$A$12,"não")</f>
        <v>8</v>
      </c>
    </row>
    <row r="10" spans="1:4" x14ac:dyDescent="0.2">
      <c r="A10" t="s">
        <v>552</v>
      </c>
      <c r="B10">
        <v>90</v>
      </c>
      <c r="C10" t="s">
        <v>746</v>
      </c>
      <c r="D10">
        <f>_xlfn.XLOOKUP(C10,tipo_preparacoes!$B$2:$B$12,tipo_preparacoes!$A$2:$A$12,"não")</f>
        <v>8</v>
      </c>
    </row>
    <row r="11" spans="1:4" x14ac:dyDescent="0.2">
      <c r="A11" t="s">
        <v>556</v>
      </c>
      <c r="B11">
        <v>205</v>
      </c>
      <c r="C11" t="s">
        <v>746</v>
      </c>
      <c r="D11">
        <f>_xlfn.XLOOKUP(C11,tipo_preparacoes!$B$2:$B$12,tipo_preparacoes!$A$2:$A$12,"não")</f>
        <v>8</v>
      </c>
    </row>
    <row r="12" spans="1:4" x14ac:dyDescent="0.2">
      <c r="A12" t="s">
        <v>416</v>
      </c>
      <c r="B12">
        <v>100</v>
      </c>
      <c r="C12" t="s">
        <v>746</v>
      </c>
      <c r="D12">
        <f>_xlfn.XLOOKUP(C12,tipo_preparacoes!$B$2:$B$12,tipo_preparacoes!$A$2:$A$12,"não")</f>
        <v>8</v>
      </c>
    </row>
    <row r="13" spans="1:4" x14ac:dyDescent="0.2">
      <c r="A13" t="s">
        <v>229</v>
      </c>
      <c r="B13">
        <v>150</v>
      </c>
      <c r="C13" t="s">
        <v>746</v>
      </c>
      <c r="D13">
        <f>_xlfn.XLOOKUP(C13,tipo_preparacoes!$B$2:$B$12,tipo_preparacoes!$A$2:$A$12,"não")</f>
        <v>8</v>
      </c>
    </row>
    <row r="14" spans="1:4" x14ac:dyDescent="0.2">
      <c r="A14" t="s">
        <v>298</v>
      </c>
      <c r="B14">
        <v>130</v>
      </c>
      <c r="C14" t="s">
        <v>746</v>
      </c>
      <c r="D14">
        <f>_xlfn.XLOOKUP(C14,tipo_preparacoes!$B$2:$B$12,tipo_preparacoes!$A$2:$A$12,"não")</f>
        <v>8</v>
      </c>
    </row>
    <row r="15" spans="1:4" x14ac:dyDescent="0.2">
      <c r="A15" t="s">
        <v>311</v>
      </c>
      <c r="B15">
        <v>80</v>
      </c>
      <c r="C15" t="s">
        <v>744</v>
      </c>
      <c r="D15">
        <f>_xlfn.XLOOKUP(C15,tipo_preparacoes!$B$2:$B$12,tipo_preparacoes!$A$2:$A$12,"não")</f>
        <v>6</v>
      </c>
    </row>
    <row r="16" spans="1:4" x14ac:dyDescent="0.2">
      <c r="A16" t="s">
        <v>503</v>
      </c>
      <c r="B16">
        <v>280</v>
      </c>
      <c r="C16" t="s">
        <v>744</v>
      </c>
      <c r="D16">
        <f>_xlfn.XLOOKUP(C16,tipo_preparacoes!$B$2:$B$12,tipo_preparacoes!$A$2:$A$12,"não")</f>
        <v>6</v>
      </c>
    </row>
    <row r="17" spans="1:4" x14ac:dyDescent="0.2">
      <c r="A17" t="s">
        <v>243</v>
      </c>
      <c r="B17">
        <v>50</v>
      </c>
      <c r="C17" t="s">
        <v>744</v>
      </c>
      <c r="D17">
        <f>_xlfn.XLOOKUP(C17,tipo_preparacoes!$B$2:$B$12,tipo_preparacoes!$A$2:$A$12,"não")</f>
        <v>6</v>
      </c>
    </row>
    <row r="18" spans="1:4" x14ac:dyDescent="0.2">
      <c r="A18" t="s">
        <v>77</v>
      </c>
      <c r="B18">
        <v>160</v>
      </c>
      <c r="C18" s="185" t="s">
        <v>747</v>
      </c>
      <c r="D18">
        <f>_xlfn.XLOOKUP(C18,tipo_preparacoes!$B$2:$B$12,tipo_preparacoes!$A$2:$A$12,"não")</f>
        <v>9</v>
      </c>
    </row>
    <row r="19" spans="1:4" x14ac:dyDescent="0.2">
      <c r="A19" t="s">
        <v>273</v>
      </c>
      <c r="B19">
        <v>100</v>
      </c>
      <c r="C19" t="s">
        <v>746</v>
      </c>
      <c r="D19">
        <f>_xlfn.XLOOKUP(C19,tipo_preparacoes!$B$2:$B$12,tipo_preparacoes!$A$2:$A$12,"não")</f>
        <v>8</v>
      </c>
    </row>
    <row r="20" spans="1:4" x14ac:dyDescent="0.2">
      <c r="A20" t="s">
        <v>182</v>
      </c>
      <c r="B20">
        <v>100</v>
      </c>
      <c r="C20" t="s">
        <v>746</v>
      </c>
      <c r="D20">
        <f>_xlfn.XLOOKUP(C20,tipo_preparacoes!$B$2:$B$12,tipo_preparacoes!$A$2:$A$12,"não")</f>
        <v>8</v>
      </c>
    </row>
    <row r="21" spans="1:4" x14ac:dyDescent="0.2">
      <c r="A21" t="s">
        <v>225</v>
      </c>
      <c r="B21">
        <v>100</v>
      </c>
      <c r="C21" t="s">
        <v>744</v>
      </c>
      <c r="D21">
        <f>_xlfn.XLOOKUP(C21,tipo_preparacoes!$B$2:$B$12,tipo_preparacoes!$A$2:$A$12,"não")</f>
        <v>6</v>
      </c>
    </row>
    <row r="22" spans="1:4" x14ac:dyDescent="0.2">
      <c r="A22" t="s">
        <v>366</v>
      </c>
      <c r="B22">
        <v>105</v>
      </c>
      <c r="C22" t="s">
        <v>744</v>
      </c>
      <c r="D22">
        <f>_xlfn.XLOOKUP(C22,tipo_preparacoes!$B$2:$B$12,tipo_preparacoes!$A$2:$A$12,"não")</f>
        <v>6</v>
      </c>
    </row>
    <row r="23" spans="1:4" x14ac:dyDescent="0.2">
      <c r="A23" t="s">
        <v>401</v>
      </c>
      <c r="B23">
        <v>200</v>
      </c>
      <c r="C23" t="s">
        <v>744</v>
      </c>
      <c r="D23">
        <f>_xlfn.XLOOKUP(C23,tipo_preparacoes!$B$2:$B$12,tipo_preparacoes!$A$2:$A$12,"não")</f>
        <v>6</v>
      </c>
    </row>
    <row r="24" spans="1:4" x14ac:dyDescent="0.2">
      <c r="A24" t="s">
        <v>494</v>
      </c>
      <c r="B24">
        <v>50</v>
      </c>
      <c r="C24" t="s">
        <v>744</v>
      </c>
      <c r="D24">
        <f>_xlfn.XLOOKUP(C24,tipo_preparacoes!$B$2:$B$12,tipo_preparacoes!$A$2:$A$12,"não")</f>
        <v>6</v>
      </c>
    </row>
    <row r="25" spans="1:4" x14ac:dyDescent="0.2">
      <c r="A25" t="s">
        <v>422</v>
      </c>
      <c r="B25">
        <v>120</v>
      </c>
      <c r="C25" t="s">
        <v>744</v>
      </c>
      <c r="D25">
        <f>_xlfn.XLOOKUP(C25,tipo_preparacoes!$B$2:$B$12,tipo_preparacoes!$A$2:$A$12,"não")</f>
        <v>6</v>
      </c>
    </row>
    <row r="26" spans="1:4" x14ac:dyDescent="0.2">
      <c r="A26" t="s">
        <v>207</v>
      </c>
      <c r="B26">
        <v>120</v>
      </c>
      <c r="C26" t="s">
        <v>744</v>
      </c>
      <c r="D26">
        <f>_xlfn.XLOOKUP(C26,tipo_preparacoes!$B$2:$B$12,tipo_preparacoes!$A$2:$A$12,"não")</f>
        <v>6</v>
      </c>
    </row>
    <row r="27" spans="1:4" x14ac:dyDescent="0.2">
      <c r="A27" t="s">
        <v>473</v>
      </c>
      <c r="B27">
        <v>150</v>
      </c>
      <c r="C27" t="s">
        <v>744</v>
      </c>
      <c r="D27">
        <f>_xlfn.XLOOKUP(C27,tipo_preparacoes!$B$2:$B$12,tipo_preparacoes!$A$2:$A$12,"não")</f>
        <v>6</v>
      </c>
    </row>
    <row r="28" spans="1:4" x14ac:dyDescent="0.2">
      <c r="A28" t="s">
        <v>424</v>
      </c>
      <c r="B28">
        <v>50</v>
      </c>
      <c r="C28" t="s">
        <v>744</v>
      </c>
      <c r="D28">
        <f>_xlfn.XLOOKUP(C28,tipo_preparacoes!$B$2:$B$12,tipo_preparacoes!$A$2:$A$12,"não")</f>
        <v>6</v>
      </c>
    </row>
    <row r="29" spans="1:4" x14ac:dyDescent="0.2">
      <c r="A29" t="s">
        <v>106</v>
      </c>
      <c r="B29">
        <v>10</v>
      </c>
      <c r="C29" t="s">
        <v>746</v>
      </c>
      <c r="D29">
        <f>_xlfn.XLOOKUP(C29,tipo_preparacoes!$B$2:$B$12,tipo_preparacoes!$A$2:$A$12,"não")</f>
        <v>8</v>
      </c>
    </row>
    <row r="30" spans="1:4" x14ac:dyDescent="0.2">
      <c r="A30" t="s">
        <v>395</v>
      </c>
      <c r="B30">
        <v>170</v>
      </c>
      <c r="C30" s="185" t="s">
        <v>745</v>
      </c>
      <c r="D30">
        <f>_xlfn.XLOOKUP(C30,tipo_preparacoes!$B$2:$B$12,tipo_preparacoes!$A$2:$A$12,"não")</f>
        <v>7</v>
      </c>
    </row>
    <row r="31" spans="1:4" x14ac:dyDescent="0.2">
      <c r="A31" t="s">
        <v>283</v>
      </c>
      <c r="B31">
        <v>125</v>
      </c>
      <c r="C31" s="185" t="s">
        <v>745</v>
      </c>
      <c r="D31">
        <f>_xlfn.XLOOKUP(C31,tipo_preparacoes!$B$2:$B$12,tipo_preparacoes!$A$2:$A$12,"não")</f>
        <v>7</v>
      </c>
    </row>
    <row r="32" spans="1:4" x14ac:dyDescent="0.2">
      <c r="A32" t="s">
        <v>379</v>
      </c>
      <c r="B32">
        <v>190</v>
      </c>
      <c r="C32" s="185" t="s">
        <v>745</v>
      </c>
      <c r="D32">
        <f>_xlfn.XLOOKUP(C32,tipo_preparacoes!$B$2:$B$12,tipo_preparacoes!$A$2:$A$12,"não")</f>
        <v>7</v>
      </c>
    </row>
    <row r="33" spans="1:4" x14ac:dyDescent="0.2">
      <c r="A33" t="s">
        <v>390</v>
      </c>
      <c r="B33">
        <v>240</v>
      </c>
      <c r="C33" s="185" t="s">
        <v>745</v>
      </c>
      <c r="D33">
        <f>_xlfn.XLOOKUP(C33,tipo_preparacoes!$B$2:$B$12,tipo_preparacoes!$A$2:$A$12,"não")</f>
        <v>7</v>
      </c>
    </row>
    <row r="34" spans="1:4" x14ac:dyDescent="0.2">
      <c r="A34" t="s">
        <v>18</v>
      </c>
      <c r="B34">
        <v>460</v>
      </c>
      <c r="C34" s="185" t="s">
        <v>742</v>
      </c>
      <c r="D34">
        <f>_xlfn.XLOOKUP(C34,tipo_preparacoes!$B$2:$B$12,tipo_preparacoes!$A$2:$A$12,"não")</f>
        <v>4</v>
      </c>
    </row>
    <row r="35" spans="1:4" x14ac:dyDescent="0.2">
      <c r="A35" t="s">
        <v>19</v>
      </c>
      <c r="B35">
        <v>230</v>
      </c>
      <c r="C35" s="185" t="s">
        <v>742</v>
      </c>
      <c r="D35">
        <f>_xlfn.XLOOKUP(C35,tipo_preparacoes!$B$2:$B$12,tipo_preparacoes!$A$2:$A$12,"não")</f>
        <v>4</v>
      </c>
    </row>
    <row r="36" spans="1:4" x14ac:dyDescent="0.2">
      <c r="A36" t="s">
        <v>527</v>
      </c>
      <c r="B36">
        <v>230</v>
      </c>
      <c r="C36" s="185" t="s">
        <v>742</v>
      </c>
      <c r="D36">
        <f>_xlfn.XLOOKUP(C36,tipo_preparacoes!$B$2:$B$12,tipo_preparacoes!$A$2:$A$12,"não")</f>
        <v>4</v>
      </c>
    </row>
    <row r="37" spans="1:4" x14ac:dyDescent="0.2">
      <c r="A37" t="s">
        <v>262</v>
      </c>
      <c r="B37">
        <v>160</v>
      </c>
      <c r="C37" s="185" t="s">
        <v>748</v>
      </c>
      <c r="D37">
        <f>_xlfn.XLOOKUP(C37,tipo_preparacoes!$B$2:$B$12,tipo_preparacoes!$A$2:$A$12,"não")</f>
        <v>10</v>
      </c>
    </row>
    <row r="38" spans="1:4" x14ac:dyDescent="0.2">
      <c r="A38" t="s">
        <v>268</v>
      </c>
      <c r="B38">
        <v>155</v>
      </c>
      <c r="C38" s="185" t="s">
        <v>748</v>
      </c>
      <c r="D38">
        <f>_xlfn.XLOOKUP(C38,tipo_preparacoes!$B$2:$B$12,tipo_preparacoes!$A$2:$A$12,"não")</f>
        <v>10</v>
      </c>
    </row>
    <row r="39" spans="1:4" x14ac:dyDescent="0.2">
      <c r="A39" t="s">
        <v>515</v>
      </c>
      <c r="B39">
        <v>230</v>
      </c>
      <c r="C39" s="185" t="s">
        <v>742</v>
      </c>
      <c r="D39">
        <f>_xlfn.XLOOKUP(C39,tipo_preparacoes!$B$2:$B$12,tipo_preparacoes!$A$2:$A$12,"não")</f>
        <v>4</v>
      </c>
    </row>
    <row r="40" spans="1:4" x14ac:dyDescent="0.2">
      <c r="A40" t="s">
        <v>113</v>
      </c>
      <c r="B40">
        <v>55</v>
      </c>
      <c r="C40" s="185" t="s">
        <v>742</v>
      </c>
      <c r="D40">
        <f>_xlfn.XLOOKUP(C40,tipo_preparacoes!$B$2:$B$12,tipo_preparacoes!$A$2:$A$12,"não")</f>
        <v>4</v>
      </c>
    </row>
    <row r="41" spans="1:4" x14ac:dyDescent="0.2">
      <c r="A41" t="s">
        <v>536</v>
      </c>
      <c r="B41">
        <v>110</v>
      </c>
      <c r="C41" s="185" t="s">
        <v>742</v>
      </c>
      <c r="D41">
        <f>_xlfn.XLOOKUP(C41,tipo_preparacoes!$B$2:$B$12,tipo_preparacoes!$A$2:$A$12,"não")</f>
        <v>4</v>
      </c>
    </row>
    <row r="42" spans="1:4" x14ac:dyDescent="0.2">
      <c r="A42" t="s">
        <v>534</v>
      </c>
      <c r="B42">
        <v>55</v>
      </c>
      <c r="C42" s="185" t="s">
        <v>742</v>
      </c>
      <c r="D42">
        <f>_xlfn.XLOOKUP(C42,tipo_preparacoes!$B$2:$B$12,tipo_preparacoes!$A$2:$A$12,"não")</f>
        <v>4</v>
      </c>
    </row>
    <row r="43" spans="1:4" x14ac:dyDescent="0.2">
      <c r="A43" t="s">
        <v>35</v>
      </c>
      <c r="B43">
        <v>24</v>
      </c>
      <c r="C43" t="s">
        <v>744</v>
      </c>
      <c r="D43">
        <f>_xlfn.XLOOKUP(C43,tipo_preparacoes!$B$2:$B$12,tipo_preparacoes!$A$2:$A$12,"não")</f>
        <v>6</v>
      </c>
    </row>
    <row r="44" spans="1:4" x14ac:dyDescent="0.2">
      <c r="A44" t="s">
        <v>183</v>
      </c>
      <c r="B44">
        <v>50</v>
      </c>
      <c r="C44" s="185" t="s">
        <v>741</v>
      </c>
      <c r="D44">
        <f>_xlfn.XLOOKUP(C44,tipo_preparacoes!$B$2:$B$12,tipo_preparacoes!$A$2:$A$12,"não")</f>
        <v>3</v>
      </c>
    </row>
    <row r="45" spans="1:4" x14ac:dyDescent="0.2">
      <c r="A45" t="s">
        <v>460</v>
      </c>
      <c r="B45">
        <v>65</v>
      </c>
      <c r="C45" s="185" t="s">
        <v>741</v>
      </c>
      <c r="D45">
        <f>_xlfn.XLOOKUP(C45,tipo_preparacoes!$B$2:$B$12,tipo_preparacoes!$A$2:$A$12,"não")</f>
        <v>3</v>
      </c>
    </row>
    <row r="46" spans="1:4" x14ac:dyDescent="0.2">
      <c r="A46" t="s">
        <v>156</v>
      </c>
      <c r="B46">
        <v>120</v>
      </c>
      <c r="C46" s="185" t="s">
        <v>741</v>
      </c>
      <c r="D46">
        <f>_xlfn.XLOOKUP(C46,tipo_preparacoes!$B$2:$B$12,tipo_preparacoes!$A$2:$A$12,"não")</f>
        <v>3</v>
      </c>
    </row>
    <row r="47" spans="1:4" x14ac:dyDescent="0.2">
      <c r="A47" t="s">
        <v>70</v>
      </c>
      <c r="B47">
        <v>200</v>
      </c>
      <c r="C47" s="185" t="s">
        <v>741</v>
      </c>
      <c r="D47">
        <f>_xlfn.XLOOKUP(C47,tipo_preparacoes!$B$2:$B$12,tipo_preparacoes!$A$2:$A$12,"não")</f>
        <v>3</v>
      </c>
    </row>
    <row r="48" spans="1:4" x14ac:dyDescent="0.2">
      <c r="A48" t="s">
        <v>486</v>
      </c>
      <c r="B48">
        <v>100</v>
      </c>
      <c r="C48" t="s">
        <v>746</v>
      </c>
      <c r="D48">
        <f>_xlfn.XLOOKUP(C48,tipo_preparacoes!$B$2:$B$12,tipo_preparacoes!$A$2:$A$12,"não")</f>
        <v>8</v>
      </c>
    </row>
    <row r="49" spans="1:4" x14ac:dyDescent="0.2">
      <c r="A49" t="s">
        <v>319</v>
      </c>
      <c r="B49">
        <v>100</v>
      </c>
      <c r="C49" t="s">
        <v>746</v>
      </c>
      <c r="D49">
        <f>_xlfn.XLOOKUP(C49,tipo_preparacoes!$B$2:$B$12,tipo_preparacoes!$A$2:$A$12,"não")</f>
        <v>8</v>
      </c>
    </row>
    <row r="50" spans="1:4" x14ac:dyDescent="0.2">
      <c r="A50" t="s">
        <v>318</v>
      </c>
      <c r="B50">
        <v>100</v>
      </c>
      <c r="C50" t="s">
        <v>746</v>
      </c>
      <c r="D50">
        <f>_xlfn.XLOOKUP(C50,tipo_preparacoes!$B$2:$B$12,tipo_preparacoes!$A$2:$A$12,"não")</f>
        <v>8</v>
      </c>
    </row>
    <row r="51" spans="1:4" x14ac:dyDescent="0.2">
      <c r="A51" t="s">
        <v>169</v>
      </c>
      <c r="B51">
        <v>100</v>
      </c>
      <c r="C51" t="s">
        <v>746</v>
      </c>
      <c r="D51">
        <f>_xlfn.XLOOKUP(C51,tipo_preparacoes!$B$2:$B$12,tipo_preparacoes!$A$2:$A$12,"não")</f>
        <v>8</v>
      </c>
    </row>
    <row r="52" spans="1:4" x14ac:dyDescent="0.2">
      <c r="A52" t="s">
        <v>419</v>
      </c>
      <c r="B52">
        <v>50</v>
      </c>
      <c r="C52" t="s">
        <v>746</v>
      </c>
      <c r="D52">
        <f>_xlfn.XLOOKUP(C52,tipo_preparacoes!$B$2:$B$12,tipo_preparacoes!$A$2:$A$12,"não")</f>
        <v>8</v>
      </c>
    </row>
    <row r="53" spans="1:4" x14ac:dyDescent="0.2">
      <c r="A53" t="s">
        <v>65</v>
      </c>
      <c r="B53">
        <v>100</v>
      </c>
      <c r="C53" t="s">
        <v>746</v>
      </c>
      <c r="D53">
        <f>_xlfn.XLOOKUP(C53,tipo_preparacoes!$B$2:$B$12,tipo_preparacoes!$A$2:$A$12,"não")</f>
        <v>8</v>
      </c>
    </row>
    <row r="54" spans="1:4" x14ac:dyDescent="0.2">
      <c r="A54" t="s">
        <v>317</v>
      </c>
      <c r="B54">
        <v>100</v>
      </c>
      <c r="C54" t="s">
        <v>746</v>
      </c>
      <c r="D54">
        <f>_xlfn.XLOOKUP(C54,tipo_preparacoes!$B$2:$B$12,tipo_preparacoes!$A$2:$A$12,"não")</f>
        <v>8</v>
      </c>
    </row>
    <row r="55" spans="1:4" x14ac:dyDescent="0.2">
      <c r="A55" t="s">
        <v>476</v>
      </c>
      <c r="B55">
        <v>105</v>
      </c>
      <c r="C55" t="s">
        <v>746</v>
      </c>
      <c r="D55">
        <f>_xlfn.XLOOKUP(C55,tipo_preparacoes!$B$2:$B$12,tipo_preparacoes!$A$2:$A$12,"não")</f>
        <v>8</v>
      </c>
    </row>
    <row r="56" spans="1:4" x14ac:dyDescent="0.2">
      <c r="A56" t="s">
        <v>493</v>
      </c>
      <c r="B56">
        <v>100</v>
      </c>
      <c r="C56" t="s">
        <v>746</v>
      </c>
      <c r="D56">
        <f>_xlfn.XLOOKUP(C56,tipo_preparacoes!$B$2:$B$12,tipo_preparacoes!$A$2:$A$12,"não")</f>
        <v>8</v>
      </c>
    </row>
    <row r="57" spans="1:4" x14ac:dyDescent="0.2">
      <c r="A57" t="s">
        <v>140</v>
      </c>
      <c r="B57">
        <v>160</v>
      </c>
      <c r="C57" t="s">
        <v>746</v>
      </c>
      <c r="D57">
        <f>_xlfn.XLOOKUP(C57,tipo_preparacoes!$B$2:$B$12,tipo_preparacoes!$A$2:$A$12,"não")</f>
        <v>8</v>
      </c>
    </row>
    <row r="58" spans="1:4" x14ac:dyDescent="0.2">
      <c r="A58" t="s">
        <v>159</v>
      </c>
      <c r="B58">
        <v>100</v>
      </c>
      <c r="C58" t="s">
        <v>746</v>
      </c>
      <c r="D58">
        <f>_xlfn.XLOOKUP(C58,tipo_preparacoes!$B$2:$B$12,tipo_preparacoes!$A$2:$A$12,"não")</f>
        <v>8</v>
      </c>
    </row>
    <row r="59" spans="1:4" x14ac:dyDescent="0.2">
      <c r="A59" t="s">
        <v>350</v>
      </c>
      <c r="B59">
        <v>170</v>
      </c>
      <c r="C59" t="s">
        <v>746</v>
      </c>
      <c r="D59">
        <f>_xlfn.XLOOKUP(C59,tipo_preparacoes!$B$2:$B$12,tipo_preparacoes!$A$2:$A$12,"não")</f>
        <v>8</v>
      </c>
    </row>
    <row r="60" spans="1:4" x14ac:dyDescent="0.2">
      <c r="A60" t="s">
        <v>525</v>
      </c>
      <c r="B60">
        <v>100</v>
      </c>
      <c r="C60" t="s">
        <v>746</v>
      </c>
      <c r="D60">
        <f>_xlfn.XLOOKUP(C60,tipo_preparacoes!$B$2:$B$12,tipo_preparacoes!$A$2:$A$12,"não")</f>
        <v>8</v>
      </c>
    </row>
    <row r="61" spans="1:4" x14ac:dyDescent="0.2">
      <c r="A61" t="s">
        <v>516</v>
      </c>
      <c r="B61">
        <v>100</v>
      </c>
      <c r="C61" t="s">
        <v>746</v>
      </c>
      <c r="D61">
        <f>_xlfn.XLOOKUP(C61,tipo_preparacoes!$B$2:$B$12,tipo_preparacoes!$A$2:$A$12,"não")</f>
        <v>8</v>
      </c>
    </row>
    <row r="62" spans="1:4" x14ac:dyDescent="0.2">
      <c r="A62" t="s">
        <v>540</v>
      </c>
      <c r="B62">
        <v>270</v>
      </c>
      <c r="C62" t="s">
        <v>746</v>
      </c>
      <c r="D62">
        <f>_xlfn.XLOOKUP(C62,tipo_preparacoes!$B$2:$B$12,tipo_preparacoes!$A$2:$A$12,"não")</f>
        <v>8</v>
      </c>
    </row>
    <row r="63" spans="1:4" x14ac:dyDescent="0.2">
      <c r="A63" t="s">
        <v>271</v>
      </c>
      <c r="B63">
        <v>100</v>
      </c>
      <c r="C63" t="s">
        <v>746</v>
      </c>
      <c r="D63">
        <f>_xlfn.XLOOKUP(C63,tipo_preparacoes!$B$2:$B$12,tipo_preparacoes!$A$2:$A$12,"não")</f>
        <v>8</v>
      </c>
    </row>
    <row r="64" spans="1:4" x14ac:dyDescent="0.2">
      <c r="A64" t="s">
        <v>385</v>
      </c>
      <c r="B64">
        <v>100</v>
      </c>
      <c r="C64" t="s">
        <v>746</v>
      </c>
      <c r="D64">
        <f>_xlfn.XLOOKUP(C64,tipo_preparacoes!$B$2:$B$12,tipo_preparacoes!$A$2:$A$12,"não")</f>
        <v>8</v>
      </c>
    </row>
    <row r="65" spans="1:4" x14ac:dyDescent="0.2">
      <c r="A65" t="s">
        <v>378</v>
      </c>
      <c r="B65">
        <v>100</v>
      </c>
      <c r="C65" t="s">
        <v>746</v>
      </c>
      <c r="D65">
        <f>_xlfn.XLOOKUP(C65,tipo_preparacoes!$B$2:$B$12,tipo_preparacoes!$A$2:$A$12,"não")</f>
        <v>8</v>
      </c>
    </row>
    <row r="66" spans="1:4" x14ac:dyDescent="0.2">
      <c r="A66" t="s">
        <v>541</v>
      </c>
      <c r="B66">
        <v>125</v>
      </c>
      <c r="C66" s="185" t="s">
        <v>745</v>
      </c>
      <c r="D66">
        <f>_xlfn.XLOOKUP(C66,tipo_preparacoes!$B$2:$B$12,tipo_preparacoes!$A$2:$A$12,"não")</f>
        <v>7</v>
      </c>
    </row>
    <row r="67" spans="1:4" x14ac:dyDescent="0.2">
      <c r="A67" t="s">
        <v>146</v>
      </c>
      <c r="B67">
        <v>189</v>
      </c>
      <c r="C67" s="185" t="s">
        <v>745</v>
      </c>
      <c r="D67">
        <f>_xlfn.XLOOKUP(C67,tipo_preparacoes!$B$2:$B$12,tipo_preparacoes!$A$2:$A$12,"não")</f>
        <v>7</v>
      </c>
    </row>
    <row r="68" spans="1:4" x14ac:dyDescent="0.2">
      <c r="A68" t="s">
        <v>436</v>
      </c>
      <c r="B68">
        <v>295</v>
      </c>
      <c r="C68" s="185" t="s">
        <v>745</v>
      </c>
      <c r="D68">
        <f>_xlfn.XLOOKUP(C68,tipo_preparacoes!$B$2:$B$12,tipo_preparacoes!$A$2:$A$12,"não")</f>
        <v>7</v>
      </c>
    </row>
    <row r="69" spans="1:4" x14ac:dyDescent="0.2">
      <c r="A69" t="s">
        <v>238</v>
      </c>
      <c r="B69">
        <v>35</v>
      </c>
      <c r="C69" s="185" t="s">
        <v>739</v>
      </c>
      <c r="D69">
        <f>_xlfn.XLOOKUP(C69,tipo_preparacoes!$B$2:$B$12,tipo_preparacoes!$A$2:$A$12,"não")</f>
        <v>1</v>
      </c>
    </row>
    <row r="70" spans="1:4" x14ac:dyDescent="0.2">
      <c r="A70" t="s">
        <v>71</v>
      </c>
      <c r="B70">
        <v>35</v>
      </c>
      <c r="C70" s="185" t="s">
        <v>739</v>
      </c>
      <c r="D70">
        <f>_xlfn.XLOOKUP(C70,tipo_preparacoes!$B$2:$B$12,tipo_preparacoes!$A$2:$A$12,"não")</f>
        <v>1</v>
      </c>
    </row>
    <row r="71" spans="1:4" x14ac:dyDescent="0.2">
      <c r="A71" t="s">
        <v>171</v>
      </c>
      <c r="B71">
        <v>35</v>
      </c>
      <c r="C71" s="185" t="s">
        <v>739</v>
      </c>
      <c r="D71">
        <f>_xlfn.XLOOKUP(C71,tipo_preparacoes!$B$2:$B$12,tipo_preparacoes!$A$2:$A$12,"não")</f>
        <v>1</v>
      </c>
    </row>
    <row r="72" spans="1:4" x14ac:dyDescent="0.2">
      <c r="A72" t="s">
        <v>301</v>
      </c>
      <c r="B72">
        <v>160</v>
      </c>
      <c r="C72" t="s">
        <v>746</v>
      </c>
      <c r="D72">
        <f>_xlfn.XLOOKUP(C72,tipo_preparacoes!$B$2:$B$12,tipo_preparacoes!$A$2:$A$12,"não")</f>
        <v>8</v>
      </c>
    </row>
    <row r="73" spans="1:4" x14ac:dyDescent="0.2">
      <c r="A73" t="s">
        <v>509</v>
      </c>
      <c r="B73">
        <v>100</v>
      </c>
      <c r="C73" t="s">
        <v>746</v>
      </c>
      <c r="D73">
        <f>_xlfn.XLOOKUP(C73,tipo_preparacoes!$B$2:$B$12,tipo_preparacoes!$A$2:$A$12,"não")</f>
        <v>8</v>
      </c>
    </row>
    <row r="74" spans="1:4" x14ac:dyDescent="0.2">
      <c r="A74" t="s">
        <v>442</v>
      </c>
      <c r="B74">
        <v>105</v>
      </c>
      <c r="C74" t="s">
        <v>744</v>
      </c>
      <c r="D74">
        <f>_xlfn.XLOOKUP(C74,tipo_preparacoes!$B$2:$B$12,tipo_preparacoes!$A$2:$A$12,"não")</f>
        <v>6</v>
      </c>
    </row>
    <row r="75" spans="1:4" x14ac:dyDescent="0.2">
      <c r="A75" t="s">
        <v>572</v>
      </c>
      <c r="B75">
        <v>100</v>
      </c>
      <c r="C75" t="s">
        <v>744</v>
      </c>
      <c r="D75">
        <f>_xlfn.XLOOKUP(C75,tipo_preparacoes!$B$2:$B$12,tipo_preparacoes!$A$2:$A$12,"não")</f>
        <v>6</v>
      </c>
    </row>
    <row r="76" spans="1:4" x14ac:dyDescent="0.2">
      <c r="A76" t="s">
        <v>558</v>
      </c>
      <c r="B76">
        <v>100</v>
      </c>
      <c r="C76" t="s">
        <v>744</v>
      </c>
      <c r="D76">
        <f>_xlfn.XLOOKUP(C76,tipo_preparacoes!$B$2:$B$12,tipo_preparacoes!$A$2:$A$12,"não")</f>
        <v>6</v>
      </c>
    </row>
    <row r="77" spans="1:4" x14ac:dyDescent="0.2">
      <c r="A77" t="s">
        <v>530</v>
      </c>
      <c r="B77">
        <v>100</v>
      </c>
      <c r="C77" t="s">
        <v>744</v>
      </c>
      <c r="D77">
        <f>_xlfn.XLOOKUP(C77,tipo_preparacoes!$B$2:$B$12,tipo_preparacoes!$A$2:$A$12,"não")</f>
        <v>6</v>
      </c>
    </row>
    <row r="78" spans="1:4" x14ac:dyDescent="0.2">
      <c r="A78" t="s">
        <v>459</v>
      </c>
      <c r="B78">
        <v>100</v>
      </c>
      <c r="C78" t="s">
        <v>744</v>
      </c>
      <c r="D78">
        <f>_xlfn.XLOOKUP(C78,tipo_preparacoes!$B$2:$B$12,tipo_preparacoes!$A$2:$A$12,"não")</f>
        <v>6</v>
      </c>
    </row>
    <row r="79" spans="1:4" x14ac:dyDescent="0.2">
      <c r="A79" t="s">
        <v>14</v>
      </c>
      <c r="B79">
        <v>220</v>
      </c>
      <c r="C79" s="185" t="s">
        <v>745</v>
      </c>
      <c r="D79">
        <f>_xlfn.XLOOKUP(C79,tipo_preparacoes!$B$2:$B$12,tipo_preparacoes!$A$2:$A$12,"não")</f>
        <v>7</v>
      </c>
    </row>
    <row r="80" spans="1:4" x14ac:dyDescent="0.2">
      <c r="A80" t="s">
        <v>79</v>
      </c>
      <c r="B80">
        <v>170</v>
      </c>
      <c r="C80" s="185" t="s">
        <v>745</v>
      </c>
      <c r="D80">
        <f>_xlfn.XLOOKUP(C80,tipo_preparacoes!$B$2:$B$12,tipo_preparacoes!$A$2:$A$12,"não")</f>
        <v>7</v>
      </c>
    </row>
    <row r="81" spans="1:4" x14ac:dyDescent="0.2">
      <c r="A81" t="s">
        <v>242</v>
      </c>
      <c r="B81">
        <v>150</v>
      </c>
      <c r="C81" s="185" t="s">
        <v>745</v>
      </c>
      <c r="D81">
        <f>_xlfn.XLOOKUP(C81,tipo_preparacoes!$B$2:$B$12,tipo_preparacoes!$A$2:$A$12,"não")</f>
        <v>7</v>
      </c>
    </row>
    <row r="82" spans="1:4" x14ac:dyDescent="0.2">
      <c r="A82" t="s">
        <v>367</v>
      </c>
      <c r="B82">
        <v>155</v>
      </c>
      <c r="C82" s="185" t="s">
        <v>745</v>
      </c>
      <c r="D82">
        <f>_xlfn.XLOOKUP(C82,tipo_preparacoes!$B$2:$B$12,tipo_preparacoes!$A$2:$A$12,"não")</f>
        <v>7</v>
      </c>
    </row>
    <row r="83" spans="1:4" x14ac:dyDescent="0.2">
      <c r="A83" t="s">
        <v>325</v>
      </c>
      <c r="B83">
        <v>165</v>
      </c>
      <c r="C83" s="185" t="s">
        <v>745</v>
      </c>
      <c r="D83">
        <f>_xlfn.XLOOKUP(C83,tipo_preparacoes!$B$2:$B$12,tipo_preparacoes!$A$2:$A$12,"não")</f>
        <v>7</v>
      </c>
    </row>
    <row r="84" spans="1:4" x14ac:dyDescent="0.2">
      <c r="A84" t="s">
        <v>5</v>
      </c>
      <c r="B84">
        <v>166</v>
      </c>
      <c r="C84" s="185" t="s">
        <v>739</v>
      </c>
      <c r="D84">
        <f>_xlfn.XLOOKUP(C84,tipo_preparacoes!$B$2:$B$12,tipo_preparacoes!$A$2:$A$12,"não")</f>
        <v>1</v>
      </c>
    </row>
    <row r="85" spans="1:4" x14ac:dyDescent="0.2">
      <c r="A85" t="s">
        <v>89</v>
      </c>
      <c r="B85">
        <v>86</v>
      </c>
      <c r="C85" s="185" t="s">
        <v>739</v>
      </c>
      <c r="D85">
        <f>_xlfn.XLOOKUP(C85,tipo_preparacoes!$B$2:$B$12,tipo_preparacoes!$A$2:$A$12,"não")</f>
        <v>1</v>
      </c>
    </row>
    <row r="86" spans="1:4" x14ac:dyDescent="0.2">
      <c r="A86" t="s">
        <v>41</v>
      </c>
      <c r="B86">
        <v>226</v>
      </c>
      <c r="C86" s="185" t="s">
        <v>739</v>
      </c>
      <c r="D86">
        <f>_xlfn.XLOOKUP(C86,tipo_preparacoes!$B$2:$B$12,tipo_preparacoes!$A$2:$A$12,"não")</f>
        <v>1</v>
      </c>
    </row>
    <row r="87" spans="1:4" x14ac:dyDescent="0.2">
      <c r="A87" t="s">
        <v>54</v>
      </c>
      <c r="B87">
        <v>166</v>
      </c>
      <c r="C87" s="185" t="s">
        <v>739</v>
      </c>
      <c r="D87">
        <f>_xlfn.XLOOKUP(C87,tipo_preparacoes!$B$2:$B$12,tipo_preparacoes!$A$2:$A$12,"não")</f>
        <v>1</v>
      </c>
    </row>
    <row r="88" spans="1:4" x14ac:dyDescent="0.2">
      <c r="A88" t="s">
        <v>241</v>
      </c>
      <c r="B88">
        <v>60</v>
      </c>
      <c r="C88" s="185" t="s">
        <v>739</v>
      </c>
      <c r="D88">
        <f>_xlfn.XLOOKUP(C88,tipo_preparacoes!$B$2:$B$12,tipo_preparacoes!$A$2:$A$12,"não")</f>
        <v>1</v>
      </c>
    </row>
    <row r="89" spans="1:4" x14ac:dyDescent="0.2">
      <c r="A89" t="s">
        <v>46</v>
      </c>
      <c r="B89">
        <v>320</v>
      </c>
      <c r="C89" s="185" t="s">
        <v>739</v>
      </c>
      <c r="D89">
        <f>_xlfn.XLOOKUP(C89,tipo_preparacoes!$B$2:$B$12,tipo_preparacoes!$A$2:$A$12,"não")</f>
        <v>1</v>
      </c>
    </row>
    <row r="90" spans="1:4" x14ac:dyDescent="0.2">
      <c r="A90" t="s">
        <v>96</v>
      </c>
      <c r="B90">
        <v>376</v>
      </c>
      <c r="C90" s="185" t="s">
        <v>739</v>
      </c>
      <c r="D90">
        <f>_xlfn.XLOOKUP(C90,tipo_preparacoes!$B$2:$B$12,tipo_preparacoes!$A$2:$A$12,"não")</f>
        <v>1</v>
      </c>
    </row>
    <row r="91" spans="1:4" x14ac:dyDescent="0.2">
      <c r="A91" t="s">
        <v>464</v>
      </c>
      <c r="B91">
        <v>90</v>
      </c>
      <c r="C91" t="s">
        <v>746</v>
      </c>
      <c r="D91">
        <f>_xlfn.XLOOKUP(C91,tipo_preparacoes!$B$2:$B$12,tipo_preparacoes!$A$2:$A$12,"não")</f>
        <v>8</v>
      </c>
    </row>
    <row r="92" spans="1:4" x14ac:dyDescent="0.2">
      <c r="A92" t="s">
        <v>452</v>
      </c>
      <c r="B92">
        <v>315</v>
      </c>
      <c r="C92" t="s">
        <v>746</v>
      </c>
      <c r="D92">
        <f>_xlfn.XLOOKUP(C92,tipo_preparacoes!$B$2:$B$12,tipo_preparacoes!$A$2:$A$12,"não")</f>
        <v>8</v>
      </c>
    </row>
    <row r="93" spans="1:4" x14ac:dyDescent="0.2">
      <c r="A93" t="s">
        <v>198</v>
      </c>
      <c r="B93">
        <v>200</v>
      </c>
      <c r="C93" s="185" t="s">
        <v>743</v>
      </c>
      <c r="D93">
        <f>_xlfn.XLOOKUP(C93,tipo_preparacoes!$B$2:$B$12,tipo_preparacoes!$A$2:$A$12,"não")</f>
        <v>5</v>
      </c>
    </row>
    <row r="94" spans="1:4" x14ac:dyDescent="0.2">
      <c r="A94" t="s">
        <v>250</v>
      </c>
      <c r="B94">
        <v>100</v>
      </c>
      <c r="C94" s="185" t="s">
        <v>743</v>
      </c>
      <c r="D94">
        <f>_xlfn.XLOOKUP(C94,tipo_preparacoes!$B$2:$B$12,tipo_preparacoes!$A$2:$A$12,"não")</f>
        <v>5</v>
      </c>
    </row>
    <row r="95" spans="1:4" x14ac:dyDescent="0.2">
      <c r="A95" t="s">
        <v>122</v>
      </c>
      <c r="B95">
        <v>100</v>
      </c>
      <c r="C95" s="185" t="s">
        <v>743</v>
      </c>
      <c r="D95">
        <f>_xlfn.XLOOKUP(C95,tipo_preparacoes!$B$2:$B$12,tipo_preparacoes!$A$2:$A$12,"não")</f>
        <v>5</v>
      </c>
    </row>
    <row r="96" spans="1:4" x14ac:dyDescent="0.2">
      <c r="A96" t="s">
        <v>251</v>
      </c>
      <c r="B96">
        <v>100</v>
      </c>
      <c r="C96" s="185" t="s">
        <v>743</v>
      </c>
      <c r="D96">
        <f>_xlfn.XLOOKUP(C96,tipo_preparacoes!$B$2:$B$12,tipo_preparacoes!$A$2:$A$12,"não")</f>
        <v>5</v>
      </c>
    </row>
    <row r="97" spans="1:4" x14ac:dyDescent="0.2">
      <c r="A97" t="s">
        <v>328</v>
      </c>
      <c r="B97">
        <v>290</v>
      </c>
      <c r="C97" t="s">
        <v>746</v>
      </c>
      <c r="D97">
        <f>_xlfn.XLOOKUP(C97,tipo_preparacoes!$B$2:$B$12,tipo_preparacoes!$A$2:$A$12,"não")</f>
        <v>8</v>
      </c>
    </row>
    <row r="98" spans="1:4" x14ac:dyDescent="0.2">
      <c r="A98" t="s">
        <v>288</v>
      </c>
      <c r="B98">
        <v>210</v>
      </c>
      <c r="C98" t="s">
        <v>746</v>
      </c>
      <c r="D98">
        <f>_xlfn.XLOOKUP(C98,tipo_preparacoes!$B$2:$B$12,tipo_preparacoes!$A$2:$A$12,"não")</f>
        <v>8</v>
      </c>
    </row>
    <row r="99" spans="1:4" x14ac:dyDescent="0.2">
      <c r="A99" t="s">
        <v>287</v>
      </c>
      <c r="B99">
        <v>30</v>
      </c>
      <c r="C99" t="s">
        <v>746</v>
      </c>
      <c r="D99">
        <f>_xlfn.XLOOKUP(C99,tipo_preparacoes!$B$2:$B$12,tipo_preparacoes!$A$2:$A$12,"não")</f>
        <v>8</v>
      </c>
    </row>
    <row r="100" spans="1:4" x14ac:dyDescent="0.2">
      <c r="A100" t="s">
        <v>292</v>
      </c>
      <c r="B100">
        <v>60</v>
      </c>
      <c r="C100" t="s">
        <v>746</v>
      </c>
      <c r="D100">
        <f>_xlfn.XLOOKUP(C100,tipo_preparacoes!$B$2:$B$12,tipo_preparacoes!$A$2:$A$12,"não")</f>
        <v>8</v>
      </c>
    </row>
    <row r="101" spans="1:4" x14ac:dyDescent="0.2">
      <c r="A101" t="s">
        <v>278</v>
      </c>
      <c r="B101">
        <v>100</v>
      </c>
      <c r="C101" t="s">
        <v>746</v>
      </c>
      <c r="D101">
        <f>_xlfn.XLOOKUP(C101,tipo_preparacoes!$B$2:$B$12,tipo_preparacoes!$A$2:$A$12,"não")</f>
        <v>8</v>
      </c>
    </row>
    <row r="102" spans="1:4" x14ac:dyDescent="0.2">
      <c r="A102" t="s">
        <v>428</v>
      </c>
      <c r="B102">
        <v>30</v>
      </c>
      <c r="C102" t="s">
        <v>746</v>
      </c>
      <c r="D102">
        <f>_xlfn.XLOOKUP(C102,tipo_preparacoes!$B$2:$B$12,tipo_preparacoes!$A$2:$A$12,"não")</f>
        <v>8</v>
      </c>
    </row>
    <row r="103" spans="1:4" x14ac:dyDescent="0.2">
      <c r="A103" t="s">
        <v>430</v>
      </c>
      <c r="B103">
        <v>120</v>
      </c>
      <c r="C103" t="s">
        <v>746</v>
      </c>
      <c r="D103">
        <f>_xlfn.XLOOKUP(C103,tipo_preparacoes!$B$2:$B$12,tipo_preparacoes!$A$2:$A$12,"não")</f>
        <v>8</v>
      </c>
    </row>
    <row r="104" spans="1:4" x14ac:dyDescent="0.2">
      <c r="A104" t="s">
        <v>414</v>
      </c>
      <c r="B104">
        <v>100</v>
      </c>
      <c r="C104" t="s">
        <v>746</v>
      </c>
      <c r="D104">
        <f>_xlfn.XLOOKUP(C104,tipo_preparacoes!$B$2:$B$12,tipo_preparacoes!$A$2:$A$12,"não")</f>
        <v>8</v>
      </c>
    </row>
    <row r="105" spans="1:4" x14ac:dyDescent="0.2">
      <c r="A105" t="s">
        <v>450</v>
      </c>
      <c r="B105">
        <v>120</v>
      </c>
      <c r="C105" s="185" t="s">
        <v>745</v>
      </c>
      <c r="D105">
        <f>_xlfn.XLOOKUP(C105,tipo_preparacoes!$B$2:$B$12,tipo_preparacoes!$A$2:$A$12,"não")</f>
        <v>7</v>
      </c>
    </row>
    <row r="106" spans="1:4" x14ac:dyDescent="0.2">
      <c r="A106" t="s">
        <v>42</v>
      </c>
      <c r="B106">
        <v>170</v>
      </c>
      <c r="C106" s="185" t="s">
        <v>745</v>
      </c>
      <c r="D106">
        <f>_xlfn.XLOOKUP(C106,tipo_preparacoes!$B$2:$B$12,tipo_preparacoes!$A$2:$A$12,"não")</f>
        <v>7</v>
      </c>
    </row>
    <row r="107" spans="1:4" x14ac:dyDescent="0.2">
      <c r="A107" t="s">
        <v>26</v>
      </c>
      <c r="B107">
        <v>125</v>
      </c>
      <c r="C107" s="185" t="s">
        <v>745</v>
      </c>
      <c r="D107">
        <f>_xlfn.XLOOKUP(C107,tipo_preparacoes!$B$2:$B$12,tipo_preparacoes!$A$2:$A$12,"não")</f>
        <v>7</v>
      </c>
    </row>
    <row r="108" spans="1:4" x14ac:dyDescent="0.2">
      <c r="A108" t="s">
        <v>82</v>
      </c>
      <c r="B108">
        <v>120</v>
      </c>
      <c r="C108" s="185" t="s">
        <v>745</v>
      </c>
      <c r="D108">
        <f>_xlfn.XLOOKUP(C108,tipo_preparacoes!$B$2:$B$12,tipo_preparacoes!$A$2:$A$12,"não")</f>
        <v>7</v>
      </c>
    </row>
    <row r="109" spans="1:4" x14ac:dyDescent="0.2">
      <c r="A109" t="s">
        <v>117</v>
      </c>
      <c r="B109">
        <v>360</v>
      </c>
      <c r="C109" s="185" t="s">
        <v>745</v>
      </c>
      <c r="D109">
        <f>_xlfn.XLOOKUP(C109,tipo_preparacoes!$B$2:$B$12,tipo_preparacoes!$A$2:$A$12,"não")</f>
        <v>7</v>
      </c>
    </row>
    <row r="110" spans="1:4" x14ac:dyDescent="0.2">
      <c r="A110" t="s">
        <v>227</v>
      </c>
      <c r="B110">
        <v>170</v>
      </c>
      <c r="C110" s="185" t="s">
        <v>745</v>
      </c>
      <c r="D110">
        <f>_xlfn.XLOOKUP(C110,tipo_preparacoes!$B$2:$B$12,tipo_preparacoes!$A$2:$A$12,"não")</f>
        <v>7</v>
      </c>
    </row>
    <row r="111" spans="1:4" x14ac:dyDescent="0.2">
      <c r="A111" t="s">
        <v>405</v>
      </c>
      <c r="B111">
        <v>130</v>
      </c>
      <c r="C111" s="185" t="s">
        <v>745</v>
      </c>
      <c r="D111">
        <f>_xlfn.XLOOKUP(C111,tipo_preparacoes!$B$2:$B$12,tipo_preparacoes!$A$2:$A$12,"não")</f>
        <v>7</v>
      </c>
    </row>
    <row r="112" spans="1:4" x14ac:dyDescent="0.2">
      <c r="A112" t="s">
        <v>138</v>
      </c>
      <c r="B112">
        <v>150</v>
      </c>
      <c r="C112" t="s">
        <v>746</v>
      </c>
      <c r="D112">
        <f>_xlfn.XLOOKUP(C112,tipo_preparacoes!$B$2:$B$12,tipo_preparacoes!$A$2:$A$12,"não")</f>
        <v>8</v>
      </c>
    </row>
    <row r="113" spans="1:4" x14ac:dyDescent="0.2">
      <c r="A113" t="s">
        <v>237</v>
      </c>
      <c r="B113">
        <v>100</v>
      </c>
      <c r="C113" t="s">
        <v>746</v>
      </c>
      <c r="D113">
        <f>_xlfn.XLOOKUP(C113,tipo_preparacoes!$B$2:$B$12,tipo_preparacoes!$A$2:$A$12,"não")</f>
        <v>8</v>
      </c>
    </row>
    <row r="114" spans="1:4" x14ac:dyDescent="0.2">
      <c r="A114" t="s">
        <v>78</v>
      </c>
      <c r="B114">
        <v>150</v>
      </c>
      <c r="C114" t="s">
        <v>744</v>
      </c>
      <c r="D114">
        <f>_xlfn.XLOOKUP(C114,tipo_preparacoes!$B$2:$B$12,tipo_preparacoes!$A$2:$A$12,"não")</f>
        <v>6</v>
      </c>
    </row>
    <row r="115" spans="1:4" x14ac:dyDescent="0.2">
      <c r="A115" t="s">
        <v>550</v>
      </c>
      <c r="B115">
        <v>125</v>
      </c>
      <c r="C115" t="s">
        <v>744</v>
      </c>
      <c r="D115">
        <f>_xlfn.XLOOKUP(C115,tipo_preparacoes!$B$2:$B$12,tipo_preparacoes!$A$2:$A$12,"não")</f>
        <v>6</v>
      </c>
    </row>
    <row r="116" spans="1:4" x14ac:dyDescent="0.2">
      <c r="A116" t="s">
        <v>359</v>
      </c>
      <c r="B116">
        <v>100</v>
      </c>
      <c r="C116" t="s">
        <v>744</v>
      </c>
      <c r="D116">
        <f>_xlfn.XLOOKUP(C116,tipo_preparacoes!$B$2:$B$12,tipo_preparacoes!$A$2:$A$12,"não")</f>
        <v>6</v>
      </c>
    </row>
    <row r="117" spans="1:4" x14ac:dyDescent="0.2">
      <c r="A117" t="s">
        <v>561</v>
      </c>
      <c r="B117">
        <v>200</v>
      </c>
      <c r="C117" t="s">
        <v>744</v>
      </c>
      <c r="D117">
        <f>_xlfn.XLOOKUP(C117,tipo_preparacoes!$B$2:$B$12,tipo_preparacoes!$A$2:$A$12,"não")</f>
        <v>6</v>
      </c>
    </row>
    <row r="118" spans="1:4" x14ac:dyDescent="0.2">
      <c r="A118" t="s">
        <v>23</v>
      </c>
      <c r="B118">
        <v>100</v>
      </c>
      <c r="C118" t="s">
        <v>744</v>
      </c>
      <c r="D118">
        <f>_xlfn.XLOOKUP(C118,tipo_preparacoes!$B$2:$B$12,tipo_preparacoes!$A$2:$A$12,"não")</f>
        <v>6</v>
      </c>
    </row>
    <row r="119" spans="1:4" x14ac:dyDescent="0.2">
      <c r="A119" t="s">
        <v>107</v>
      </c>
      <c r="B119">
        <v>50</v>
      </c>
      <c r="C119" t="s">
        <v>744</v>
      </c>
      <c r="D119">
        <f>_xlfn.XLOOKUP(C119,tipo_preparacoes!$B$2:$B$12,tipo_preparacoes!$A$2:$A$12,"não")</f>
        <v>6</v>
      </c>
    </row>
    <row r="120" spans="1:4" x14ac:dyDescent="0.2">
      <c r="A120" t="s">
        <v>315</v>
      </c>
      <c r="B120">
        <v>105</v>
      </c>
      <c r="C120" t="s">
        <v>744</v>
      </c>
      <c r="D120">
        <f>_xlfn.XLOOKUP(C120,tipo_preparacoes!$B$2:$B$12,tipo_preparacoes!$A$2:$A$12,"não")</f>
        <v>6</v>
      </c>
    </row>
    <row r="121" spans="1:4" x14ac:dyDescent="0.2">
      <c r="A121" t="s">
        <v>351</v>
      </c>
      <c r="B121">
        <v>170</v>
      </c>
      <c r="C121" t="s">
        <v>744</v>
      </c>
      <c r="D121">
        <f>_xlfn.XLOOKUP(C121,tipo_preparacoes!$B$2:$B$12,tipo_preparacoes!$A$2:$A$12,"não")</f>
        <v>6</v>
      </c>
    </row>
    <row r="122" spans="1:4" x14ac:dyDescent="0.2">
      <c r="A122" t="s">
        <v>86</v>
      </c>
      <c r="B122">
        <v>340</v>
      </c>
      <c r="C122" s="185" t="s">
        <v>747</v>
      </c>
      <c r="D122">
        <f>_xlfn.XLOOKUP(C122,tipo_preparacoes!$B$2:$B$12,tipo_preparacoes!$A$2:$A$12,"não")</f>
        <v>9</v>
      </c>
    </row>
    <row r="123" spans="1:4" x14ac:dyDescent="0.2">
      <c r="A123" t="s">
        <v>172</v>
      </c>
      <c r="B123">
        <v>160</v>
      </c>
      <c r="C123" s="185" t="s">
        <v>747</v>
      </c>
      <c r="D123">
        <f>_xlfn.XLOOKUP(C123,tipo_preparacoes!$B$2:$B$12,tipo_preparacoes!$A$2:$A$12,"não")</f>
        <v>9</v>
      </c>
    </row>
    <row r="124" spans="1:4" x14ac:dyDescent="0.2">
      <c r="A124" t="s">
        <v>73</v>
      </c>
      <c r="B124">
        <v>160</v>
      </c>
      <c r="C124" s="185" t="s">
        <v>747</v>
      </c>
      <c r="D124">
        <f>_xlfn.XLOOKUP(C124,tipo_preparacoes!$B$2:$B$12,tipo_preparacoes!$A$2:$A$12,"não")</f>
        <v>9</v>
      </c>
    </row>
    <row r="125" spans="1:4" x14ac:dyDescent="0.2">
      <c r="A125" t="s">
        <v>421</v>
      </c>
      <c r="B125">
        <v>100</v>
      </c>
      <c r="C125" t="s">
        <v>746</v>
      </c>
      <c r="D125">
        <f>_xlfn.XLOOKUP(C125,tipo_preparacoes!$B$2:$B$12,tipo_preparacoes!$A$2:$A$12,"não")</f>
        <v>8</v>
      </c>
    </row>
    <row r="126" spans="1:4" x14ac:dyDescent="0.2">
      <c r="A126" t="s">
        <v>520</v>
      </c>
      <c r="B126">
        <v>210</v>
      </c>
      <c r="C126" t="s">
        <v>746</v>
      </c>
      <c r="D126">
        <f>_xlfn.XLOOKUP(C126,tipo_preparacoes!$B$2:$B$12,tipo_preparacoes!$A$2:$A$12,"não")</f>
        <v>8</v>
      </c>
    </row>
    <row r="127" spans="1:4" x14ac:dyDescent="0.2">
      <c r="A127" t="s">
        <v>526</v>
      </c>
      <c r="B127">
        <v>105</v>
      </c>
      <c r="C127" t="s">
        <v>746</v>
      </c>
      <c r="D127">
        <f>_xlfn.XLOOKUP(C127,tipo_preparacoes!$B$2:$B$12,tipo_preparacoes!$A$2:$A$12,"não")</f>
        <v>8</v>
      </c>
    </row>
    <row r="128" spans="1:4" x14ac:dyDescent="0.2">
      <c r="A128" t="s">
        <v>448</v>
      </c>
      <c r="B128">
        <v>100</v>
      </c>
      <c r="C128" t="s">
        <v>746</v>
      </c>
      <c r="D128">
        <f>_xlfn.XLOOKUP(C128,tipo_preparacoes!$B$2:$B$12,tipo_preparacoes!$A$2:$A$12,"não")</f>
        <v>8</v>
      </c>
    </row>
    <row r="129" spans="1:4" x14ac:dyDescent="0.2">
      <c r="A129" t="s">
        <v>309</v>
      </c>
      <c r="B129">
        <v>325</v>
      </c>
      <c r="C129" t="s">
        <v>746</v>
      </c>
      <c r="D129">
        <f>_xlfn.XLOOKUP(C129,tipo_preparacoes!$B$2:$B$12,tipo_preparacoes!$A$2:$A$12,"não")</f>
        <v>8</v>
      </c>
    </row>
    <row r="130" spans="1:4" x14ac:dyDescent="0.2">
      <c r="A130" t="s">
        <v>491</v>
      </c>
      <c r="B130">
        <v>100</v>
      </c>
      <c r="C130" t="s">
        <v>746</v>
      </c>
      <c r="D130">
        <f>_xlfn.XLOOKUP(C130,tipo_preparacoes!$B$2:$B$12,tipo_preparacoes!$A$2:$A$12,"não")</f>
        <v>8</v>
      </c>
    </row>
    <row r="131" spans="1:4" x14ac:dyDescent="0.2">
      <c r="A131" t="s">
        <v>68</v>
      </c>
      <c r="B131">
        <v>100</v>
      </c>
      <c r="C131" t="s">
        <v>746</v>
      </c>
      <c r="D131">
        <f>_xlfn.XLOOKUP(C131,tipo_preparacoes!$B$2:$B$12,tipo_preparacoes!$A$2:$A$12,"não")</f>
        <v>8</v>
      </c>
    </row>
    <row r="132" spans="1:4" x14ac:dyDescent="0.2">
      <c r="A132" t="s">
        <v>50</v>
      </c>
      <c r="B132">
        <v>100</v>
      </c>
      <c r="C132" t="s">
        <v>746</v>
      </c>
      <c r="D132">
        <f>_xlfn.XLOOKUP(C132,tipo_preparacoes!$B$2:$B$12,tipo_preparacoes!$A$2:$A$12,"não")</f>
        <v>8</v>
      </c>
    </row>
    <row r="133" spans="1:4" x14ac:dyDescent="0.2">
      <c r="A133" t="s">
        <v>305</v>
      </c>
      <c r="B133">
        <v>90</v>
      </c>
      <c r="C133" t="s">
        <v>746</v>
      </c>
      <c r="D133">
        <f>_xlfn.XLOOKUP(C133,tipo_preparacoes!$B$2:$B$12,tipo_preparacoes!$A$2:$A$12,"não")</f>
        <v>8</v>
      </c>
    </row>
    <row r="134" spans="1:4" x14ac:dyDescent="0.2">
      <c r="A134" t="s">
        <v>320</v>
      </c>
      <c r="B134">
        <v>100</v>
      </c>
      <c r="C134" t="s">
        <v>746</v>
      </c>
      <c r="D134">
        <f>_xlfn.XLOOKUP(C134,tipo_preparacoes!$B$2:$B$12,tipo_preparacoes!$A$2:$A$12,"não")</f>
        <v>8</v>
      </c>
    </row>
    <row r="135" spans="1:4" x14ac:dyDescent="0.2">
      <c r="A135" t="s">
        <v>322</v>
      </c>
      <c r="B135">
        <v>200</v>
      </c>
      <c r="C135" t="s">
        <v>746</v>
      </c>
      <c r="D135">
        <f>_xlfn.XLOOKUP(C135,tipo_preparacoes!$B$2:$B$12,tipo_preparacoes!$A$2:$A$12,"não")</f>
        <v>8</v>
      </c>
    </row>
    <row r="136" spans="1:4" x14ac:dyDescent="0.2">
      <c r="A136" t="s">
        <v>505</v>
      </c>
      <c r="B136">
        <v>100</v>
      </c>
      <c r="C136" t="s">
        <v>746</v>
      </c>
      <c r="D136">
        <f>_xlfn.XLOOKUP(C136,tipo_preparacoes!$B$2:$B$12,tipo_preparacoes!$A$2:$A$12,"não")</f>
        <v>8</v>
      </c>
    </row>
    <row r="137" spans="1:4" x14ac:dyDescent="0.2">
      <c r="A137" t="s">
        <v>480</v>
      </c>
      <c r="B137">
        <v>105</v>
      </c>
      <c r="C137" t="s">
        <v>746</v>
      </c>
      <c r="D137">
        <f>_xlfn.XLOOKUP(C137,tipo_preparacoes!$B$2:$B$12,tipo_preparacoes!$A$2:$A$12,"não")</f>
        <v>8</v>
      </c>
    </row>
    <row r="138" spans="1:4" x14ac:dyDescent="0.2">
      <c r="A138" t="s">
        <v>404</v>
      </c>
      <c r="B138">
        <v>130</v>
      </c>
      <c r="C138" t="s">
        <v>746</v>
      </c>
      <c r="D138">
        <f>_xlfn.XLOOKUP(C138,tipo_preparacoes!$B$2:$B$12,tipo_preparacoes!$A$2:$A$12,"não")</f>
        <v>8</v>
      </c>
    </row>
    <row r="139" spans="1:4" x14ac:dyDescent="0.2">
      <c r="A139" t="s">
        <v>97</v>
      </c>
      <c r="B139">
        <v>100</v>
      </c>
      <c r="C139" t="s">
        <v>744</v>
      </c>
      <c r="D139">
        <f>_xlfn.XLOOKUP(C139,tipo_preparacoes!$B$2:$B$12,tipo_preparacoes!$A$2:$A$12,"não")</f>
        <v>6</v>
      </c>
    </row>
    <row r="140" spans="1:4" x14ac:dyDescent="0.2">
      <c r="A140" t="s">
        <v>49</v>
      </c>
      <c r="B140">
        <v>100</v>
      </c>
      <c r="C140" t="s">
        <v>744</v>
      </c>
      <c r="D140">
        <f>_xlfn.XLOOKUP(C140,tipo_preparacoes!$B$2:$B$12,tipo_preparacoes!$A$2:$A$12,"não")</f>
        <v>6</v>
      </c>
    </row>
    <row r="141" spans="1:4" x14ac:dyDescent="0.2">
      <c r="A141" t="s">
        <v>497</v>
      </c>
      <c r="B141">
        <v>140</v>
      </c>
      <c r="C141" t="s">
        <v>746</v>
      </c>
      <c r="D141">
        <f>_xlfn.XLOOKUP(C141,tipo_preparacoes!$B$2:$B$12,tipo_preparacoes!$A$2:$A$12,"não")</f>
        <v>8</v>
      </c>
    </row>
    <row r="142" spans="1:4" x14ac:dyDescent="0.2">
      <c r="A142" t="s">
        <v>331</v>
      </c>
      <c r="B142">
        <v>480.6</v>
      </c>
      <c r="C142" t="s">
        <v>746</v>
      </c>
      <c r="D142">
        <f>_xlfn.XLOOKUP(C142,tipo_preparacoes!$B$2:$B$12,tipo_preparacoes!$A$2:$A$12,"não")</f>
        <v>8</v>
      </c>
    </row>
    <row r="143" spans="1:4" x14ac:dyDescent="0.2">
      <c r="A143" t="s">
        <v>256</v>
      </c>
      <c r="B143">
        <v>100</v>
      </c>
      <c r="C143" t="s">
        <v>746</v>
      </c>
      <c r="D143">
        <f>_xlfn.XLOOKUP(C143,tipo_preparacoes!$B$2:$B$12,tipo_preparacoes!$A$2:$A$12,"não")</f>
        <v>8</v>
      </c>
    </row>
    <row r="144" spans="1:4" x14ac:dyDescent="0.2">
      <c r="A144" t="s">
        <v>321</v>
      </c>
      <c r="B144">
        <v>120</v>
      </c>
      <c r="C144" s="185" t="s">
        <v>745</v>
      </c>
      <c r="D144">
        <f>_xlfn.XLOOKUP(C144,tipo_preparacoes!$B$2:$B$12,tipo_preparacoes!$A$2:$A$12,"não")</f>
        <v>7</v>
      </c>
    </row>
    <row r="145" spans="1:4" x14ac:dyDescent="0.2">
      <c r="A145" t="s">
        <v>307</v>
      </c>
      <c r="B145">
        <v>140</v>
      </c>
      <c r="C145" s="185" t="s">
        <v>745</v>
      </c>
      <c r="D145">
        <f>_xlfn.XLOOKUP(C145,tipo_preparacoes!$B$2:$B$12,tipo_preparacoes!$A$2:$A$12,"não")</f>
        <v>7</v>
      </c>
    </row>
    <row r="146" spans="1:4" x14ac:dyDescent="0.2">
      <c r="A146" t="s">
        <v>300</v>
      </c>
      <c r="B146">
        <v>290</v>
      </c>
      <c r="C146" s="185" t="s">
        <v>745</v>
      </c>
      <c r="D146">
        <f>_xlfn.XLOOKUP(C146,tipo_preparacoes!$B$2:$B$12,tipo_preparacoes!$A$2:$A$12,"não")</f>
        <v>7</v>
      </c>
    </row>
    <row r="147" spans="1:4" x14ac:dyDescent="0.2">
      <c r="A147" t="s">
        <v>126</v>
      </c>
      <c r="B147">
        <v>80</v>
      </c>
      <c r="C147" s="185" t="s">
        <v>748</v>
      </c>
      <c r="D147">
        <f>_xlfn.XLOOKUP(C147,tipo_preparacoes!$B$2:$B$12,tipo_preparacoes!$A$2:$A$12,"não")</f>
        <v>10</v>
      </c>
    </row>
    <row r="148" spans="1:4" x14ac:dyDescent="0.2">
      <c r="A148" t="s">
        <v>551</v>
      </c>
      <c r="B148">
        <v>330</v>
      </c>
      <c r="C148" t="s">
        <v>746</v>
      </c>
      <c r="D148">
        <f>_xlfn.XLOOKUP(C148,tipo_preparacoes!$B$2:$B$12,tipo_preparacoes!$A$2:$A$12,"não")</f>
        <v>8</v>
      </c>
    </row>
    <row r="149" spans="1:4" x14ac:dyDescent="0.2">
      <c r="A149" t="s">
        <v>259</v>
      </c>
      <c r="B149">
        <v>140</v>
      </c>
      <c r="C149" t="s">
        <v>746</v>
      </c>
      <c r="D149">
        <f>_xlfn.XLOOKUP(C149,tipo_preparacoes!$B$2:$B$12,tipo_preparacoes!$A$2:$A$12,"não")</f>
        <v>8</v>
      </c>
    </row>
    <row r="150" spans="1:4" x14ac:dyDescent="0.2">
      <c r="A150" t="s">
        <v>380</v>
      </c>
      <c r="B150">
        <v>100</v>
      </c>
      <c r="C150" t="s">
        <v>746</v>
      </c>
      <c r="D150">
        <f>_xlfn.XLOOKUP(C150,tipo_preparacoes!$B$2:$B$12,tipo_preparacoes!$A$2:$A$12,"não")</f>
        <v>8</v>
      </c>
    </row>
    <row r="151" spans="1:4" x14ac:dyDescent="0.2">
      <c r="A151" t="s">
        <v>489</v>
      </c>
      <c r="B151">
        <v>100</v>
      </c>
      <c r="C151" t="s">
        <v>746</v>
      </c>
      <c r="D151">
        <f>_xlfn.XLOOKUP(C151,tipo_preparacoes!$B$2:$B$12,tipo_preparacoes!$A$2:$A$12,"não")</f>
        <v>8</v>
      </c>
    </row>
    <row r="152" spans="1:4" x14ac:dyDescent="0.2">
      <c r="A152" t="s">
        <v>391</v>
      </c>
      <c r="B152">
        <v>220</v>
      </c>
      <c r="C152" t="s">
        <v>746</v>
      </c>
      <c r="D152">
        <f>_xlfn.XLOOKUP(C152,tipo_preparacoes!$B$2:$B$12,tipo_preparacoes!$A$2:$A$12,"não")</f>
        <v>8</v>
      </c>
    </row>
    <row r="153" spans="1:4" x14ac:dyDescent="0.2">
      <c r="A153" t="s">
        <v>470</v>
      </c>
      <c r="B153">
        <v>115</v>
      </c>
      <c r="C153" t="s">
        <v>746</v>
      </c>
      <c r="D153">
        <f>_xlfn.XLOOKUP(C153,tipo_preparacoes!$B$2:$B$12,tipo_preparacoes!$A$2:$A$12,"não")</f>
        <v>8</v>
      </c>
    </row>
    <row r="154" spans="1:4" x14ac:dyDescent="0.2">
      <c r="A154" t="s">
        <v>446</v>
      </c>
      <c r="B154">
        <v>100</v>
      </c>
      <c r="C154" t="s">
        <v>746</v>
      </c>
      <c r="D154">
        <f>_xlfn.XLOOKUP(C154,tipo_preparacoes!$B$2:$B$12,tipo_preparacoes!$A$2:$A$12,"não")</f>
        <v>8</v>
      </c>
    </row>
    <row r="155" spans="1:4" x14ac:dyDescent="0.2">
      <c r="A155" t="s">
        <v>542</v>
      </c>
      <c r="B155">
        <v>130</v>
      </c>
      <c r="C155" t="s">
        <v>746</v>
      </c>
      <c r="D155">
        <f>_xlfn.XLOOKUP(C155,tipo_preparacoes!$B$2:$B$12,tipo_preparacoes!$A$2:$A$12,"não")</f>
        <v>8</v>
      </c>
    </row>
    <row r="156" spans="1:4" x14ac:dyDescent="0.2">
      <c r="A156" t="s">
        <v>31</v>
      </c>
      <c r="B156">
        <v>220</v>
      </c>
      <c r="C156" s="185" t="s">
        <v>743</v>
      </c>
      <c r="D156">
        <f>_xlfn.XLOOKUP(C156,tipo_preparacoes!$B$2:$B$12,tipo_preparacoes!$A$2:$A$12,"não")</f>
        <v>5</v>
      </c>
    </row>
    <row r="157" spans="1:4" x14ac:dyDescent="0.2">
      <c r="A157" t="s">
        <v>557</v>
      </c>
      <c r="B157">
        <v>100</v>
      </c>
      <c r="C157" s="185" t="s">
        <v>743</v>
      </c>
      <c r="D157">
        <f>_xlfn.XLOOKUP(C157,tipo_preparacoes!$B$2:$B$12,tipo_preparacoes!$A$2:$A$12,"não")</f>
        <v>5</v>
      </c>
    </row>
    <row r="158" spans="1:4" x14ac:dyDescent="0.2">
      <c r="A158" t="s">
        <v>69</v>
      </c>
      <c r="B158">
        <v>200</v>
      </c>
      <c r="C158" s="185" t="s">
        <v>743</v>
      </c>
      <c r="D158">
        <f>_xlfn.XLOOKUP(C158,tipo_preparacoes!$B$2:$B$12,tipo_preparacoes!$A$2:$A$12,"não")</f>
        <v>5</v>
      </c>
    </row>
    <row r="159" spans="1:4" x14ac:dyDescent="0.2">
      <c r="A159" t="s">
        <v>573</v>
      </c>
      <c r="B159">
        <v>40</v>
      </c>
      <c r="C159" s="185" t="s">
        <v>743</v>
      </c>
      <c r="D159">
        <f>_xlfn.XLOOKUP(C159,tipo_preparacoes!$B$2:$B$12,tipo_preparacoes!$A$2:$A$12,"não")</f>
        <v>5</v>
      </c>
    </row>
    <row r="160" spans="1:4" x14ac:dyDescent="0.2">
      <c r="A160" t="s">
        <v>510</v>
      </c>
      <c r="B160">
        <v>140</v>
      </c>
      <c r="C160" s="185" t="s">
        <v>743</v>
      </c>
      <c r="D160">
        <f>_xlfn.XLOOKUP(C160,tipo_preparacoes!$B$2:$B$12,tipo_preparacoes!$A$2:$A$12,"não")</f>
        <v>5</v>
      </c>
    </row>
    <row r="161" spans="1:4" x14ac:dyDescent="0.2">
      <c r="A161" t="s">
        <v>20</v>
      </c>
      <c r="B161">
        <v>500</v>
      </c>
      <c r="C161" s="185" t="s">
        <v>743</v>
      </c>
      <c r="D161">
        <f>_xlfn.XLOOKUP(C161,tipo_preparacoes!$B$2:$B$12,tipo_preparacoes!$A$2:$A$12,"não")</f>
        <v>5</v>
      </c>
    </row>
    <row r="162" spans="1:4" x14ac:dyDescent="0.2">
      <c r="A162" t="s">
        <v>66</v>
      </c>
      <c r="B162">
        <v>200</v>
      </c>
      <c r="C162" s="185" t="s">
        <v>743</v>
      </c>
      <c r="D162">
        <f>_xlfn.XLOOKUP(C162,tipo_preparacoes!$B$2:$B$12,tipo_preparacoes!$A$2:$A$12,"não")</f>
        <v>5</v>
      </c>
    </row>
    <row r="163" spans="1:4" x14ac:dyDescent="0.2">
      <c r="A163" t="s">
        <v>357</v>
      </c>
      <c r="B163">
        <v>100</v>
      </c>
      <c r="C163" s="185" t="s">
        <v>743</v>
      </c>
      <c r="D163">
        <f>_xlfn.XLOOKUP(C163,tipo_preparacoes!$B$2:$B$12,tipo_preparacoes!$A$2:$A$12,"não")</f>
        <v>5</v>
      </c>
    </row>
    <row r="164" spans="1:4" x14ac:dyDescent="0.2">
      <c r="A164" t="s">
        <v>384</v>
      </c>
      <c r="B164">
        <v>100</v>
      </c>
      <c r="C164" s="185" t="s">
        <v>743</v>
      </c>
      <c r="D164">
        <f>_xlfn.XLOOKUP(C164,tipo_preparacoes!$B$2:$B$12,tipo_preparacoes!$A$2:$A$12,"não")</f>
        <v>5</v>
      </c>
    </row>
    <row r="165" spans="1:4" x14ac:dyDescent="0.2">
      <c r="A165" t="s">
        <v>275</v>
      </c>
      <c r="B165">
        <v>240</v>
      </c>
      <c r="C165" s="185" t="s">
        <v>745</v>
      </c>
      <c r="D165">
        <f>_xlfn.XLOOKUP(C165,tipo_preparacoes!$B$2:$B$12,tipo_preparacoes!$A$2:$A$12,"não")</f>
        <v>7</v>
      </c>
    </row>
    <row r="166" spans="1:4" x14ac:dyDescent="0.2">
      <c r="A166" t="s">
        <v>264</v>
      </c>
      <c r="B166">
        <v>273</v>
      </c>
      <c r="C166" s="185" t="s">
        <v>745</v>
      </c>
      <c r="D166">
        <f>_xlfn.XLOOKUP(C166,tipo_preparacoes!$B$2:$B$12,tipo_preparacoes!$A$2:$A$12,"não")</f>
        <v>7</v>
      </c>
    </row>
    <row r="167" spans="1:4" x14ac:dyDescent="0.2">
      <c r="A167" t="s">
        <v>255</v>
      </c>
      <c r="B167">
        <v>120</v>
      </c>
      <c r="C167" s="185" t="s">
        <v>745</v>
      </c>
      <c r="D167">
        <f>_xlfn.XLOOKUP(C167,tipo_preparacoes!$B$2:$B$12,tipo_preparacoes!$A$2:$A$12,"não")</f>
        <v>7</v>
      </c>
    </row>
    <row r="168" spans="1:4" x14ac:dyDescent="0.2">
      <c r="A168" t="s">
        <v>139</v>
      </c>
      <c r="B168">
        <v>180</v>
      </c>
      <c r="C168" s="185" t="s">
        <v>745</v>
      </c>
      <c r="D168">
        <f>_xlfn.XLOOKUP(C168,tipo_preparacoes!$B$2:$B$12,tipo_preparacoes!$A$2:$A$12,"não")</f>
        <v>7</v>
      </c>
    </row>
    <row r="169" spans="1:4" x14ac:dyDescent="0.2">
      <c r="A169" t="s">
        <v>177</v>
      </c>
      <c r="B169">
        <v>300</v>
      </c>
      <c r="C169" s="185" t="s">
        <v>745</v>
      </c>
      <c r="D169">
        <f>_xlfn.XLOOKUP(C169,tipo_preparacoes!$B$2:$B$12,tipo_preparacoes!$A$2:$A$12,"não")</f>
        <v>7</v>
      </c>
    </row>
    <row r="170" spans="1:4" x14ac:dyDescent="0.2">
      <c r="A170" t="s">
        <v>191</v>
      </c>
      <c r="B170">
        <v>240</v>
      </c>
      <c r="C170" s="185" t="s">
        <v>745</v>
      </c>
      <c r="D170">
        <f>_xlfn.XLOOKUP(C170,tipo_preparacoes!$B$2:$B$12,tipo_preparacoes!$A$2:$A$12,"não")</f>
        <v>7</v>
      </c>
    </row>
    <row r="171" spans="1:4" x14ac:dyDescent="0.2">
      <c r="A171" t="s">
        <v>465</v>
      </c>
      <c r="B171">
        <v>120</v>
      </c>
      <c r="C171" s="185" t="s">
        <v>745</v>
      </c>
      <c r="D171">
        <f>_xlfn.XLOOKUP(C171,tipo_preparacoes!$B$2:$B$12,tipo_preparacoes!$A$2:$A$12,"não")</f>
        <v>7</v>
      </c>
    </row>
    <row r="172" spans="1:4" x14ac:dyDescent="0.2">
      <c r="A172" t="s">
        <v>453</v>
      </c>
      <c r="B172">
        <v>120</v>
      </c>
      <c r="C172" s="185" t="s">
        <v>745</v>
      </c>
      <c r="D172">
        <f>_xlfn.XLOOKUP(C172,tipo_preparacoes!$B$2:$B$12,tipo_preparacoes!$A$2:$A$12,"não")</f>
        <v>7</v>
      </c>
    </row>
    <row r="173" spans="1:4" x14ac:dyDescent="0.2">
      <c r="A173" t="s">
        <v>457</v>
      </c>
      <c r="B173">
        <v>150</v>
      </c>
      <c r="C173" s="185" t="s">
        <v>745</v>
      </c>
      <c r="D173">
        <f>_xlfn.XLOOKUP(C173,tipo_preparacoes!$B$2:$B$12,tipo_preparacoes!$A$2:$A$12,"não")</f>
        <v>7</v>
      </c>
    </row>
    <row r="174" spans="1:4" x14ac:dyDescent="0.2">
      <c r="A174" t="s">
        <v>447</v>
      </c>
      <c r="B174">
        <v>270</v>
      </c>
      <c r="C174" s="185" t="s">
        <v>745</v>
      </c>
      <c r="D174">
        <f>_xlfn.XLOOKUP(C174,tipo_preparacoes!$B$2:$B$12,tipo_preparacoes!$A$2:$A$12,"não")</f>
        <v>7</v>
      </c>
    </row>
    <row r="175" spans="1:4" x14ac:dyDescent="0.2">
      <c r="A175" t="s">
        <v>587</v>
      </c>
      <c r="B175">
        <v>4</v>
      </c>
      <c r="C175" s="185" t="s">
        <v>748</v>
      </c>
      <c r="D175">
        <f>_xlfn.XLOOKUP(C175,tipo_preparacoes!$B$2:$B$12,tipo_preparacoes!$A$2:$A$12,"não")</f>
        <v>10</v>
      </c>
    </row>
    <row r="176" spans="1:4" x14ac:dyDescent="0.2">
      <c r="A176" t="s">
        <v>581</v>
      </c>
      <c r="B176">
        <v>4</v>
      </c>
      <c r="C176" s="185" t="s">
        <v>748</v>
      </c>
      <c r="D176">
        <f>_xlfn.XLOOKUP(C176,tipo_preparacoes!$B$2:$B$12,tipo_preparacoes!$A$2:$A$12,"não")</f>
        <v>10</v>
      </c>
    </row>
    <row r="177" spans="1:4" x14ac:dyDescent="0.2">
      <c r="A177" t="s">
        <v>213</v>
      </c>
      <c r="B177">
        <v>4</v>
      </c>
      <c r="C177" s="185" t="s">
        <v>748</v>
      </c>
      <c r="D177">
        <f>_xlfn.XLOOKUP(C177,tipo_preparacoes!$B$2:$B$12,tipo_preparacoes!$A$2:$A$12,"não")</f>
        <v>10</v>
      </c>
    </row>
    <row r="178" spans="1:4" x14ac:dyDescent="0.2">
      <c r="A178" t="s">
        <v>358</v>
      </c>
      <c r="B178">
        <v>4</v>
      </c>
      <c r="C178" s="185" t="s">
        <v>748</v>
      </c>
      <c r="D178">
        <f>_xlfn.XLOOKUP(C178,tipo_preparacoes!$B$2:$B$12,tipo_preparacoes!$A$2:$A$12,"não")</f>
        <v>10</v>
      </c>
    </row>
    <row r="179" spans="1:4" x14ac:dyDescent="0.2">
      <c r="A179" t="s">
        <v>67</v>
      </c>
      <c r="B179">
        <v>4</v>
      </c>
      <c r="C179" s="185" t="s">
        <v>748</v>
      </c>
      <c r="D179">
        <f>_xlfn.XLOOKUP(C179,tipo_preparacoes!$B$2:$B$12,tipo_preparacoes!$A$2:$A$12,"não")</f>
        <v>10</v>
      </c>
    </row>
    <row r="180" spans="1:4" x14ac:dyDescent="0.2">
      <c r="A180" t="s">
        <v>377</v>
      </c>
      <c r="B180">
        <v>4</v>
      </c>
      <c r="C180" s="185" t="s">
        <v>748</v>
      </c>
      <c r="D180">
        <f>_xlfn.XLOOKUP(C180,tipo_preparacoes!$B$2:$B$12,tipo_preparacoes!$A$2:$A$12,"não")</f>
        <v>10</v>
      </c>
    </row>
    <row r="181" spans="1:4" x14ac:dyDescent="0.2">
      <c r="A181" t="s">
        <v>567</v>
      </c>
      <c r="B181">
        <v>80</v>
      </c>
      <c r="C181" s="185" t="s">
        <v>748</v>
      </c>
      <c r="D181">
        <f>_xlfn.XLOOKUP(C181,tipo_preparacoes!$B$2:$B$12,tipo_preparacoes!$A$2:$A$12,"não")</f>
        <v>10</v>
      </c>
    </row>
    <row r="182" spans="1:4" x14ac:dyDescent="0.2">
      <c r="A182" t="s">
        <v>230</v>
      </c>
      <c r="B182">
        <v>88</v>
      </c>
      <c r="C182" s="185" t="s">
        <v>748</v>
      </c>
      <c r="D182">
        <f>_xlfn.XLOOKUP(C182,tipo_preparacoes!$B$2:$B$12,tipo_preparacoes!$A$2:$A$12,"não")</f>
        <v>10</v>
      </c>
    </row>
    <row r="183" spans="1:4" x14ac:dyDescent="0.2">
      <c r="A183" t="s">
        <v>352</v>
      </c>
      <c r="B183">
        <v>80</v>
      </c>
      <c r="C183" s="185" t="s">
        <v>748</v>
      </c>
      <c r="D183">
        <f>_xlfn.XLOOKUP(C183,tipo_preparacoes!$B$2:$B$12,tipo_preparacoes!$A$2:$A$12,"não")</f>
        <v>10</v>
      </c>
    </row>
    <row r="184" spans="1:4" x14ac:dyDescent="0.2">
      <c r="A184" t="s">
        <v>316</v>
      </c>
      <c r="B184">
        <v>80</v>
      </c>
      <c r="C184" s="185" t="s">
        <v>748</v>
      </c>
      <c r="D184">
        <f>_xlfn.XLOOKUP(C184,tipo_preparacoes!$B$2:$B$12,tipo_preparacoes!$A$2:$A$12,"não")</f>
        <v>10</v>
      </c>
    </row>
    <row r="185" spans="1:4" x14ac:dyDescent="0.2">
      <c r="A185" t="s">
        <v>535</v>
      </c>
      <c r="B185">
        <v>80</v>
      </c>
      <c r="C185" s="185" t="s">
        <v>748</v>
      </c>
      <c r="D185">
        <f>_xlfn.XLOOKUP(C185,tipo_preparacoes!$B$2:$B$12,tipo_preparacoes!$A$2:$A$12,"não")</f>
        <v>10</v>
      </c>
    </row>
    <row r="186" spans="1:4" x14ac:dyDescent="0.2">
      <c r="A186" t="s">
        <v>195</v>
      </c>
      <c r="B186">
        <v>80</v>
      </c>
      <c r="C186" s="185" t="s">
        <v>748</v>
      </c>
      <c r="D186">
        <f>_xlfn.XLOOKUP(C186,tipo_preparacoes!$B$2:$B$12,tipo_preparacoes!$A$2:$A$12,"não")</f>
        <v>10</v>
      </c>
    </row>
    <row r="187" spans="1:4" x14ac:dyDescent="0.2">
      <c r="A187" t="s">
        <v>418</v>
      </c>
      <c r="B187">
        <v>86</v>
      </c>
      <c r="C187" s="185" t="s">
        <v>748</v>
      </c>
      <c r="D187">
        <f>_xlfn.XLOOKUP(C187,tipo_preparacoes!$B$2:$B$12,tipo_preparacoes!$A$2:$A$12,"não")</f>
        <v>10</v>
      </c>
    </row>
    <row r="188" spans="1:4" x14ac:dyDescent="0.2">
      <c r="A188" t="s">
        <v>179</v>
      </c>
      <c r="B188">
        <v>180</v>
      </c>
      <c r="C188" s="185" t="s">
        <v>741</v>
      </c>
      <c r="D188">
        <f>_xlfn.XLOOKUP(C188,tipo_preparacoes!$B$2:$B$12,tipo_preparacoes!$A$2:$A$12,"não")</f>
        <v>3</v>
      </c>
    </row>
    <row r="189" spans="1:4" x14ac:dyDescent="0.2">
      <c r="A189" t="s">
        <v>403</v>
      </c>
      <c r="B189">
        <v>150</v>
      </c>
      <c r="C189" s="185" t="s">
        <v>745</v>
      </c>
      <c r="D189">
        <f>_xlfn.XLOOKUP(C189,tipo_preparacoes!$B$2:$B$12,tipo_preparacoes!$A$2:$A$12,"não")</f>
        <v>7</v>
      </c>
    </row>
    <row r="190" spans="1:4" x14ac:dyDescent="0.2">
      <c r="A190" t="s">
        <v>239</v>
      </c>
      <c r="B190">
        <v>50</v>
      </c>
      <c r="C190" t="s">
        <v>746</v>
      </c>
      <c r="D190">
        <f>_xlfn.XLOOKUP(C190,tipo_preparacoes!$B$2:$B$12,tipo_preparacoes!$A$2:$A$12,"não")</f>
        <v>8</v>
      </c>
    </row>
    <row r="191" spans="1:4" x14ac:dyDescent="0.2">
      <c r="A191" t="s">
        <v>356</v>
      </c>
      <c r="B191">
        <v>100</v>
      </c>
      <c r="C191" t="s">
        <v>746</v>
      </c>
      <c r="D191">
        <f>_xlfn.XLOOKUP(C191,tipo_preparacoes!$B$2:$B$12,tipo_preparacoes!$A$2:$A$12,"não")</f>
        <v>8</v>
      </c>
    </row>
    <row r="192" spans="1:4" x14ac:dyDescent="0.2">
      <c r="A192" t="s">
        <v>363</v>
      </c>
      <c r="B192">
        <v>100</v>
      </c>
      <c r="C192" t="s">
        <v>746</v>
      </c>
      <c r="D192">
        <f>_xlfn.XLOOKUP(C192,tipo_preparacoes!$B$2:$B$12,tipo_preparacoes!$A$2:$A$12,"não")</f>
        <v>8</v>
      </c>
    </row>
    <row r="193" spans="1:4" x14ac:dyDescent="0.2">
      <c r="A193" t="s">
        <v>389</v>
      </c>
      <c r="B193">
        <v>100</v>
      </c>
      <c r="C193" t="s">
        <v>746</v>
      </c>
      <c r="D193">
        <f>_xlfn.XLOOKUP(C193,tipo_preparacoes!$B$2:$B$12,tipo_preparacoes!$A$2:$A$12,"não")</f>
        <v>8</v>
      </c>
    </row>
    <row r="194" spans="1:4" x14ac:dyDescent="0.2">
      <c r="A194" t="s">
        <v>360</v>
      </c>
      <c r="B194">
        <v>130</v>
      </c>
      <c r="C194" s="185" t="s">
        <v>745</v>
      </c>
      <c r="D194">
        <f>_xlfn.XLOOKUP(C194,tipo_preparacoes!$B$2:$B$12,tipo_preparacoes!$A$2:$A$12,"não")</f>
        <v>7</v>
      </c>
    </row>
    <row r="195" spans="1:4" x14ac:dyDescent="0.2">
      <c r="A195" t="s">
        <v>345</v>
      </c>
      <c r="B195">
        <v>300</v>
      </c>
      <c r="C195" s="185" t="s">
        <v>745</v>
      </c>
      <c r="D195">
        <f>_xlfn.XLOOKUP(C195,tipo_preparacoes!$B$2:$B$12,tipo_preparacoes!$A$2:$A$12,"não")</f>
        <v>7</v>
      </c>
    </row>
    <row r="196" spans="1:4" x14ac:dyDescent="0.2">
      <c r="A196" t="s">
        <v>364</v>
      </c>
      <c r="B196">
        <v>120</v>
      </c>
      <c r="C196" s="185" t="s">
        <v>745</v>
      </c>
      <c r="D196">
        <f>_xlfn.XLOOKUP(C196,tipo_preparacoes!$B$2:$B$12,tipo_preparacoes!$A$2:$A$12,"não")</f>
        <v>7</v>
      </c>
    </row>
    <row r="197" spans="1:4" x14ac:dyDescent="0.2">
      <c r="A197" t="s">
        <v>555</v>
      </c>
      <c r="B197">
        <v>210</v>
      </c>
      <c r="C197" s="185" t="s">
        <v>745</v>
      </c>
      <c r="D197">
        <f>_xlfn.XLOOKUP(C197,tipo_preparacoes!$B$2:$B$12,tipo_preparacoes!$A$2:$A$12,"não")</f>
        <v>7</v>
      </c>
    </row>
    <row r="198" spans="1:4" x14ac:dyDescent="0.2">
      <c r="A198" t="s">
        <v>565</v>
      </c>
      <c r="B198">
        <v>120</v>
      </c>
      <c r="C198" s="185" t="s">
        <v>745</v>
      </c>
      <c r="D198">
        <f>_xlfn.XLOOKUP(C198,tipo_preparacoes!$B$2:$B$12,tipo_preparacoes!$A$2:$A$12,"não")</f>
        <v>7</v>
      </c>
    </row>
    <row r="199" spans="1:4" x14ac:dyDescent="0.2">
      <c r="A199" t="s">
        <v>569</v>
      </c>
      <c r="B199">
        <v>120</v>
      </c>
      <c r="C199" s="185" t="s">
        <v>745</v>
      </c>
      <c r="D199">
        <f>_xlfn.XLOOKUP(C199,tipo_preparacoes!$B$2:$B$12,tipo_preparacoes!$A$2:$A$12,"não")</f>
        <v>7</v>
      </c>
    </row>
    <row r="200" spans="1:4" x14ac:dyDescent="0.2">
      <c r="A200" t="s">
        <v>571</v>
      </c>
      <c r="B200">
        <v>165</v>
      </c>
      <c r="C200" s="185" t="s">
        <v>745</v>
      </c>
      <c r="D200">
        <f>_xlfn.XLOOKUP(C200,tipo_preparacoes!$B$2:$B$12,tipo_preparacoes!$A$2:$A$12,"não")</f>
        <v>7</v>
      </c>
    </row>
    <row r="201" spans="1:4" x14ac:dyDescent="0.2">
      <c r="A201" t="s">
        <v>560</v>
      </c>
      <c r="B201">
        <v>280</v>
      </c>
      <c r="C201" s="185" t="s">
        <v>745</v>
      </c>
      <c r="D201">
        <f>_xlfn.XLOOKUP(C201,tipo_preparacoes!$B$2:$B$12,tipo_preparacoes!$A$2:$A$12,"não")</f>
        <v>7</v>
      </c>
    </row>
    <row r="202" spans="1:4" x14ac:dyDescent="0.2">
      <c r="A202" t="s">
        <v>485</v>
      </c>
      <c r="B202">
        <v>100</v>
      </c>
      <c r="C202" t="s">
        <v>746</v>
      </c>
      <c r="D202">
        <f>_xlfn.XLOOKUP(C202,tipo_preparacoes!$B$2:$B$12,tipo_preparacoes!$A$2:$A$12,"não")</f>
        <v>8</v>
      </c>
    </row>
    <row r="203" spans="1:4" x14ac:dyDescent="0.2">
      <c r="A203" t="s">
        <v>236</v>
      </c>
      <c r="B203">
        <v>100</v>
      </c>
      <c r="C203" t="s">
        <v>746</v>
      </c>
      <c r="D203">
        <f>_xlfn.XLOOKUP(C203,tipo_preparacoes!$B$2:$B$12,tipo_preparacoes!$A$2:$A$12,"não")</f>
        <v>8</v>
      </c>
    </row>
    <row r="204" spans="1:4" x14ac:dyDescent="0.2">
      <c r="A204" t="s">
        <v>308</v>
      </c>
      <c r="B204">
        <v>170</v>
      </c>
      <c r="C204" s="185" t="s">
        <v>745</v>
      </c>
      <c r="D204">
        <f>_xlfn.XLOOKUP(C204,tipo_preparacoes!$B$2:$B$12,tipo_preparacoes!$A$2:$A$12,"não")</f>
        <v>7</v>
      </c>
    </row>
    <row r="205" spans="1:4" x14ac:dyDescent="0.2">
      <c r="A205" t="s">
        <v>361</v>
      </c>
      <c r="B205">
        <v>120</v>
      </c>
      <c r="C205" s="185" t="s">
        <v>745</v>
      </c>
      <c r="D205">
        <f>_xlfn.XLOOKUP(C205,tipo_preparacoes!$B$2:$B$12,tipo_preparacoes!$A$2:$A$12,"não")</f>
        <v>7</v>
      </c>
    </row>
    <row r="206" spans="1:4" x14ac:dyDescent="0.2">
      <c r="A206" t="s">
        <v>339</v>
      </c>
      <c r="B206">
        <v>170</v>
      </c>
      <c r="C206" s="185" t="s">
        <v>745</v>
      </c>
      <c r="D206">
        <f>_xlfn.XLOOKUP(C206,tipo_preparacoes!$B$2:$B$12,tipo_preparacoes!$A$2:$A$12,"não")</f>
        <v>7</v>
      </c>
    </row>
    <row r="207" spans="1:4" x14ac:dyDescent="0.2">
      <c r="A207" t="s">
        <v>303</v>
      </c>
      <c r="B207">
        <v>140</v>
      </c>
      <c r="C207" s="185" t="s">
        <v>745</v>
      </c>
      <c r="D207">
        <f>_xlfn.XLOOKUP(C207,tipo_preparacoes!$B$2:$B$12,tipo_preparacoes!$A$2:$A$12,"não")</f>
        <v>7</v>
      </c>
    </row>
    <row r="208" spans="1:4" x14ac:dyDescent="0.2">
      <c r="A208" t="s">
        <v>336</v>
      </c>
      <c r="B208">
        <v>200</v>
      </c>
      <c r="C208" s="185" t="s">
        <v>741</v>
      </c>
      <c r="D208">
        <f>_xlfn.XLOOKUP(C208,tipo_preparacoes!$B$2:$B$12,tipo_preparacoes!$A$2:$A$12,"não")</f>
        <v>3</v>
      </c>
    </row>
    <row r="209" spans="1:4" x14ac:dyDescent="0.2">
      <c r="A209" t="s">
        <v>153</v>
      </c>
      <c r="B209">
        <v>200</v>
      </c>
      <c r="C209" s="185" t="s">
        <v>741</v>
      </c>
      <c r="D209">
        <f>_xlfn.XLOOKUP(C209,tipo_preparacoes!$B$2:$B$12,tipo_preparacoes!$A$2:$A$12,"não")</f>
        <v>3</v>
      </c>
    </row>
    <row r="210" spans="1:4" x14ac:dyDescent="0.2">
      <c r="A210" t="s">
        <v>170</v>
      </c>
      <c r="B210">
        <v>358</v>
      </c>
      <c r="C210" s="185" t="s">
        <v>741</v>
      </c>
      <c r="D210">
        <f>_xlfn.XLOOKUP(C210,tipo_preparacoes!$B$2:$B$12,tipo_preparacoes!$A$2:$A$12,"não")</f>
        <v>3</v>
      </c>
    </row>
    <row r="211" spans="1:4" x14ac:dyDescent="0.2">
      <c r="A211" t="s">
        <v>137</v>
      </c>
      <c r="B211">
        <v>200</v>
      </c>
      <c r="C211" s="185" t="s">
        <v>741</v>
      </c>
      <c r="D211">
        <f>_xlfn.XLOOKUP(C211,tipo_preparacoes!$B$2:$B$12,tipo_preparacoes!$A$2:$A$12,"não")</f>
        <v>3</v>
      </c>
    </row>
    <row r="212" spans="1:4" x14ac:dyDescent="0.2">
      <c r="A212" t="s">
        <v>210</v>
      </c>
      <c r="B212">
        <v>230</v>
      </c>
      <c r="C212" t="s">
        <v>746</v>
      </c>
      <c r="D212">
        <f>_xlfn.XLOOKUP(C212,tipo_preparacoes!$B$2:$B$12,tipo_preparacoes!$A$2:$A$12,"não")</f>
        <v>8</v>
      </c>
    </row>
    <row r="213" spans="1:4" x14ac:dyDescent="0.2">
      <c r="A213" t="s">
        <v>513</v>
      </c>
      <c r="B213">
        <v>200</v>
      </c>
      <c r="C213" t="s">
        <v>746</v>
      </c>
      <c r="D213">
        <f>_xlfn.XLOOKUP(C213,tipo_preparacoes!$B$2:$B$12,tipo_preparacoes!$A$2:$A$12,"não")</f>
        <v>8</v>
      </c>
    </row>
    <row r="214" spans="1:4" x14ac:dyDescent="0.2">
      <c r="A214" t="s">
        <v>522</v>
      </c>
      <c r="B214">
        <v>150</v>
      </c>
      <c r="C214" t="s">
        <v>746</v>
      </c>
      <c r="D214">
        <f>_xlfn.XLOOKUP(C214,tipo_preparacoes!$B$2:$B$12,tipo_preparacoes!$A$2:$A$12,"não")</f>
        <v>8</v>
      </c>
    </row>
    <row r="215" spans="1:4" x14ac:dyDescent="0.2">
      <c r="A215" t="s">
        <v>511</v>
      </c>
      <c r="B215">
        <v>105</v>
      </c>
      <c r="C215" t="s">
        <v>746</v>
      </c>
      <c r="D215">
        <f>_xlfn.XLOOKUP(C215,tipo_preparacoes!$B$2:$B$12,tipo_preparacoes!$A$2:$A$12,"não")</f>
        <v>8</v>
      </c>
    </row>
    <row r="216" spans="1:4" x14ac:dyDescent="0.2">
      <c r="A216" t="s">
        <v>529</v>
      </c>
      <c r="B216">
        <v>50</v>
      </c>
      <c r="C216" t="s">
        <v>746</v>
      </c>
      <c r="D216">
        <f>_xlfn.XLOOKUP(C216,tipo_preparacoes!$B$2:$B$12,tipo_preparacoes!$A$2:$A$12,"não")</f>
        <v>8</v>
      </c>
    </row>
    <row r="217" spans="1:4" x14ac:dyDescent="0.2">
      <c r="A217" t="s">
        <v>362</v>
      </c>
      <c r="B217">
        <v>160</v>
      </c>
      <c r="C217" t="s">
        <v>746</v>
      </c>
      <c r="D217">
        <f>_xlfn.XLOOKUP(C217,tipo_preparacoes!$B$2:$B$12,tipo_preparacoes!$A$2:$A$12,"não")</f>
        <v>8</v>
      </c>
    </row>
    <row r="218" spans="1:4" x14ac:dyDescent="0.2">
      <c r="A218" t="s">
        <v>212</v>
      </c>
      <c r="B218">
        <v>230</v>
      </c>
      <c r="C218" t="s">
        <v>746</v>
      </c>
      <c r="D218">
        <f>_xlfn.XLOOKUP(C218,tipo_preparacoes!$B$2:$B$12,tipo_preparacoes!$A$2:$A$12,"não")</f>
        <v>8</v>
      </c>
    </row>
    <row r="219" spans="1:4" x14ac:dyDescent="0.2">
      <c r="A219" t="s">
        <v>234</v>
      </c>
      <c r="B219">
        <v>40</v>
      </c>
      <c r="C219" s="185" t="s">
        <v>739</v>
      </c>
      <c r="D219">
        <f>_xlfn.XLOOKUP(C219,tipo_preparacoes!$B$2:$B$12,tipo_preparacoes!$A$2:$A$12,"não")</f>
        <v>1</v>
      </c>
    </row>
    <row r="220" spans="1:4" x14ac:dyDescent="0.2">
      <c r="A220" t="s">
        <v>189</v>
      </c>
      <c r="B220">
        <v>120</v>
      </c>
      <c r="C220" s="185" t="s">
        <v>741</v>
      </c>
      <c r="D220">
        <f>_xlfn.XLOOKUP(C220,tipo_preparacoes!$B$2:$B$12,tipo_preparacoes!$A$2:$A$12,"não")</f>
        <v>3</v>
      </c>
    </row>
    <row r="221" spans="1:4" x14ac:dyDescent="0.2">
      <c r="A221" t="s">
        <v>37</v>
      </c>
      <c r="B221">
        <v>510</v>
      </c>
      <c r="C221" s="185" t="s">
        <v>741</v>
      </c>
      <c r="D221">
        <f>_xlfn.XLOOKUP(C221,tipo_preparacoes!$B$2:$B$12,tipo_preparacoes!$A$2:$A$12,"não")</f>
        <v>3</v>
      </c>
    </row>
    <row r="222" spans="1:4" x14ac:dyDescent="0.2">
      <c r="A222" t="s">
        <v>91</v>
      </c>
      <c r="B222">
        <v>121</v>
      </c>
      <c r="C222" t="s">
        <v>746</v>
      </c>
      <c r="D222">
        <f>_xlfn.XLOOKUP(C222,tipo_preparacoes!$B$2:$B$12,tipo_preparacoes!$A$2:$A$12,"não")</f>
        <v>8</v>
      </c>
    </row>
    <row r="223" spans="1:4" x14ac:dyDescent="0.2">
      <c r="A223" t="s">
        <v>83</v>
      </c>
      <c r="B223">
        <v>120</v>
      </c>
      <c r="C223" t="s">
        <v>746</v>
      </c>
      <c r="D223">
        <f>_xlfn.XLOOKUP(C223,tipo_preparacoes!$B$2:$B$12,tipo_preparacoes!$A$2:$A$12,"não")</f>
        <v>8</v>
      </c>
    </row>
    <row r="224" spans="1:4" x14ac:dyDescent="0.2">
      <c r="A224" t="s">
        <v>342</v>
      </c>
      <c r="B224">
        <v>110</v>
      </c>
      <c r="C224" t="s">
        <v>746</v>
      </c>
      <c r="D224">
        <f>_xlfn.XLOOKUP(C224,tipo_preparacoes!$B$2:$B$12,tipo_preparacoes!$A$2:$A$12,"não")</f>
        <v>8</v>
      </c>
    </row>
    <row r="225" spans="1:4" x14ac:dyDescent="0.2">
      <c r="A225" t="s">
        <v>205</v>
      </c>
      <c r="B225">
        <v>150</v>
      </c>
      <c r="C225" s="185" t="s">
        <v>741</v>
      </c>
      <c r="D225">
        <f>_xlfn.XLOOKUP(C225,tipo_preparacoes!$B$2:$B$12,tipo_preparacoes!$A$2:$A$12,"não")</f>
        <v>3</v>
      </c>
    </row>
    <row r="226" spans="1:4" x14ac:dyDescent="0.2">
      <c r="A226" t="s">
        <v>443</v>
      </c>
      <c r="B226">
        <v>150</v>
      </c>
      <c r="C226" s="185" t="s">
        <v>741</v>
      </c>
      <c r="D226">
        <f>_xlfn.XLOOKUP(C226,tipo_preparacoes!$B$2:$B$12,tipo_preparacoes!$A$2:$A$12,"não")</f>
        <v>3</v>
      </c>
    </row>
    <row r="227" spans="1:4" x14ac:dyDescent="0.2">
      <c r="A227" t="s">
        <v>354</v>
      </c>
      <c r="B227">
        <v>70</v>
      </c>
      <c r="C227" s="185" t="s">
        <v>741</v>
      </c>
      <c r="D227">
        <f>_xlfn.XLOOKUP(C227,tipo_preparacoes!$B$2:$B$12,tipo_preparacoes!$A$2:$A$12,"não")</f>
        <v>3</v>
      </c>
    </row>
    <row r="228" spans="1:4" x14ac:dyDescent="0.2">
      <c r="A228" t="s">
        <v>426</v>
      </c>
      <c r="B228">
        <v>70</v>
      </c>
      <c r="C228" s="185" t="s">
        <v>741</v>
      </c>
      <c r="D228">
        <f>_xlfn.XLOOKUP(C228,tipo_preparacoes!$B$2:$B$12,tipo_preparacoes!$A$2:$A$12,"não")</f>
        <v>3</v>
      </c>
    </row>
    <row r="229" spans="1:4" x14ac:dyDescent="0.2">
      <c r="A229" t="s">
        <v>574</v>
      </c>
      <c r="B229">
        <v>70</v>
      </c>
      <c r="C229" s="185" t="s">
        <v>741</v>
      </c>
      <c r="D229">
        <f>_xlfn.XLOOKUP(C229,tipo_preparacoes!$B$2:$B$12,tipo_preparacoes!$A$2:$A$12,"não")</f>
        <v>3</v>
      </c>
    </row>
    <row r="230" spans="1:4" x14ac:dyDescent="0.2">
      <c r="A230" t="s">
        <v>547</v>
      </c>
      <c r="B230">
        <v>80</v>
      </c>
      <c r="C230" s="185" t="s">
        <v>748</v>
      </c>
      <c r="D230">
        <f>_xlfn.XLOOKUP(C230,tipo_preparacoes!$B$2:$B$12,tipo_preparacoes!$A$2:$A$12,"não")</f>
        <v>10</v>
      </c>
    </row>
    <row r="231" spans="1:4" x14ac:dyDescent="0.2">
      <c r="A231" t="s">
        <v>578</v>
      </c>
      <c r="B231">
        <v>80</v>
      </c>
      <c r="C231" s="185" t="s">
        <v>748</v>
      </c>
      <c r="D231">
        <f>_xlfn.XLOOKUP(C231,tipo_preparacoes!$B$2:$B$12,tipo_preparacoes!$A$2:$A$12,"não")</f>
        <v>10</v>
      </c>
    </row>
    <row r="232" spans="1:4" x14ac:dyDescent="0.2">
      <c r="A232" t="s">
        <v>32</v>
      </c>
      <c r="B232">
        <v>120</v>
      </c>
      <c r="C232" s="185" t="s">
        <v>741</v>
      </c>
      <c r="D232">
        <f>_xlfn.XLOOKUP(C232,tipo_preparacoes!$B$2:$B$12,tipo_preparacoes!$A$2:$A$12,"não")</f>
        <v>3</v>
      </c>
    </row>
    <row r="233" spans="1:4" x14ac:dyDescent="0.2">
      <c r="A233" t="s">
        <v>135</v>
      </c>
      <c r="B233">
        <v>120</v>
      </c>
      <c r="C233" s="185" t="s">
        <v>741</v>
      </c>
      <c r="D233">
        <f>_xlfn.XLOOKUP(C233,tipo_preparacoes!$B$2:$B$12,tipo_preparacoes!$A$2:$A$12,"não")</f>
        <v>3</v>
      </c>
    </row>
    <row r="234" spans="1:4" x14ac:dyDescent="0.2">
      <c r="A234" t="s">
        <v>157</v>
      </c>
      <c r="B234">
        <v>120</v>
      </c>
      <c r="C234" s="185" t="s">
        <v>741</v>
      </c>
      <c r="D234">
        <f>_xlfn.XLOOKUP(C234,tipo_preparacoes!$B$2:$B$12,tipo_preparacoes!$A$2:$A$12,"não")</f>
        <v>3</v>
      </c>
    </row>
    <row r="235" spans="1:4" x14ac:dyDescent="0.2">
      <c r="A235" t="s">
        <v>224</v>
      </c>
      <c r="B235">
        <v>100</v>
      </c>
      <c r="C235" t="s">
        <v>746</v>
      </c>
      <c r="D235">
        <f>_xlfn.XLOOKUP(C235,tipo_preparacoes!$B$2:$B$12,tipo_preparacoes!$A$2:$A$12,"não")</f>
        <v>8</v>
      </c>
    </row>
    <row r="236" spans="1:4" x14ac:dyDescent="0.2">
      <c r="A236" t="s">
        <v>214</v>
      </c>
      <c r="B236">
        <v>100</v>
      </c>
      <c r="C236" t="s">
        <v>746</v>
      </c>
      <c r="D236">
        <f>_xlfn.XLOOKUP(C236,tipo_preparacoes!$B$2:$B$12,tipo_preparacoes!$A$2:$A$12,"não")</f>
        <v>8</v>
      </c>
    </row>
    <row r="237" spans="1:4" x14ac:dyDescent="0.2">
      <c r="A237" t="s">
        <v>51</v>
      </c>
      <c r="B237">
        <v>211</v>
      </c>
      <c r="C237" s="185" t="s">
        <v>739</v>
      </c>
      <c r="D237">
        <f>_xlfn.XLOOKUP(C237,tipo_preparacoes!$B$2:$B$12,tipo_preparacoes!$A$2:$A$12,"não")</f>
        <v>1</v>
      </c>
    </row>
    <row r="238" spans="1:4" x14ac:dyDescent="0.2">
      <c r="A238" t="s">
        <v>297</v>
      </c>
      <c r="B238">
        <v>174</v>
      </c>
      <c r="C238" s="185" t="s">
        <v>739</v>
      </c>
      <c r="D238">
        <f>_xlfn.XLOOKUP(C238,tipo_preparacoes!$B$2:$B$12,tipo_preparacoes!$A$2:$A$12,"não")</f>
        <v>1</v>
      </c>
    </row>
    <row r="239" spans="1:4" x14ac:dyDescent="0.2">
      <c r="A239" t="s">
        <v>167</v>
      </c>
      <c r="B239">
        <v>191</v>
      </c>
      <c r="C239" s="185" t="s">
        <v>739</v>
      </c>
      <c r="D239">
        <f>_xlfn.XLOOKUP(C239,tipo_preparacoes!$B$2:$B$12,tipo_preparacoes!$A$2:$A$12,"não")</f>
        <v>1</v>
      </c>
    </row>
    <row r="240" spans="1:4" x14ac:dyDescent="0.2">
      <c r="A240" t="s">
        <v>290</v>
      </c>
      <c r="B240">
        <v>181</v>
      </c>
      <c r="C240" s="185" t="s">
        <v>739</v>
      </c>
      <c r="D240">
        <f>_xlfn.XLOOKUP(C240,tipo_preparacoes!$B$2:$B$12,tipo_preparacoes!$A$2:$A$12,"não")</f>
        <v>1</v>
      </c>
    </row>
    <row r="241" spans="1:4" x14ac:dyDescent="0.2">
      <c r="A241" t="s">
        <v>154</v>
      </c>
      <c r="B241">
        <v>203</v>
      </c>
      <c r="C241" s="185" t="s">
        <v>739</v>
      </c>
      <c r="D241">
        <f>_xlfn.XLOOKUP(C241,tipo_preparacoes!$B$2:$B$12,tipo_preparacoes!$A$2:$A$12,"não")</f>
        <v>1</v>
      </c>
    </row>
    <row r="242" spans="1:4" x14ac:dyDescent="0.2">
      <c r="A242" t="s">
        <v>538</v>
      </c>
      <c r="B242">
        <v>182</v>
      </c>
      <c r="C242" s="185" t="s">
        <v>739</v>
      </c>
      <c r="D242">
        <f>_xlfn.XLOOKUP(C242,tipo_preparacoes!$B$2:$B$12,tipo_preparacoes!$A$2:$A$12,"não")</f>
        <v>1</v>
      </c>
    </row>
    <row r="243" spans="1:4" x14ac:dyDescent="0.2">
      <c r="A243" t="s">
        <v>333</v>
      </c>
      <c r="B243">
        <v>173</v>
      </c>
      <c r="C243" s="185" t="s">
        <v>739</v>
      </c>
      <c r="D243">
        <f>_xlfn.XLOOKUP(C243,tipo_preparacoes!$B$2:$B$12,tipo_preparacoes!$A$2:$A$12,"não")</f>
        <v>1</v>
      </c>
    </row>
    <row r="244" spans="1:4" x14ac:dyDescent="0.2">
      <c r="A244" t="s">
        <v>431</v>
      </c>
      <c r="B244">
        <v>183</v>
      </c>
      <c r="C244" s="185" t="s">
        <v>739</v>
      </c>
      <c r="D244">
        <f>_xlfn.XLOOKUP(C244,tipo_preparacoes!$B$2:$B$12,tipo_preparacoes!$A$2:$A$12,"não")</f>
        <v>1</v>
      </c>
    </row>
    <row r="245" spans="1:4" x14ac:dyDescent="0.2">
      <c r="A245" t="s">
        <v>127</v>
      </c>
      <c r="B245">
        <v>184</v>
      </c>
      <c r="C245" s="185" t="s">
        <v>739</v>
      </c>
      <c r="D245">
        <f>_xlfn.XLOOKUP(C245,tipo_preparacoes!$B$2:$B$12,tipo_preparacoes!$A$2:$A$12,"não")</f>
        <v>1</v>
      </c>
    </row>
    <row r="246" spans="1:4" x14ac:dyDescent="0.2">
      <c r="A246" t="s">
        <v>221</v>
      </c>
      <c r="B246">
        <v>218</v>
      </c>
      <c r="C246" s="185" t="s">
        <v>739</v>
      </c>
      <c r="D246">
        <f>_xlfn.XLOOKUP(C246,tipo_preparacoes!$B$2:$B$12,tipo_preparacoes!$A$2:$A$12,"não")</f>
        <v>1</v>
      </c>
    </row>
    <row r="247" spans="1:4" x14ac:dyDescent="0.2">
      <c r="A247" t="s">
        <v>293</v>
      </c>
      <c r="B247">
        <v>174</v>
      </c>
      <c r="C247" s="185" t="s">
        <v>739</v>
      </c>
      <c r="D247">
        <f>_xlfn.XLOOKUP(C247,tipo_preparacoes!$B$2:$B$12,tipo_preparacoes!$A$2:$A$12,"não")</f>
        <v>1</v>
      </c>
    </row>
    <row r="248" spans="1:4" x14ac:dyDescent="0.2">
      <c r="A248" t="s">
        <v>123</v>
      </c>
      <c r="B248">
        <v>184</v>
      </c>
      <c r="C248" s="185" t="s">
        <v>739</v>
      </c>
      <c r="D248">
        <f>_xlfn.XLOOKUP(C248,tipo_preparacoes!$B$2:$B$12,tipo_preparacoes!$A$2:$A$12,"não")</f>
        <v>1</v>
      </c>
    </row>
    <row r="249" spans="1:4" x14ac:dyDescent="0.2">
      <c r="A249" t="s">
        <v>296</v>
      </c>
      <c r="B249">
        <v>181</v>
      </c>
      <c r="C249" s="185" t="s">
        <v>739</v>
      </c>
      <c r="D249">
        <f>_xlfn.XLOOKUP(C249,tipo_preparacoes!$B$2:$B$12,tipo_preparacoes!$A$2:$A$12,"não")</f>
        <v>1</v>
      </c>
    </row>
    <row r="250" spans="1:4" x14ac:dyDescent="0.2">
      <c r="A250" t="s">
        <v>33</v>
      </c>
      <c r="B250">
        <v>184</v>
      </c>
      <c r="C250" s="185" t="s">
        <v>739</v>
      </c>
      <c r="D250">
        <f>_xlfn.XLOOKUP(C250,tipo_preparacoes!$B$2:$B$12,tipo_preparacoes!$A$2:$A$12,"não")</f>
        <v>1</v>
      </c>
    </row>
    <row r="251" spans="1:4" x14ac:dyDescent="0.2">
      <c r="A251" t="s">
        <v>410</v>
      </c>
      <c r="B251">
        <v>255</v>
      </c>
      <c r="C251" s="185" t="s">
        <v>739</v>
      </c>
      <c r="D251">
        <f>_xlfn.XLOOKUP(C251,tipo_preparacoes!$B$2:$B$12,tipo_preparacoes!$A$2:$A$12,"não")</f>
        <v>1</v>
      </c>
    </row>
    <row r="252" spans="1:4" x14ac:dyDescent="0.2">
      <c r="A252" t="s">
        <v>295</v>
      </c>
      <c r="B252">
        <v>202</v>
      </c>
      <c r="C252" s="185" t="s">
        <v>739</v>
      </c>
      <c r="D252">
        <f>_xlfn.XLOOKUP(C252,tipo_preparacoes!$B$2:$B$12,tipo_preparacoes!$A$2:$A$12,"não")</f>
        <v>1</v>
      </c>
    </row>
    <row r="253" spans="1:4" x14ac:dyDescent="0.2">
      <c r="A253" t="s">
        <v>199</v>
      </c>
      <c r="B253">
        <v>203</v>
      </c>
      <c r="C253" s="185" t="s">
        <v>739</v>
      </c>
      <c r="D253">
        <f>_xlfn.XLOOKUP(C253,tipo_preparacoes!$B$2:$B$12,tipo_preparacoes!$A$2:$A$12,"não")</f>
        <v>1</v>
      </c>
    </row>
    <row r="254" spans="1:4" x14ac:dyDescent="0.2">
      <c r="A254" t="s">
        <v>10</v>
      </c>
      <c r="B254">
        <v>40</v>
      </c>
      <c r="C254" t="s">
        <v>744</v>
      </c>
      <c r="D254">
        <f>_xlfn.XLOOKUP(C254,tipo_preparacoes!$B$2:$B$12,tipo_preparacoes!$A$2:$A$12,"não")</f>
        <v>6</v>
      </c>
    </row>
    <row r="255" spans="1:4" x14ac:dyDescent="0.2">
      <c r="A255" t="s">
        <v>47</v>
      </c>
      <c r="B255">
        <v>300</v>
      </c>
      <c r="C255" s="185" t="s">
        <v>745</v>
      </c>
      <c r="D255">
        <f>_xlfn.XLOOKUP(C255,tipo_preparacoes!$B$2:$B$12,tipo_preparacoes!$A$2:$A$12,"não")</f>
        <v>7</v>
      </c>
    </row>
    <row r="256" spans="1:4" x14ac:dyDescent="0.2">
      <c r="A256" t="s">
        <v>438</v>
      </c>
      <c r="B256">
        <v>160</v>
      </c>
      <c r="C256" s="185" t="s">
        <v>748</v>
      </c>
      <c r="D256">
        <f>_xlfn.XLOOKUP(C256,tipo_preparacoes!$B$2:$B$12,tipo_preparacoes!$A$2:$A$12,"não")</f>
        <v>10</v>
      </c>
    </row>
    <row r="257" spans="1:4" x14ac:dyDescent="0.2">
      <c r="A257" t="s">
        <v>105</v>
      </c>
      <c r="B257">
        <v>200</v>
      </c>
      <c r="C257" t="s">
        <v>746</v>
      </c>
      <c r="D257">
        <f>_xlfn.XLOOKUP(C257,tipo_preparacoes!$B$2:$B$12,tipo_preparacoes!$A$2:$A$12,"não")</f>
        <v>8</v>
      </c>
    </row>
    <row r="258" spans="1:4" x14ac:dyDescent="0.2">
      <c r="A258" t="s">
        <v>523</v>
      </c>
      <c r="B258">
        <v>330</v>
      </c>
      <c r="C258" t="s">
        <v>746</v>
      </c>
      <c r="D258">
        <f>_xlfn.XLOOKUP(C258,tipo_preparacoes!$B$2:$B$12,tipo_preparacoes!$A$2:$A$12,"não")</f>
        <v>8</v>
      </c>
    </row>
    <row r="259" spans="1:4" x14ac:dyDescent="0.2">
      <c r="A259" t="s">
        <v>507</v>
      </c>
      <c r="B259">
        <v>150</v>
      </c>
      <c r="C259" t="s">
        <v>746</v>
      </c>
      <c r="D259">
        <f>_xlfn.XLOOKUP(C259,tipo_preparacoes!$B$2:$B$12,tipo_preparacoes!$A$2:$A$12,"não")</f>
        <v>8</v>
      </c>
    </row>
    <row r="260" spans="1:4" x14ac:dyDescent="0.2">
      <c r="A260" t="s">
        <v>514</v>
      </c>
      <c r="B260">
        <v>285</v>
      </c>
      <c r="C260" t="s">
        <v>746</v>
      </c>
      <c r="D260">
        <f>_xlfn.XLOOKUP(C260,tipo_preparacoes!$B$2:$B$12,tipo_preparacoes!$A$2:$A$12,"não")</f>
        <v>8</v>
      </c>
    </row>
    <row r="261" spans="1:4" x14ac:dyDescent="0.2">
      <c r="A261" t="s">
        <v>341</v>
      </c>
      <c r="B261">
        <v>18</v>
      </c>
      <c r="C261" s="185" t="s">
        <v>748</v>
      </c>
      <c r="D261">
        <f>_xlfn.XLOOKUP(C261,tipo_preparacoes!$B$2:$B$12,tipo_preparacoes!$A$2:$A$12,"não")</f>
        <v>10</v>
      </c>
    </row>
    <row r="262" spans="1:4" x14ac:dyDescent="0.2">
      <c r="A262" t="s">
        <v>441</v>
      </c>
      <c r="B262">
        <v>261</v>
      </c>
      <c r="C262" t="s">
        <v>746</v>
      </c>
      <c r="D262">
        <f>_xlfn.XLOOKUP(C262,tipo_preparacoes!$B$2:$B$12,tipo_preparacoes!$A$2:$A$12,"não")</f>
        <v>8</v>
      </c>
    </row>
    <row r="263" spans="1:4" x14ac:dyDescent="0.2">
      <c r="A263" t="s">
        <v>158</v>
      </c>
      <c r="B263">
        <v>50</v>
      </c>
      <c r="C263" s="185" t="s">
        <v>739</v>
      </c>
      <c r="D263">
        <f>_xlfn.XLOOKUP(C263,tipo_preparacoes!$B$2:$B$12,tipo_preparacoes!$A$2:$A$12,"não")</f>
        <v>1</v>
      </c>
    </row>
    <row r="264" spans="1:4" x14ac:dyDescent="0.2">
      <c r="A264" t="s">
        <v>39</v>
      </c>
      <c r="B264">
        <v>55</v>
      </c>
      <c r="C264" s="185" t="s">
        <v>739</v>
      </c>
      <c r="D264">
        <f>_xlfn.XLOOKUP(C264,tipo_preparacoes!$B$2:$B$12,tipo_preparacoes!$A$2:$A$12,"não")</f>
        <v>1</v>
      </c>
    </row>
    <row r="265" spans="1:4" x14ac:dyDescent="0.2">
      <c r="A265" t="s">
        <v>53</v>
      </c>
      <c r="B265">
        <v>55</v>
      </c>
      <c r="C265" s="185" t="s">
        <v>739</v>
      </c>
      <c r="D265">
        <f>_xlfn.XLOOKUP(C265,tipo_preparacoes!$B$2:$B$12,tipo_preparacoes!$A$2:$A$12,"não")</f>
        <v>1</v>
      </c>
    </row>
    <row r="266" spans="1:4" x14ac:dyDescent="0.2">
      <c r="A266" t="s">
        <v>88</v>
      </c>
      <c r="B266">
        <v>50</v>
      </c>
      <c r="C266" s="185" t="s">
        <v>739</v>
      </c>
      <c r="D266">
        <f>_xlfn.XLOOKUP(C266,tipo_preparacoes!$B$2:$B$12,tipo_preparacoes!$A$2:$A$12,"não")</f>
        <v>1</v>
      </c>
    </row>
    <row r="267" spans="1:4" x14ac:dyDescent="0.2">
      <c r="A267" t="s">
        <v>3</v>
      </c>
      <c r="B267">
        <v>105</v>
      </c>
      <c r="C267" s="185" t="s">
        <v>739</v>
      </c>
      <c r="D267">
        <f>_xlfn.XLOOKUP(C267,tipo_preparacoes!$B$2:$B$12,tipo_preparacoes!$A$2:$A$12,"não")</f>
        <v>1</v>
      </c>
    </row>
    <row r="268" spans="1:4" x14ac:dyDescent="0.2">
      <c r="A268" t="s">
        <v>44</v>
      </c>
      <c r="B268">
        <v>55</v>
      </c>
      <c r="C268" s="185" t="s">
        <v>739</v>
      </c>
      <c r="D268">
        <f>_xlfn.XLOOKUP(C268,tipo_preparacoes!$B$2:$B$12,tipo_preparacoes!$A$2:$A$12,"não")</f>
        <v>1</v>
      </c>
    </row>
    <row r="269" spans="1:4" x14ac:dyDescent="0.2">
      <c r="A269" t="s">
        <v>99</v>
      </c>
      <c r="B269">
        <v>55</v>
      </c>
      <c r="C269" s="185" t="s">
        <v>739</v>
      </c>
      <c r="D269">
        <f>_xlfn.XLOOKUP(C269,tipo_preparacoes!$B$2:$B$12,tipo_preparacoes!$A$2:$A$12,"não")</f>
        <v>1</v>
      </c>
    </row>
    <row r="270" spans="1:4" x14ac:dyDescent="0.2">
      <c r="A270" t="s">
        <v>93</v>
      </c>
      <c r="B270">
        <v>55</v>
      </c>
      <c r="C270" s="185" t="s">
        <v>739</v>
      </c>
      <c r="D270">
        <f>_xlfn.XLOOKUP(C270,tipo_preparacoes!$B$2:$B$12,tipo_preparacoes!$A$2:$A$12,"não")</f>
        <v>1</v>
      </c>
    </row>
    <row r="271" spans="1:4" x14ac:dyDescent="0.2">
      <c r="A271" t="s">
        <v>28</v>
      </c>
      <c r="B271">
        <v>111</v>
      </c>
      <c r="C271" t="s">
        <v>746</v>
      </c>
      <c r="D271">
        <f>_xlfn.XLOOKUP(C271,tipo_preparacoes!$B$2:$B$12,tipo_preparacoes!$A$2:$A$12,"não")</f>
        <v>8</v>
      </c>
    </row>
    <row r="272" spans="1:4" x14ac:dyDescent="0.2">
      <c r="A272" t="s">
        <v>524</v>
      </c>
      <c r="B272">
        <v>100</v>
      </c>
      <c r="C272" t="s">
        <v>746</v>
      </c>
      <c r="D272">
        <f>_xlfn.XLOOKUP(C272,tipo_preparacoes!$B$2:$B$12,tipo_preparacoes!$A$2:$A$12,"não")</f>
        <v>8</v>
      </c>
    </row>
    <row r="273" spans="1:4" x14ac:dyDescent="0.2">
      <c r="A273" t="s">
        <v>58</v>
      </c>
      <c r="B273">
        <v>221</v>
      </c>
      <c r="C273" t="s">
        <v>746</v>
      </c>
      <c r="D273">
        <f>_xlfn.XLOOKUP(C273,tipo_preparacoes!$B$2:$B$12,tipo_preparacoes!$A$2:$A$12,"não")</f>
        <v>8</v>
      </c>
    </row>
    <row r="274" spans="1:4" x14ac:dyDescent="0.2">
      <c r="A274" t="s">
        <v>518</v>
      </c>
      <c r="B274">
        <v>120</v>
      </c>
      <c r="C274" s="185" t="s">
        <v>745</v>
      </c>
      <c r="D274">
        <f>_xlfn.XLOOKUP(C274,tipo_preparacoes!$B$2:$B$12,tipo_preparacoes!$A$2:$A$12,"não")</f>
        <v>7</v>
      </c>
    </row>
    <row r="275" spans="1:4" x14ac:dyDescent="0.2">
      <c r="A275" t="s">
        <v>409</v>
      </c>
      <c r="B275">
        <v>80</v>
      </c>
      <c r="C275" s="185" t="s">
        <v>748</v>
      </c>
      <c r="D275">
        <f>_xlfn.XLOOKUP(C275,tipo_preparacoes!$B$2:$B$12,tipo_preparacoes!$A$2:$A$12,"não")</f>
        <v>10</v>
      </c>
    </row>
    <row r="276" spans="1:4" x14ac:dyDescent="0.2">
      <c r="A276" t="s">
        <v>21</v>
      </c>
      <c r="B276">
        <v>30</v>
      </c>
      <c r="C276" s="185" t="s">
        <v>748</v>
      </c>
      <c r="D276">
        <f>_xlfn.XLOOKUP(C276,tipo_preparacoes!$B$2:$B$12,tipo_preparacoes!$A$2:$A$12,"não")</f>
        <v>10</v>
      </c>
    </row>
    <row r="277" spans="1:4" x14ac:dyDescent="0.2">
      <c r="A277" t="s">
        <v>580</v>
      </c>
      <c r="B277">
        <v>120</v>
      </c>
      <c r="C277" s="185" t="s">
        <v>745</v>
      </c>
      <c r="D277">
        <f>_xlfn.XLOOKUP(C277,tipo_preparacoes!$B$2:$B$12,tipo_preparacoes!$A$2:$A$12,"não")</f>
        <v>7</v>
      </c>
    </row>
    <row r="278" spans="1:4" x14ac:dyDescent="0.2">
      <c r="A278" t="s">
        <v>492</v>
      </c>
      <c r="B278">
        <v>156</v>
      </c>
      <c r="C278" s="185" t="s">
        <v>745</v>
      </c>
      <c r="D278">
        <f>_xlfn.XLOOKUP(C278,tipo_preparacoes!$B$2:$B$12,tipo_preparacoes!$A$2:$A$12,"não")</f>
        <v>7</v>
      </c>
    </row>
    <row r="279" spans="1:4" x14ac:dyDescent="0.2">
      <c r="A279" t="s">
        <v>412</v>
      </c>
      <c r="B279">
        <v>306</v>
      </c>
      <c r="C279" s="185" t="s">
        <v>745</v>
      </c>
      <c r="D279">
        <f>_xlfn.XLOOKUP(C279,tipo_preparacoes!$B$2:$B$12,tipo_preparacoes!$A$2:$A$12,"não")</f>
        <v>7</v>
      </c>
    </row>
    <row r="280" spans="1:4" x14ac:dyDescent="0.2">
      <c r="A280" t="s">
        <v>415</v>
      </c>
      <c r="B280">
        <v>156</v>
      </c>
      <c r="C280" s="185" t="s">
        <v>745</v>
      </c>
      <c r="D280">
        <f>_xlfn.XLOOKUP(C280,tipo_preparacoes!$B$2:$B$12,tipo_preparacoes!$A$2:$A$12,"não")</f>
        <v>7</v>
      </c>
    </row>
    <row r="281" spans="1:4" x14ac:dyDescent="0.2">
      <c r="A281" t="s">
        <v>474</v>
      </c>
      <c r="B281">
        <v>305</v>
      </c>
      <c r="C281" s="185" t="s">
        <v>745</v>
      </c>
      <c r="D281">
        <f>_xlfn.XLOOKUP(C281,tipo_preparacoes!$B$2:$B$12,tipo_preparacoes!$A$2:$A$12,"não")</f>
        <v>7</v>
      </c>
    </row>
    <row r="282" spans="1:4" x14ac:dyDescent="0.2">
      <c r="A282" t="s">
        <v>101</v>
      </c>
      <c r="B282">
        <v>171</v>
      </c>
      <c r="C282" s="185" t="s">
        <v>745</v>
      </c>
      <c r="D282">
        <f>_xlfn.XLOOKUP(C282,tipo_preparacoes!$B$2:$B$12,tipo_preparacoes!$A$2:$A$12,"não")</f>
        <v>7</v>
      </c>
    </row>
    <row r="283" spans="1:4" x14ac:dyDescent="0.2">
      <c r="A283" t="s">
        <v>111</v>
      </c>
      <c r="B283">
        <v>120</v>
      </c>
      <c r="C283" s="185" t="s">
        <v>745</v>
      </c>
      <c r="D283">
        <f>_xlfn.XLOOKUP(C283,tipo_preparacoes!$B$2:$B$12,tipo_preparacoes!$A$2:$A$12,"não")</f>
        <v>7</v>
      </c>
    </row>
    <row r="284" spans="1:4" x14ac:dyDescent="0.2">
      <c r="A284" t="s">
        <v>420</v>
      </c>
      <c r="B284">
        <v>156</v>
      </c>
      <c r="C284" s="185" t="s">
        <v>745</v>
      </c>
      <c r="D284">
        <f>_xlfn.XLOOKUP(C284,tipo_preparacoes!$B$2:$B$12,tipo_preparacoes!$A$2:$A$12,"não")</f>
        <v>7</v>
      </c>
    </row>
    <row r="285" spans="1:4" x14ac:dyDescent="0.2">
      <c r="A285" t="s">
        <v>570</v>
      </c>
      <c r="B285">
        <v>100</v>
      </c>
      <c r="C285" t="s">
        <v>746</v>
      </c>
      <c r="D285">
        <f>_xlfn.XLOOKUP(C285,tipo_preparacoes!$B$2:$B$12,tipo_preparacoes!$A$2:$A$12,"não")</f>
        <v>8</v>
      </c>
    </row>
    <row r="286" spans="1:4" x14ac:dyDescent="0.2">
      <c r="A286" t="s">
        <v>432</v>
      </c>
      <c r="B286">
        <v>255</v>
      </c>
      <c r="C286" t="s">
        <v>744</v>
      </c>
      <c r="D286">
        <f>_xlfn.XLOOKUP(C286,tipo_preparacoes!$B$2:$B$12,tipo_preparacoes!$A$2:$A$12,"não")</f>
        <v>6</v>
      </c>
    </row>
    <row r="287" spans="1:4" x14ac:dyDescent="0.2">
      <c r="A287" t="s">
        <v>55</v>
      </c>
      <c r="B287">
        <v>435</v>
      </c>
      <c r="C287" s="185" t="s">
        <v>741</v>
      </c>
      <c r="D287">
        <f>_xlfn.XLOOKUP(C287,tipo_preparacoes!$B$2:$B$12,tipo_preparacoes!$A$2:$A$12,"não")</f>
        <v>3</v>
      </c>
    </row>
    <row r="288" spans="1:4" x14ac:dyDescent="0.2">
      <c r="A288" t="s">
        <v>495</v>
      </c>
      <c r="B288">
        <v>200</v>
      </c>
      <c r="C288" s="185" t="s">
        <v>741</v>
      </c>
      <c r="D288">
        <f>_xlfn.XLOOKUP(C288,tipo_preparacoes!$B$2:$B$12,tipo_preparacoes!$A$2:$A$12,"não")</f>
        <v>3</v>
      </c>
    </row>
    <row r="289" spans="1:4" x14ac:dyDescent="0.2">
      <c r="A289" t="s">
        <v>98</v>
      </c>
      <c r="B289">
        <v>100</v>
      </c>
      <c r="C289" t="s">
        <v>746</v>
      </c>
      <c r="D289">
        <f>_xlfn.XLOOKUP(C289,tipo_preparacoes!$B$2:$B$12,tipo_preparacoes!$A$2:$A$12,"não")</f>
        <v>8</v>
      </c>
    </row>
    <row r="290" spans="1:4" x14ac:dyDescent="0.2">
      <c r="A290" t="s">
        <v>17</v>
      </c>
      <c r="B290">
        <v>100</v>
      </c>
      <c r="C290" t="s">
        <v>746</v>
      </c>
      <c r="D290">
        <f>_xlfn.XLOOKUP(C290,tipo_preparacoes!$B$2:$B$12,tipo_preparacoes!$A$2:$A$12,"não")</f>
        <v>8</v>
      </c>
    </row>
    <row r="291" spans="1:4" x14ac:dyDescent="0.2">
      <c r="A291" t="s">
        <v>192</v>
      </c>
      <c r="B291">
        <v>100</v>
      </c>
      <c r="C291" t="s">
        <v>746</v>
      </c>
      <c r="D291">
        <f>_xlfn.XLOOKUP(C291,tipo_preparacoes!$B$2:$B$12,tipo_preparacoes!$A$2:$A$12,"não")</f>
        <v>8</v>
      </c>
    </row>
    <row r="292" spans="1:4" x14ac:dyDescent="0.2">
      <c r="A292" t="s">
        <v>381</v>
      </c>
      <c r="B292">
        <v>100</v>
      </c>
      <c r="C292" t="s">
        <v>746</v>
      </c>
      <c r="D292">
        <f>_xlfn.XLOOKUP(C292,tipo_preparacoes!$B$2:$B$12,tipo_preparacoes!$A$2:$A$12,"não")</f>
        <v>8</v>
      </c>
    </row>
    <row r="293" spans="1:4" x14ac:dyDescent="0.2">
      <c r="A293" t="s">
        <v>376</v>
      </c>
      <c r="B293">
        <v>100</v>
      </c>
      <c r="C293" t="s">
        <v>746</v>
      </c>
      <c r="D293">
        <f>_xlfn.XLOOKUP(C293,tipo_preparacoes!$B$2:$B$12,tipo_preparacoes!$A$2:$A$12,"não")</f>
        <v>8</v>
      </c>
    </row>
    <row r="294" spans="1:4" x14ac:dyDescent="0.2">
      <c r="A294" t="s">
        <v>257</v>
      </c>
      <c r="B294">
        <v>42</v>
      </c>
      <c r="C294" t="s">
        <v>746</v>
      </c>
      <c r="D294">
        <f>_xlfn.XLOOKUP(C294,tipo_preparacoes!$B$2:$B$12,tipo_preparacoes!$A$2:$A$12,"não")</f>
        <v>8</v>
      </c>
    </row>
    <row r="295" spans="1:4" x14ac:dyDescent="0.2">
      <c r="A295" t="s">
        <v>142</v>
      </c>
      <c r="B295">
        <v>80</v>
      </c>
      <c r="C295" s="185" t="s">
        <v>748</v>
      </c>
      <c r="D295">
        <f>_xlfn.XLOOKUP(C295,tipo_preparacoes!$B$2:$B$12,tipo_preparacoes!$A$2:$A$12,"não")</f>
        <v>10</v>
      </c>
    </row>
    <row r="296" spans="1:4" x14ac:dyDescent="0.2">
      <c r="A296" t="s">
        <v>201</v>
      </c>
      <c r="B296">
        <v>140</v>
      </c>
      <c r="C296" s="185" t="s">
        <v>748</v>
      </c>
      <c r="D296">
        <f>_xlfn.XLOOKUP(C296,tipo_preparacoes!$B$2:$B$12,tipo_preparacoes!$A$2:$A$12,"não")</f>
        <v>10</v>
      </c>
    </row>
    <row r="297" spans="1:4" x14ac:dyDescent="0.2">
      <c r="A297" t="s">
        <v>267</v>
      </c>
      <c r="B297">
        <v>80</v>
      </c>
      <c r="C297" s="185" t="s">
        <v>748</v>
      </c>
      <c r="D297">
        <f>_xlfn.XLOOKUP(C297,tipo_preparacoes!$B$2:$B$12,tipo_preparacoes!$A$2:$A$12,"não")</f>
        <v>10</v>
      </c>
    </row>
    <row r="298" spans="1:4" x14ac:dyDescent="0.2">
      <c r="A298" t="s">
        <v>477</v>
      </c>
      <c r="B298">
        <v>96</v>
      </c>
      <c r="C298" s="185" t="s">
        <v>748</v>
      </c>
      <c r="D298">
        <f>_xlfn.XLOOKUP(C298,tipo_preparacoes!$B$2:$B$12,tipo_preparacoes!$A$2:$A$12,"não")</f>
        <v>10</v>
      </c>
    </row>
    <row r="299" spans="1:4" x14ac:dyDescent="0.2">
      <c r="A299" t="s">
        <v>163</v>
      </c>
      <c r="B299">
        <v>80</v>
      </c>
      <c r="C299" s="185" t="s">
        <v>748</v>
      </c>
      <c r="D299">
        <f>_xlfn.XLOOKUP(C299,tipo_preparacoes!$B$2:$B$12,tipo_preparacoes!$A$2:$A$12,"não")</f>
        <v>10</v>
      </c>
    </row>
    <row r="300" spans="1:4" x14ac:dyDescent="0.2">
      <c r="A300" t="s">
        <v>559</v>
      </c>
      <c r="B300">
        <v>80</v>
      </c>
      <c r="C300" s="185" t="s">
        <v>748</v>
      </c>
      <c r="D300">
        <f>_xlfn.XLOOKUP(C300,tipo_preparacoes!$B$2:$B$12,tipo_preparacoes!$A$2:$A$12,"não")</f>
        <v>10</v>
      </c>
    </row>
    <row r="301" spans="1:4" x14ac:dyDescent="0.2">
      <c r="A301" t="s">
        <v>481</v>
      </c>
      <c r="B301">
        <v>88</v>
      </c>
      <c r="C301" s="185" t="s">
        <v>748</v>
      </c>
      <c r="D301">
        <f>_xlfn.XLOOKUP(C301,tipo_preparacoes!$B$2:$B$12,tipo_preparacoes!$A$2:$A$12,"não")</f>
        <v>10</v>
      </c>
    </row>
    <row r="302" spans="1:4" x14ac:dyDescent="0.2">
      <c r="A302" t="s">
        <v>277</v>
      </c>
      <c r="B302">
        <v>100</v>
      </c>
      <c r="C302" t="s">
        <v>746</v>
      </c>
      <c r="D302">
        <f>_xlfn.XLOOKUP(C302,tipo_preparacoes!$B$2:$B$12,tipo_preparacoes!$A$2:$A$12,"não")</f>
        <v>8</v>
      </c>
    </row>
    <row r="303" spans="1:4" x14ac:dyDescent="0.2">
      <c r="A303" t="s">
        <v>121</v>
      </c>
      <c r="B303">
        <v>90</v>
      </c>
      <c r="C303" t="s">
        <v>746</v>
      </c>
      <c r="D303">
        <f>_xlfn.XLOOKUP(C303,tipo_preparacoes!$B$2:$B$12,tipo_preparacoes!$A$2:$A$12,"não")</f>
        <v>8</v>
      </c>
    </row>
    <row r="304" spans="1:4" x14ac:dyDescent="0.2">
      <c r="A304" t="s">
        <v>563</v>
      </c>
      <c r="B304">
        <v>65</v>
      </c>
      <c r="C304" t="s">
        <v>746</v>
      </c>
      <c r="D304">
        <f>_xlfn.XLOOKUP(C304,tipo_preparacoes!$B$2:$B$12,tipo_preparacoes!$A$2:$A$12,"não")</f>
        <v>8</v>
      </c>
    </row>
    <row r="305" spans="1:4" x14ac:dyDescent="0.2">
      <c r="A305" t="s">
        <v>160</v>
      </c>
      <c r="B305">
        <v>90</v>
      </c>
      <c r="C305" t="s">
        <v>746</v>
      </c>
      <c r="D305">
        <f>_xlfn.XLOOKUP(C305,tipo_preparacoes!$B$2:$B$12,tipo_preparacoes!$A$2:$A$12,"não")</f>
        <v>8</v>
      </c>
    </row>
    <row r="306" spans="1:4" x14ac:dyDescent="0.2">
      <c r="A306" t="s">
        <v>152</v>
      </c>
      <c r="B306">
        <v>100</v>
      </c>
      <c r="C306" t="s">
        <v>746</v>
      </c>
      <c r="D306">
        <f>_xlfn.XLOOKUP(C306,tipo_preparacoes!$B$2:$B$12,tipo_preparacoes!$A$2:$A$12,"não")</f>
        <v>8</v>
      </c>
    </row>
    <row r="307" spans="1:4" x14ac:dyDescent="0.2">
      <c r="A307" t="s">
        <v>566</v>
      </c>
      <c r="B307">
        <v>65</v>
      </c>
      <c r="C307" t="s">
        <v>746</v>
      </c>
      <c r="D307">
        <f>_xlfn.XLOOKUP(C307,tipo_preparacoes!$B$2:$B$12,tipo_preparacoes!$A$2:$A$12,"não")</f>
        <v>8</v>
      </c>
    </row>
    <row r="308" spans="1:4" x14ac:dyDescent="0.2">
      <c r="A308" t="s">
        <v>246</v>
      </c>
      <c r="B308">
        <v>185</v>
      </c>
      <c r="C308" t="s">
        <v>746</v>
      </c>
      <c r="D308">
        <f>_xlfn.XLOOKUP(C308,tipo_preparacoes!$B$2:$B$12,tipo_preparacoes!$A$2:$A$12,"não")</f>
        <v>8</v>
      </c>
    </row>
    <row r="309" spans="1:4" x14ac:dyDescent="0.2">
      <c r="A309" t="s">
        <v>194</v>
      </c>
      <c r="B309">
        <v>130</v>
      </c>
      <c r="C309" t="s">
        <v>746</v>
      </c>
      <c r="D309">
        <f>_xlfn.XLOOKUP(C309,tipo_preparacoes!$B$2:$B$12,tipo_preparacoes!$A$2:$A$12,"não")</f>
        <v>8</v>
      </c>
    </row>
    <row r="310" spans="1:4" x14ac:dyDescent="0.2">
      <c r="A310" t="s">
        <v>499</v>
      </c>
      <c r="B310">
        <v>65</v>
      </c>
      <c r="C310" t="s">
        <v>746</v>
      </c>
      <c r="D310">
        <f>_xlfn.XLOOKUP(C310,tipo_preparacoes!$B$2:$B$12,tipo_preparacoes!$A$2:$A$12,"não")</f>
        <v>8</v>
      </c>
    </row>
    <row r="311" spans="1:4" x14ac:dyDescent="0.2">
      <c r="A311" t="s">
        <v>178</v>
      </c>
      <c r="B311">
        <v>165</v>
      </c>
      <c r="C311" t="s">
        <v>746</v>
      </c>
      <c r="D311">
        <f>_xlfn.XLOOKUP(C311,tipo_preparacoes!$B$2:$B$12,tipo_preparacoes!$A$2:$A$12,"não")</f>
        <v>8</v>
      </c>
    </row>
    <row r="312" spans="1:4" x14ac:dyDescent="0.2">
      <c r="A312" t="s">
        <v>116</v>
      </c>
      <c r="B312">
        <v>90</v>
      </c>
      <c r="C312" t="s">
        <v>746</v>
      </c>
      <c r="D312">
        <f>_xlfn.XLOOKUP(C312,tipo_preparacoes!$B$2:$B$12,tipo_preparacoes!$A$2:$A$12,"não")</f>
        <v>8</v>
      </c>
    </row>
    <row r="313" spans="1:4" x14ac:dyDescent="0.2">
      <c r="A313" t="s">
        <v>372</v>
      </c>
      <c r="B313">
        <v>65</v>
      </c>
      <c r="C313" t="s">
        <v>746</v>
      </c>
      <c r="D313">
        <f>_xlfn.XLOOKUP(C313,tipo_preparacoes!$B$2:$B$12,tipo_preparacoes!$A$2:$A$12,"não")</f>
        <v>8</v>
      </c>
    </row>
    <row r="314" spans="1:4" x14ac:dyDescent="0.2">
      <c r="A314" t="s">
        <v>427</v>
      </c>
      <c r="B314">
        <v>70</v>
      </c>
      <c r="C314" t="s">
        <v>746</v>
      </c>
      <c r="D314">
        <f>_xlfn.XLOOKUP(C314,tipo_preparacoes!$B$2:$B$12,tipo_preparacoes!$A$2:$A$12,"não")</f>
        <v>8</v>
      </c>
    </row>
    <row r="315" spans="1:4" x14ac:dyDescent="0.2">
      <c r="A315" t="s">
        <v>484</v>
      </c>
      <c r="B315">
        <v>100</v>
      </c>
      <c r="C315" t="s">
        <v>746</v>
      </c>
      <c r="D315">
        <f>_xlfn.XLOOKUP(C315,tipo_preparacoes!$B$2:$B$12,tipo_preparacoes!$A$2:$A$12,"não")</f>
        <v>8</v>
      </c>
    </row>
    <row r="316" spans="1:4" x14ac:dyDescent="0.2">
      <c r="A316" t="s">
        <v>165</v>
      </c>
      <c r="B316">
        <v>100</v>
      </c>
      <c r="C316" t="s">
        <v>746</v>
      </c>
      <c r="D316">
        <f>_xlfn.XLOOKUP(C316,tipo_preparacoes!$B$2:$B$12,tipo_preparacoes!$A$2:$A$12,"não")</f>
        <v>8</v>
      </c>
    </row>
    <row r="317" spans="1:4" x14ac:dyDescent="0.2">
      <c r="A317" t="s">
        <v>479</v>
      </c>
      <c r="B317">
        <v>100</v>
      </c>
      <c r="C317" t="s">
        <v>746</v>
      </c>
      <c r="D317">
        <f>_xlfn.XLOOKUP(C317,tipo_preparacoes!$B$2:$B$12,tipo_preparacoes!$A$2:$A$12,"não")</f>
        <v>8</v>
      </c>
    </row>
    <row r="318" spans="1:4" x14ac:dyDescent="0.2">
      <c r="A318" t="s">
        <v>219</v>
      </c>
      <c r="B318">
        <v>100</v>
      </c>
      <c r="C318" t="s">
        <v>746</v>
      </c>
      <c r="D318">
        <f>_xlfn.XLOOKUP(C318,tipo_preparacoes!$B$2:$B$12,tipo_preparacoes!$A$2:$A$12,"não")</f>
        <v>8</v>
      </c>
    </row>
    <row r="319" spans="1:4" x14ac:dyDescent="0.2">
      <c r="A319" t="s">
        <v>439</v>
      </c>
      <c r="B319">
        <v>150</v>
      </c>
      <c r="C319" t="s">
        <v>744</v>
      </c>
      <c r="D319">
        <f>_xlfn.XLOOKUP(C319,tipo_preparacoes!$B$2:$B$12,tipo_preparacoes!$A$2:$A$12,"não")</f>
        <v>6</v>
      </c>
    </row>
    <row r="320" spans="1:4" x14ac:dyDescent="0.2">
      <c r="A320" t="s">
        <v>456</v>
      </c>
      <c r="B320">
        <v>50</v>
      </c>
      <c r="C320" t="s">
        <v>744</v>
      </c>
      <c r="D320">
        <f>_xlfn.XLOOKUP(C320,tipo_preparacoes!$B$2:$B$12,tipo_preparacoes!$A$2:$A$12,"não")</f>
        <v>6</v>
      </c>
    </row>
    <row r="321" spans="1:4" x14ac:dyDescent="0.2">
      <c r="A321" t="s">
        <v>56</v>
      </c>
      <c r="B321">
        <v>100</v>
      </c>
      <c r="C321" t="s">
        <v>744</v>
      </c>
      <c r="D321">
        <f>_xlfn.XLOOKUP(C321,tipo_preparacoes!$B$2:$B$12,tipo_preparacoes!$A$2:$A$12,"não")</f>
        <v>6</v>
      </c>
    </row>
    <row r="322" spans="1:4" x14ac:dyDescent="0.2">
      <c r="A322" t="s">
        <v>226</v>
      </c>
      <c r="B322">
        <v>120</v>
      </c>
      <c r="C322" t="s">
        <v>744</v>
      </c>
      <c r="D322">
        <f>_xlfn.XLOOKUP(C322,tipo_preparacoes!$B$2:$B$12,tipo_preparacoes!$A$2:$A$12,"não")</f>
        <v>6</v>
      </c>
    </row>
    <row r="323" spans="1:4" x14ac:dyDescent="0.2">
      <c r="A323" t="s">
        <v>374</v>
      </c>
      <c r="B323">
        <v>100</v>
      </c>
      <c r="C323" t="s">
        <v>744</v>
      </c>
      <c r="D323">
        <f>_xlfn.XLOOKUP(C323,tipo_preparacoes!$B$2:$B$12,tipo_preparacoes!$A$2:$A$12,"não")</f>
        <v>6</v>
      </c>
    </row>
    <row r="324" spans="1:4" x14ac:dyDescent="0.2">
      <c r="A324" t="s">
        <v>188</v>
      </c>
      <c r="B324">
        <v>30</v>
      </c>
      <c r="C324" t="s">
        <v>744</v>
      </c>
      <c r="D324">
        <f>_xlfn.XLOOKUP(C324,tipo_preparacoes!$B$2:$B$12,tipo_preparacoes!$A$2:$A$12,"não")</f>
        <v>6</v>
      </c>
    </row>
    <row r="325" spans="1:4" x14ac:dyDescent="0.2">
      <c r="A325" t="s">
        <v>143</v>
      </c>
      <c r="B325">
        <v>150</v>
      </c>
      <c r="C325" t="s">
        <v>744</v>
      </c>
      <c r="D325">
        <f>_xlfn.XLOOKUP(C325,tipo_preparacoes!$B$2:$B$12,tipo_preparacoes!$A$2:$A$12,"não")</f>
        <v>6</v>
      </c>
    </row>
    <row r="326" spans="1:4" x14ac:dyDescent="0.2">
      <c r="A326" t="s">
        <v>43</v>
      </c>
      <c r="B326">
        <v>2</v>
      </c>
      <c r="C326" t="s">
        <v>746</v>
      </c>
      <c r="D326">
        <f>_xlfn.XLOOKUP(C326,tipo_preparacoes!$B$2:$B$12,tipo_preparacoes!$A$2:$A$12,"não")</f>
        <v>8</v>
      </c>
    </row>
    <row r="327" spans="1:4" x14ac:dyDescent="0.2">
      <c r="A327" t="s">
        <v>272</v>
      </c>
      <c r="B327">
        <v>100</v>
      </c>
      <c r="C327" t="s">
        <v>744</v>
      </c>
      <c r="D327">
        <f>_xlfn.XLOOKUP(C327,tipo_preparacoes!$B$2:$B$12,tipo_preparacoes!$A$2:$A$12,"não")</f>
        <v>6</v>
      </c>
    </row>
    <row r="328" spans="1:4" x14ac:dyDescent="0.2">
      <c r="A328" t="s">
        <v>353</v>
      </c>
      <c r="B328">
        <v>150</v>
      </c>
      <c r="C328" t="s">
        <v>744</v>
      </c>
      <c r="D328">
        <f>_xlfn.XLOOKUP(C328,tipo_preparacoes!$B$2:$B$12,tipo_preparacoes!$A$2:$A$12,"não")</f>
        <v>6</v>
      </c>
    </row>
    <row r="329" spans="1:4" x14ac:dyDescent="0.2">
      <c r="A329" t="s">
        <v>365</v>
      </c>
      <c r="B329">
        <v>100</v>
      </c>
      <c r="C329" t="s">
        <v>744</v>
      </c>
      <c r="D329">
        <f>_xlfn.XLOOKUP(C329,tipo_preparacoes!$B$2:$B$12,tipo_preparacoes!$A$2:$A$12,"não")</f>
        <v>6</v>
      </c>
    </row>
    <row r="330" spans="1:4" x14ac:dyDescent="0.2">
      <c r="A330" t="s">
        <v>553</v>
      </c>
      <c r="B330">
        <v>190</v>
      </c>
      <c r="C330" s="185" t="s">
        <v>741</v>
      </c>
      <c r="D330">
        <f>_xlfn.XLOOKUP(C330,tipo_preparacoes!$B$2:$B$12,tipo_preparacoes!$A$2:$A$12,"não")</f>
        <v>3</v>
      </c>
    </row>
    <row r="331" spans="1:4" x14ac:dyDescent="0.2">
      <c r="A331" t="s">
        <v>100</v>
      </c>
      <c r="B331">
        <v>50</v>
      </c>
      <c r="C331" t="s">
        <v>744</v>
      </c>
      <c r="D331">
        <f>_xlfn.XLOOKUP(C331,tipo_preparacoes!$B$2:$B$12,tipo_preparacoes!$A$2:$A$12,"não")</f>
        <v>6</v>
      </c>
    </row>
    <row r="332" spans="1:4" x14ac:dyDescent="0.2">
      <c r="A332" t="s">
        <v>302</v>
      </c>
      <c r="B332">
        <v>100</v>
      </c>
      <c r="C332" t="s">
        <v>746</v>
      </c>
      <c r="D332">
        <f>_xlfn.XLOOKUP(C332,tipo_preparacoes!$B$2:$B$12,tipo_preparacoes!$A$2:$A$12,"não")</f>
        <v>8</v>
      </c>
    </row>
    <row r="333" spans="1:4" x14ac:dyDescent="0.2">
      <c r="A333" t="s">
        <v>240</v>
      </c>
      <c r="B333">
        <v>150</v>
      </c>
      <c r="C333" s="185" t="s">
        <v>745</v>
      </c>
      <c r="D333">
        <f>_xlfn.XLOOKUP(C333,tipo_preparacoes!$B$2:$B$12,tipo_preparacoes!$A$2:$A$12,"não")</f>
        <v>7</v>
      </c>
    </row>
    <row r="334" spans="1:4" x14ac:dyDescent="0.2">
      <c r="A334" t="s">
        <v>469</v>
      </c>
      <c r="B334">
        <v>175</v>
      </c>
      <c r="C334" s="185" t="s">
        <v>745</v>
      </c>
      <c r="D334">
        <f>_xlfn.XLOOKUP(C334,tipo_preparacoes!$B$2:$B$12,tipo_preparacoes!$A$2:$A$12,"não")</f>
        <v>7</v>
      </c>
    </row>
    <row r="335" spans="1:4" x14ac:dyDescent="0.2">
      <c r="A335" t="s">
        <v>394</v>
      </c>
      <c r="B335">
        <v>150</v>
      </c>
      <c r="C335" s="185" t="s">
        <v>745</v>
      </c>
      <c r="D335">
        <f>_xlfn.XLOOKUP(C335,tipo_preparacoes!$B$2:$B$12,tipo_preparacoes!$A$2:$A$12,"não")</f>
        <v>7</v>
      </c>
    </row>
    <row r="336" spans="1:4" x14ac:dyDescent="0.2">
      <c r="A336" t="s">
        <v>413</v>
      </c>
      <c r="B336">
        <v>300</v>
      </c>
      <c r="C336" s="185" t="s">
        <v>745</v>
      </c>
      <c r="D336">
        <f>_xlfn.XLOOKUP(C336,tipo_preparacoes!$B$2:$B$12,tipo_preparacoes!$A$2:$A$12,"não")</f>
        <v>7</v>
      </c>
    </row>
    <row r="337" spans="1:4" x14ac:dyDescent="0.2">
      <c r="A337" t="s">
        <v>375</v>
      </c>
      <c r="B337">
        <v>230</v>
      </c>
      <c r="C337" s="185" t="s">
        <v>745</v>
      </c>
      <c r="D337">
        <f>_xlfn.XLOOKUP(C337,tipo_preparacoes!$B$2:$B$12,tipo_preparacoes!$A$2:$A$12,"não")</f>
        <v>7</v>
      </c>
    </row>
    <row r="338" spans="1:4" x14ac:dyDescent="0.2">
      <c r="A338" t="s">
        <v>478</v>
      </c>
      <c r="B338">
        <v>345</v>
      </c>
      <c r="C338" s="185" t="s">
        <v>745</v>
      </c>
      <c r="D338">
        <f>_xlfn.XLOOKUP(C338,tipo_preparacoes!$B$2:$B$12,tipo_preparacoes!$A$2:$A$12,"não")</f>
        <v>7</v>
      </c>
    </row>
    <row r="339" spans="1:4" x14ac:dyDescent="0.2">
      <c r="A339" t="s">
        <v>228</v>
      </c>
      <c r="B339">
        <v>316</v>
      </c>
      <c r="C339" s="185" t="s">
        <v>745</v>
      </c>
      <c r="D339">
        <f>_xlfn.XLOOKUP(C339,tipo_preparacoes!$B$2:$B$12,tipo_preparacoes!$A$2:$A$12,"não")</f>
        <v>7</v>
      </c>
    </row>
    <row r="340" spans="1:4" x14ac:dyDescent="0.2">
      <c r="A340" t="s">
        <v>215</v>
      </c>
      <c r="B340">
        <v>171</v>
      </c>
      <c r="C340" s="185" t="s">
        <v>745</v>
      </c>
      <c r="D340">
        <f>_xlfn.XLOOKUP(C340,tipo_preparacoes!$B$2:$B$12,tipo_preparacoes!$A$2:$A$12,"não")</f>
        <v>7</v>
      </c>
    </row>
    <row r="341" spans="1:4" x14ac:dyDescent="0.2">
      <c r="A341" t="s">
        <v>488</v>
      </c>
      <c r="B341">
        <v>150</v>
      </c>
      <c r="C341" s="185" t="s">
        <v>745</v>
      </c>
      <c r="D341">
        <f>_xlfn.XLOOKUP(C341,tipo_preparacoes!$B$2:$B$12,tipo_preparacoes!$A$2:$A$12,"não")</f>
        <v>7</v>
      </c>
    </row>
    <row r="342" spans="1:4" x14ac:dyDescent="0.2">
      <c r="A342" t="s">
        <v>386</v>
      </c>
      <c r="B342">
        <v>150</v>
      </c>
      <c r="C342" s="185" t="s">
        <v>745</v>
      </c>
      <c r="D342">
        <f>_xlfn.XLOOKUP(C342,tipo_preparacoes!$B$2:$B$12,tipo_preparacoes!$A$2:$A$12,"não")</f>
        <v>7</v>
      </c>
    </row>
    <row r="343" spans="1:4" x14ac:dyDescent="0.2">
      <c r="A343" t="s">
        <v>392</v>
      </c>
      <c r="B343">
        <v>150</v>
      </c>
      <c r="C343" s="185" t="s">
        <v>745</v>
      </c>
      <c r="D343">
        <f>_xlfn.XLOOKUP(C343,tipo_preparacoes!$B$2:$B$12,tipo_preparacoes!$A$2:$A$12,"não")</f>
        <v>7</v>
      </c>
    </row>
    <row r="344" spans="1:4" x14ac:dyDescent="0.2">
      <c r="A344" t="s">
        <v>575</v>
      </c>
      <c r="B344">
        <v>55</v>
      </c>
      <c r="C344" t="s">
        <v>746</v>
      </c>
      <c r="D344">
        <f>_xlfn.XLOOKUP(C344,tipo_preparacoes!$B$2:$B$12,tipo_preparacoes!$A$2:$A$12,"não")</f>
        <v>8</v>
      </c>
    </row>
    <row r="345" spans="1:4" x14ac:dyDescent="0.2">
      <c r="A345" t="s">
        <v>582</v>
      </c>
      <c r="B345">
        <v>145</v>
      </c>
      <c r="C345" t="s">
        <v>746</v>
      </c>
      <c r="D345">
        <f>_xlfn.XLOOKUP(C345,tipo_preparacoes!$B$2:$B$12,tipo_preparacoes!$A$2:$A$12,"não")</f>
        <v>8</v>
      </c>
    </row>
    <row r="346" spans="1:4" x14ac:dyDescent="0.2">
      <c r="A346" t="s">
        <v>108</v>
      </c>
      <c r="B346">
        <v>480.5</v>
      </c>
      <c r="C346" t="s">
        <v>746</v>
      </c>
      <c r="D346">
        <f>_xlfn.XLOOKUP(C346,tipo_preparacoes!$B$2:$B$12,tipo_preparacoes!$A$2:$A$12,"não")</f>
        <v>8</v>
      </c>
    </row>
    <row r="347" spans="1:4" x14ac:dyDescent="0.2">
      <c r="A347" t="s">
        <v>120</v>
      </c>
      <c r="B347">
        <v>480.5</v>
      </c>
      <c r="C347" t="s">
        <v>746</v>
      </c>
      <c r="D347">
        <f>_xlfn.XLOOKUP(C347,tipo_preparacoes!$B$2:$B$12,tipo_preparacoes!$A$2:$A$12,"não")</f>
        <v>8</v>
      </c>
    </row>
    <row r="348" spans="1:4" x14ac:dyDescent="0.2">
      <c r="A348" t="s">
        <v>590</v>
      </c>
      <c r="B348">
        <v>87.5</v>
      </c>
      <c r="C348" t="s">
        <v>746</v>
      </c>
      <c r="D348">
        <f>_xlfn.XLOOKUP(C348,tipo_preparacoes!$B$2:$B$12,tipo_preparacoes!$A$2:$A$12,"não")</f>
        <v>8</v>
      </c>
    </row>
    <row r="349" spans="1:4" x14ac:dyDescent="0.2">
      <c r="A349" t="s">
        <v>398</v>
      </c>
      <c r="B349">
        <v>90</v>
      </c>
      <c r="C349" t="s">
        <v>746</v>
      </c>
      <c r="D349">
        <f>_xlfn.XLOOKUP(C349,tipo_preparacoes!$B$2:$B$12,tipo_preparacoes!$A$2:$A$12,"não")</f>
        <v>8</v>
      </c>
    </row>
    <row r="350" spans="1:4" x14ac:dyDescent="0.2">
      <c r="A350" t="s">
        <v>400</v>
      </c>
      <c r="B350">
        <v>195</v>
      </c>
      <c r="C350" t="s">
        <v>746</v>
      </c>
      <c r="D350">
        <f>_xlfn.XLOOKUP(C350,tipo_preparacoes!$B$2:$B$12,tipo_preparacoes!$A$2:$A$12,"não")</f>
        <v>8</v>
      </c>
    </row>
    <row r="351" spans="1:4" x14ac:dyDescent="0.2">
      <c r="A351" t="s">
        <v>193</v>
      </c>
      <c r="B351">
        <v>90</v>
      </c>
      <c r="C351" t="s">
        <v>746</v>
      </c>
      <c r="D351">
        <f>_xlfn.XLOOKUP(C351,tipo_preparacoes!$B$2:$B$12,tipo_preparacoes!$A$2:$A$12,"não")</f>
        <v>8</v>
      </c>
    </row>
    <row r="352" spans="1:4" x14ac:dyDescent="0.2">
      <c r="A352" t="s">
        <v>532</v>
      </c>
      <c r="B352">
        <v>90</v>
      </c>
      <c r="C352" t="s">
        <v>746</v>
      </c>
      <c r="D352">
        <f>_xlfn.XLOOKUP(C352,tipo_preparacoes!$B$2:$B$12,tipo_preparacoes!$A$2:$A$12,"não")</f>
        <v>8</v>
      </c>
    </row>
    <row r="353" spans="1:4" x14ac:dyDescent="0.2">
      <c r="A353" t="s">
        <v>537</v>
      </c>
      <c r="B353">
        <v>185</v>
      </c>
      <c r="C353" t="s">
        <v>746</v>
      </c>
      <c r="D353">
        <f>_xlfn.XLOOKUP(C353,tipo_preparacoes!$B$2:$B$12,tipo_preparacoes!$A$2:$A$12,"não")</f>
        <v>8</v>
      </c>
    </row>
    <row r="354" spans="1:4" x14ac:dyDescent="0.2">
      <c r="A354" t="s">
        <v>203</v>
      </c>
      <c r="B354">
        <v>195</v>
      </c>
      <c r="C354" t="s">
        <v>746</v>
      </c>
      <c r="D354">
        <f>_xlfn.XLOOKUP(C354,tipo_preparacoes!$B$2:$B$12,tipo_preparacoes!$A$2:$A$12,"não")</f>
        <v>8</v>
      </c>
    </row>
    <row r="355" spans="1:4" x14ac:dyDescent="0.2">
      <c r="A355" t="s">
        <v>496</v>
      </c>
      <c r="B355">
        <v>30</v>
      </c>
      <c r="C355" t="s">
        <v>746</v>
      </c>
      <c r="D355">
        <f>_xlfn.XLOOKUP(C355,tipo_preparacoes!$B$2:$B$12,tipo_preparacoes!$A$2:$A$12,"não")</f>
        <v>8</v>
      </c>
    </row>
    <row r="356" spans="1:4" x14ac:dyDescent="0.2">
      <c r="A356" t="s">
        <v>487</v>
      </c>
      <c r="B356">
        <v>70</v>
      </c>
      <c r="C356" t="s">
        <v>746</v>
      </c>
      <c r="D356">
        <f>_xlfn.XLOOKUP(C356,tipo_preparacoes!$B$2:$B$12,tipo_preparacoes!$A$2:$A$12,"não")</f>
        <v>8</v>
      </c>
    </row>
    <row r="357" spans="1:4" x14ac:dyDescent="0.2">
      <c r="A357" t="s">
        <v>501</v>
      </c>
      <c r="B357">
        <v>65</v>
      </c>
      <c r="C357" t="s">
        <v>746</v>
      </c>
      <c r="D357">
        <f>_xlfn.XLOOKUP(C357,tipo_preparacoes!$B$2:$B$12,tipo_preparacoes!$A$2:$A$12,"não")</f>
        <v>8</v>
      </c>
    </row>
    <row r="358" spans="1:4" x14ac:dyDescent="0.2">
      <c r="A358" t="s">
        <v>247</v>
      </c>
      <c r="B358">
        <v>90</v>
      </c>
      <c r="C358" t="s">
        <v>746</v>
      </c>
      <c r="D358">
        <f>_xlfn.XLOOKUP(C358,tipo_preparacoes!$B$2:$B$12,tipo_preparacoes!$A$2:$A$12,"não")</f>
        <v>8</v>
      </c>
    </row>
    <row r="359" spans="1:4" x14ac:dyDescent="0.2">
      <c r="A359" t="s">
        <v>249</v>
      </c>
      <c r="B359">
        <v>255</v>
      </c>
      <c r="C359" t="s">
        <v>746</v>
      </c>
      <c r="D359">
        <f>_xlfn.XLOOKUP(C359,tipo_preparacoes!$B$2:$B$12,tipo_preparacoes!$A$2:$A$12,"não")</f>
        <v>8</v>
      </c>
    </row>
    <row r="360" spans="1:4" x14ac:dyDescent="0.2">
      <c r="A360" t="s">
        <v>579</v>
      </c>
      <c r="B360">
        <v>130</v>
      </c>
      <c r="C360" t="s">
        <v>746</v>
      </c>
      <c r="D360">
        <f>_xlfn.XLOOKUP(C360,tipo_preparacoes!$B$2:$B$12,tipo_preparacoes!$A$2:$A$12,"não")</f>
        <v>8</v>
      </c>
    </row>
    <row r="361" spans="1:4" x14ac:dyDescent="0.2">
      <c r="A361" t="s">
        <v>190</v>
      </c>
      <c r="B361">
        <v>90</v>
      </c>
      <c r="C361" t="s">
        <v>746</v>
      </c>
      <c r="D361">
        <f>_xlfn.XLOOKUP(C361,tipo_preparacoes!$B$2:$B$12,tipo_preparacoes!$A$2:$A$12,"não")</f>
        <v>8</v>
      </c>
    </row>
    <row r="362" spans="1:4" x14ac:dyDescent="0.2">
      <c r="A362" t="s">
        <v>197</v>
      </c>
      <c r="B362">
        <v>150</v>
      </c>
      <c r="C362" t="s">
        <v>746</v>
      </c>
      <c r="D362">
        <f>_xlfn.XLOOKUP(C362,tipo_preparacoes!$B$2:$B$12,tipo_preparacoes!$A$2:$A$12,"não")</f>
        <v>8</v>
      </c>
    </row>
    <row r="363" spans="1:4" x14ac:dyDescent="0.2">
      <c r="A363" t="s">
        <v>176</v>
      </c>
      <c r="B363">
        <v>100</v>
      </c>
      <c r="C363" t="s">
        <v>746</v>
      </c>
      <c r="D363">
        <f>_xlfn.XLOOKUP(C363,tipo_preparacoes!$B$2:$B$12,tipo_preparacoes!$A$2:$A$12,"não")</f>
        <v>8</v>
      </c>
    </row>
    <row r="364" spans="1:4" x14ac:dyDescent="0.2">
      <c r="A364" t="s">
        <v>204</v>
      </c>
      <c r="B364">
        <v>105</v>
      </c>
      <c r="C364" t="s">
        <v>746</v>
      </c>
      <c r="D364">
        <f>_xlfn.XLOOKUP(C364,tipo_preparacoes!$B$2:$B$12,tipo_preparacoes!$A$2:$A$12,"não")</f>
        <v>8</v>
      </c>
    </row>
    <row r="365" spans="1:4" x14ac:dyDescent="0.2">
      <c r="A365" t="s">
        <v>462</v>
      </c>
      <c r="B365">
        <v>90</v>
      </c>
      <c r="C365" t="s">
        <v>746</v>
      </c>
      <c r="D365">
        <f>_xlfn.XLOOKUP(C365,tipo_preparacoes!$B$2:$B$12,tipo_preparacoes!$A$2:$A$12,"não")</f>
        <v>8</v>
      </c>
    </row>
    <row r="366" spans="1:4" x14ac:dyDescent="0.2">
      <c r="A366" t="s">
        <v>498</v>
      </c>
      <c r="B366">
        <v>100</v>
      </c>
      <c r="C366" t="s">
        <v>746</v>
      </c>
      <c r="D366">
        <f>_xlfn.XLOOKUP(C366,tipo_preparacoes!$B$2:$B$12,tipo_preparacoes!$A$2:$A$12,"não")</f>
        <v>8</v>
      </c>
    </row>
    <row r="367" spans="1:4" x14ac:dyDescent="0.2">
      <c r="A367" t="s">
        <v>466</v>
      </c>
      <c r="B367">
        <v>90</v>
      </c>
      <c r="C367" t="s">
        <v>746</v>
      </c>
      <c r="D367">
        <f>_xlfn.XLOOKUP(C367,tipo_preparacoes!$B$2:$B$12,tipo_preparacoes!$A$2:$A$12,"não")</f>
        <v>8</v>
      </c>
    </row>
    <row r="368" spans="1:4" x14ac:dyDescent="0.2">
      <c r="A368" t="s">
        <v>502</v>
      </c>
      <c r="B368">
        <v>195</v>
      </c>
      <c r="C368" t="s">
        <v>746</v>
      </c>
      <c r="D368">
        <f>_xlfn.XLOOKUP(C368,tipo_preparacoes!$B$2:$B$12,tipo_preparacoes!$A$2:$A$12,"não")</f>
        <v>8</v>
      </c>
    </row>
    <row r="369" spans="1:4" x14ac:dyDescent="0.2">
      <c r="A369" t="s">
        <v>468</v>
      </c>
      <c r="B369">
        <v>165</v>
      </c>
      <c r="C369" t="s">
        <v>746</v>
      </c>
      <c r="D369">
        <f>_xlfn.XLOOKUP(C369,tipo_preparacoes!$B$2:$B$12,tipo_preparacoes!$A$2:$A$12,"não")</f>
        <v>8</v>
      </c>
    </row>
    <row r="370" spans="1:4" x14ac:dyDescent="0.2">
      <c r="A370" t="s">
        <v>114</v>
      </c>
      <c r="B370">
        <v>20</v>
      </c>
      <c r="C370" t="s">
        <v>746</v>
      </c>
      <c r="D370">
        <f>_xlfn.XLOOKUP(C370,tipo_preparacoes!$B$2:$B$12,tipo_preparacoes!$A$2:$A$12,"não")</f>
        <v>8</v>
      </c>
    </row>
    <row r="371" spans="1:4" x14ac:dyDescent="0.2">
      <c r="A371" t="s">
        <v>125</v>
      </c>
      <c r="B371">
        <v>110</v>
      </c>
      <c r="C371" t="s">
        <v>746</v>
      </c>
      <c r="D371">
        <f>_xlfn.XLOOKUP(C371,tipo_preparacoes!$B$2:$B$12,tipo_preparacoes!$A$2:$A$12,"não")</f>
        <v>8</v>
      </c>
    </row>
    <row r="372" spans="1:4" x14ac:dyDescent="0.2">
      <c r="A372" t="s">
        <v>373</v>
      </c>
      <c r="B372">
        <v>195</v>
      </c>
      <c r="C372" t="s">
        <v>746</v>
      </c>
      <c r="D372">
        <f>_xlfn.XLOOKUP(C372,tipo_preparacoes!$B$2:$B$12,tipo_preparacoes!$A$2:$A$12,"não")</f>
        <v>8</v>
      </c>
    </row>
    <row r="373" spans="1:4" x14ac:dyDescent="0.2">
      <c r="A373" t="s">
        <v>245</v>
      </c>
      <c r="B373">
        <v>90</v>
      </c>
      <c r="C373" t="s">
        <v>746</v>
      </c>
      <c r="D373">
        <f>_xlfn.XLOOKUP(C373,tipo_preparacoes!$B$2:$B$12,tipo_preparacoes!$A$2:$A$12,"não")</f>
        <v>8</v>
      </c>
    </row>
    <row r="374" spans="1:4" x14ac:dyDescent="0.2">
      <c r="A374" t="s">
        <v>248</v>
      </c>
      <c r="B374">
        <v>255</v>
      </c>
      <c r="C374" t="s">
        <v>746</v>
      </c>
      <c r="D374">
        <f>_xlfn.XLOOKUP(C374,tipo_preparacoes!$B$2:$B$12,tipo_preparacoes!$A$2:$A$12,"não")</f>
        <v>8</v>
      </c>
    </row>
    <row r="375" spans="1:4" x14ac:dyDescent="0.2">
      <c r="A375" t="s">
        <v>371</v>
      </c>
      <c r="B375">
        <v>90</v>
      </c>
      <c r="C375" t="s">
        <v>746</v>
      </c>
      <c r="D375">
        <f>_xlfn.XLOOKUP(C375,tipo_preparacoes!$B$2:$B$12,tipo_preparacoes!$A$2:$A$12,"não")</f>
        <v>8</v>
      </c>
    </row>
    <row r="376" spans="1:4" x14ac:dyDescent="0.2">
      <c r="A376" t="s">
        <v>586</v>
      </c>
      <c r="B376">
        <v>75</v>
      </c>
      <c r="C376" t="s">
        <v>746</v>
      </c>
      <c r="D376">
        <f>_xlfn.XLOOKUP(C376,tipo_preparacoes!$B$2:$B$12,tipo_preparacoes!$A$2:$A$12,"não")</f>
        <v>8</v>
      </c>
    </row>
    <row r="377" spans="1:4" x14ac:dyDescent="0.2">
      <c r="A377" t="s">
        <v>396</v>
      </c>
      <c r="B377">
        <v>120</v>
      </c>
      <c r="C377" t="s">
        <v>746</v>
      </c>
      <c r="D377">
        <f>_xlfn.XLOOKUP(C377,tipo_preparacoes!$B$2:$B$12,tipo_preparacoes!$A$2:$A$12,"não")</f>
        <v>8</v>
      </c>
    </row>
    <row r="378" spans="1:4" x14ac:dyDescent="0.2">
      <c r="A378" t="s">
        <v>399</v>
      </c>
      <c r="B378">
        <v>325</v>
      </c>
      <c r="C378" t="s">
        <v>746</v>
      </c>
      <c r="D378">
        <f>_xlfn.XLOOKUP(C378,tipo_preparacoes!$B$2:$B$12,tipo_preparacoes!$A$2:$A$12,"não")</f>
        <v>8</v>
      </c>
    </row>
    <row r="379" spans="1:4" x14ac:dyDescent="0.2">
      <c r="A379" t="s">
        <v>285</v>
      </c>
      <c r="B379">
        <v>90</v>
      </c>
      <c r="C379" t="s">
        <v>746</v>
      </c>
      <c r="D379">
        <f>_xlfn.XLOOKUP(C379,tipo_preparacoes!$B$2:$B$12,tipo_preparacoes!$A$2:$A$12,"não")</f>
        <v>8</v>
      </c>
    </row>
    <row r="380" spans="1:4" x14ac:dyDescent="0.2">
      <c r="A380" t="s">
        <v>289</v>
      </c>
      <c r="B380">
        <v>255</v>
      </c>
      <c r="C380" t="s">
        <v>746</v>
      </c>
      <c r="D380">
        <f>_xlfn.XLOOKUP(C380,tipo_preparacoes!$B$2:$B$12,tipo_preparacoes!$A$2:$A$12,"não")</f>
        <v>8</v>
      </c>
    </row>
    <row r="381" spans="1:4" x14ac:dyDescent="0.2">
      <c r="A381" t="s">
        <v>274</v>
      </c>
      <c r="B381">
        <v>90</v>
      </c>
      <c r="C381" t="s">
        <v>746</v>
      </c>
      <c r="D381">
        <f>_xlfn.XLOOKUP(C381,tipo_preparacoes!$B$2:$B$12,tipo_preparacoes!$A$2:$A$12,"não")</f>
        <v>8</v>
      </c>
    </row>
    <row r="382" spans="1:4" x14ac:dyDescent="0.2">
      <c r="A382" t="s">
        <v>340</v>
      </c>
      <c r="B382">
        <v>100</v>
      </c>
      <c r="C382" t="s">
        <v>746</v>
      </c>
      <c r="D382">
        <f>_xlfn.XLOOKUP(C382,tipo_preparacoes!$B$2:$B$12,tipo_preparacoes!$A$2:$A$12,"não")</f>
        <v>8</v>
      </c>
    </row>
    <row r="383" spans="1:4" x14ac:dyDescent="0.2">
      <c r="A383" t="s">
        <v>589</v>
      </c>
      <c r="B383">
        <v>60</v>
      </c>
      <c r="C383" s="185" t="s">
        <v>747</v>
      </c>
      <c r="D383">
        <f>_xlfn.XLOOKUP(C383,tipo_preparacoes!$B$2:$B$12,tipo_preparacoes!$A$2:$A$12,"não")</f>
        <v>9</v>
      </c>
    </row>
    <row r="384" spans="1:4" x14ac:dyDescent="0.2">
      <c r="A384" t="s">
        <v>134</v>
      </c>
      <c r="B384">
        <v>345</v>
      </c>
      <c r="C384" s="185" t="s">
        <v>747</v>
      </c>
      <c r="D384">
        <f>_xlfn.XLOOKUP(C384,tipo_preparacoes!$B$2:$B$12,tipo_preparacoes!$A$2:$A$12,"não")</f>
        <v>9</v>
      </c>
    </row>
    <row r="385" spans="1:4" x14ac:dyDescent="0.2">
      <c r="A385" t="s">
        <v>8</v>
      </c>
      <c r="B385">
        <v>70</v>
      </c>
      <c r="C385" s="185" t="s">
        <v>747</v>
      </c>
      <c r="D385">
        <f>_xlfn.XLOOKUP(C385,tipo_preparacoes!$B$2:$B$12,tipo_preparacoes!$A$2:$A$12,"não")</f>
        <v>9</v>
      </c>
    </row>
    <row r="386" spans="1:4" x14ac:dyDescent="0.2">
      <c r="A386" t="s">
        <v>564</v>
      </c>
      <c r="B386">
        <v>50</v>
      </c>
      <c r="C386" s="185" t="s">
        <v>747</v>
      </c>
      <c r="D386">
        <f>_xlfn.XLOOKUP(C386,tipo_preparacoes!$B$2:$B$12,tipo_preparacoes!$A$2:$A$12,"não")</f>
        <v>9</v>
      </c>
    </row>
    <row r="387" spans="1:4" x14ac:dyDescent="0.2">
      <c r="A387" t="s">
        <v>388</v>
      </c>
      <c r="B387">
        <v>60</v>
      </c>
      <c r="C387" s="185" t="s">
        <v>747</v>
      </c>
      <c r="D387">
        <f>_xlfn.XLOOKUP(C387,tipo_preparacoes!$B$2:$B$12,tipo_preparacoes!$A$2:$A$12,"não")</f>
        <v>9</v>
      </c>
    </row>
    <row r="388" spans="1:4" x14ac:dyDescent="0.2">
      <c r="A388" t="s">
        <v>80</v>
      </c>
      <c r="B388">
        <v>50</v>
      </c>
      <c r="C388" s="185" t="s">
        <v>747</v>
      </c>
      <c r="D388">
        <f>_xlfn.XLOOKUP(C388,tipo_preparacoes!$B$2:$B$12,tipo_preparacoes!$A$2:$A$12,"não")</f>
        <v>9</v>
      </c>
    </row>
    <row r="389" spans="1:4" x14ac:dyDescent="0.2">
      <c r="A389" t="s">
        <v>231</v>
      </c>
      <c r="B389">
        <v>60</v>
      </c>
      <c r="C389" s="185" t="s">
        <v>747</v>
      </c>
      <c r="D389">
        <f>_xlfn.XLOOKUP(C389,tipo_preparacoes!$B$2:$B$12,tipo_preparacoes!$A$2:$A$12,"não")</f>
        <v>9</v>
      </c>
    </row>
    <row r="390" spans="1:4" x14ac:dyDescent="0.2">
      <c r="A390" t="s">
        <v>136</v>
      </c>
      <c r="B390">
        <v>118</v>
      </c>
      <c r="C390" s="185" t="s">
        <v>747</v>
      </c>
      <c r="D390">
        <f>_xlfn.XLOOKUP(C390,tipo_preparacoes!$B$2:$B$12,tipo_preparacoes!$A$2:$A$12,"não")</f>
        <v>9</v>
      </c>
    </row>
    <row r="391" spans="1:4" x14ac:dyDescent="0.2">
      <c r="A391" t="s">
        <v>75</v>
      </c>
      <c r="B391">
        <v>20</v>
      </c>
      <c r="C391" s="185" t="s">
        <v>747</v>
      </c>
      <c r="D391">
        <f>_xlfn.XLOOKUP(C391,tipo_preparacoes!$B$2:$B$12,tipo_preparacoes!$A$2:$A$12,"não")</f>
        <v>9</v>
      </c>
    </row>
    <row r="392" spans="1:4" x14ac:dyDescent="0.2">
      <c r="A392" t="s">
        <v>337</v>
      </c>
      <c r="B392">
        <v>100</v>
      </c>
      <c r="C392" s="185" t="s">
        <v>747</v>
      </c>
      <c r="D392">
        <f>_xlfn.XLOOKUP(C392,tipo_preparacoes!$B$2:$B$12,tipo_preparacoes!$A$2:$A$12,"não")</f>
        <v>9</v>
      </c>
    </row>
    <row r="393" spans="1:4" x14ac:dyDescent="0.2">
      <c r="A393" t="s">
        <v>181</v>
      </c>
      <c r="B393">
        <v>76.599999999999994</v>
      </c>
      <c r="C393" s="185" t="s">
        <v>747</v>
      </c>
      <c r="D393">
        <f>_xlfn.XLOOKUP(C393,tipo_preparacoes!$B$2:$B$12,tipo_preparacoes!$A$2:$A$12,"não")</f>
        <v>9</v>
      </c>
    </row>
    <row r="394" spans="1:4" x14ac:dyDescent="0.2">
      <c r="A394" t="s">
        <v>449</v>
      </c>
      <c r="B394">
        <v>40</v>
      </c>
      <c r="C394" s="185" t="s">
        <v>747</v>
      </c>
      <c r="D394">
        <f>_xlfn.XLOOKUP(C394,tipo_preparacoes!$B$2:$B$12,tipo_preparacoes!$A$2:$A$12,"não")</f>
        <v>9</v>
      </c>
    </row>
    <row r="395" spans="1:4" x14ac:dyDescent="0.2">
      <c r="A395" t="s">
        <v>174</v>
      </c>
      <c r="B395">
        <v>40</v>
      </c>
      <c r="C395" s="185" t="s">
        <v>747</v>
      </c>
      <c r="D395">
        <f>_xlfn.XLOOKUP(C395,tipo_preparacoes!$B$2:$B$12,tipo_preparacoes!$A$2:$A$12,"não")</f>
        <v>9</v>
      </c>
    </row>
    <row r="396" spans="1:4" x14ac:dyDescent="0.2">
      <c r="A396" t="s">
        <v>252</v>
      </c>
      <c r="B396">
        <v>65</v>
      </c>
      <c r="C396" s="185" t="s">
        <v>747</v>
      </c>
      <c r="D396">
        <f>_xlfn.XLOOKUP(C396,tipo_preparacoes!$B$2:$B$12,tipo_preparacoes!$A$2:$A$12,"não")</f>
        <v>9</v>
      </c>
    </row>
    <row r="397" spans="1:4" x14ac:dyDescent="0.2">
      <c r="A397" t="s">
        <v>417</v>
      </c>
      <c r="B397">
        <v>100</v>
      </c>
      <c r="C397" t="s">
        <v>746</v>
      </c>
      <c r="D397">
        <f>_xlfn.XLOOKUP(C397,tipo_preparacoes!$B$2:$B$12,tipo_preparacoes!$A$2:$A$12,"não")</f>
        <v>8</v>
      </c>
    </row>
    <row r="398" spans="1:4" x14ac:dyDescent="0.2">
      <c r="A398" t="s">
        <v>323</v>
      </c>
      <c r="B398">
        <v>50</v>
      </c>
      <c r="C398" t="s">
        <v>746</v>
      </c>
      <c r="D398">
        <f>_xlfn.XLOOKUP(C398,tipo_preparacoes!$B$2:$B$12,tipo_preparacoes!$A$2:$A$12,"não")</f>
        <v>8</v>
      </c>
    </row>
    <row r="399" spans="1:4" x14ac:dyDescent="0.2">
      <c r="A399" t="s">
        <v>393</v>
      </c>
      <c r="B399">
        <v>50</v>
      </c>
      <c r="C399" t="s">
        <v>746</v>
      </c>
      <c r="D399">
        <f>_xlfn.XLOOKUP(C399,tipo_preparacoes!$B$2:$B$12,tipo_preparacoes!$A$2:$A$12,"não")</f>
        <v>8</v>
      </c>
    </row>
    <row r="400" spans="1:4" x14ac:dyDescent="0.2">
      <c r="A400" t="s">
        <v>281</v>
      </c>
      <c r="B400">
        <v>200</v>
      </c>
      <c r="C400" s="185" t="s">
        <v>741</v>
      </c>
      <c r="D400">
        <f>_xlfn.XLOOKUP(C400,tipo_preparacoes!$B$2:$B$12,tipo_preparacoes!$A$2:$A$12,"não")</f>
        <v>3</v>
      </c>
    </row>
    <row r="401" spans="1:4" x14ac:dyDescent="0.2">
      <c r="A401" t="s">
        <v>186</v>
      </c>
      <c r="B401">
        <v>100</v>
      </c>
      <c r="C401" s="185" t="s">
        <v>741</v>
      </c>
      <c r="D401">
        <f>_xlfn.XLOOKUP(C401,tipo_preparacoes!$B$2:$B$12,tipo_preparacoes!$A$2:$A$12,"não")</f>
        <v>3</v>
      </c>
    </row>
    <row r="402" spans="1:4" x14ac:dyDescent="0.2">
      <c r="A402" t="s">
        <v>36</v>
      </c>
      <c r="B402">
        <v>8</v>
      </c>
      <c r="C402" t="s">
        <v>746</v>
      </c>
      <c r="D402">
        <f>_xlfn.XLOOKUP(C402,tipo_preparacoes!$B$2:$B$12,tipo_preparacoes!$A$2:$A$12,"não")</f>
        <v>8</v>
      </c>
    </row>
    <row r="403" spans="1:4" x14ac:dyDescent="0.2">
      <c r="A403" t="s">
        <v>346</v>
      </c>
      <c r="B403">
        <v>160</v>
      </c>
      <c r="C403" t="s">
        <v>746</v>
      </c>
      <c r="D403">
        <f>_xlfn.XLOOKUP(C403,tipo_preparacoes!$B$2:$B$12,tipo_preparacoes!$A$2:$A$12,"não")</f>
        <v>8</v>
      </c>
    </row>
    <row r="404" spans="1:4" x14ac:dyDescent="0.2">
      <c r="A404" t="s">
        <v>454</v>
      </c>
      <c r="B404">
        <v>95</v>
      </c>
      <c r="C404" t="s">
        <v>746</v>
      </c>
      <c r="D404">
        <f>_xlfn.XLOOKUP(C404,tipo_preparacoes!$B$2:$B$12,tipo_preparacoes!$A$2:$A$12,"não")</f>
        <v>8</v>
      </c>
    </row>
    <row r="405" spans="1:4" x14ac:dyDescent="0.2">
      <c r="A405" t="s">
        <v>437</v>
      </c>
      <c r="B405">
        <v>95</v>
      </c>
      <c r="C405" t="s">
        <v>746</v>
      </c>
      <c r="D405">
        <f>_xlfn.XLOOKUP(C405,tipo_preparacoes!$B$2:$B$12,tipo_preparacoes!$A$2:$A$12,"não")</f>
        <v>8</v>
      </c>
    </row>
    <row r="406" spans="1:4" x14ac:dyDescent="0.2">
      <c r="A406" t="s">
        <v>445</v>
      </c>
      <c r="B406">
        <v>175</v>
      </c>
      <c r="C406" t="s">
        <v>746</v>
      </c>
      <c r="D406">
        <f>_xlfn.XLOOKUP(C406,tipo_preparacoes!$B$2:$B$12,tipo_preparacoes!$A$2:$A$12,"não")</f>
        <v>8</v>
      </c>
    </row>
    <row r="407" spans="1:4" x14ac:dyDescent="0.2">
      <c r="A407" t="s">
        <v>130</v>
      </c>
      <c r="B407">
        <v>175</v>
      </c>
      <c r="C407" t="s">
        <v>746</v>
      </c>
      <c r="D407">
        <f>_xlfn.XLOOKUP(C407,tipo_preparacoes!$B$2:$B$12,tipo_preparacoes!$A$2:$A$12,"não")</f>
        <v>8</v>
      </c>
    </row>
    <row r="408" spans="1:4" x14ac:dyDescent="0.2">
      <c r="A408" t="s">
        <v>355</v>
      </c>
      <c r="B408">
        <v>75</v>
      </c>
      <c r="C408" t="s">
        <v>746</v>
      </c>
      <c r="D408">
        <f>_xlfn.XLOOKUP(C408,tipo_preparacoes!$B$2:$B$12,tipo_preparacoes!$A$2:$A$12,"não")</f>
        <v>8</v>
      </c>
    </row>
    <row r="409" spans="1:4" x14ac:dyDescent="0.2">
      <c r="A409" t="s">
        <v>61</v>
      </c>
      <c r="B409">
        <v>90</v>
      </c>
      <c r="C409" t="s">
        <v>746</v>
      </c>
      <c r="D409">
        <f>_xlfn.XLOOKUP(C409,tipo_preparacoes!$B$2:$B$12,tipo_preparacoes!$A$2:$A$12,"não")</f>
        <v>8</v>
      </c>
    </row>
    <row r="410" spans="1:4" x14ac:dyDescent="0.2">
      <c r="A410" t="s">
        <v>119</v>
      </c>
      <c r="B410">
        <v>320</v>
      </c>
      <c r="C410" t="s">
        <v>746</v>
      </c>
      <c r="D410">
        <f>_xlfn.XLOOKUP(C410,tipo_preparacoes!$B$2:$B$12,tipo_preparacoes!$A$2:$A$12,"não")</f>
        <v>8</v>
      </c>
    </row>
  </sheetData>
  <autoFilter ref="A1:C410" xr:uid="{2227D1A2-CBC7-4E58-B601-CA1DD32700FE}"/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xr:uid="{D614D1BB-74A7-44AC-BE6D-39D025E8C499}">
          <x14:formula1>
            <xm:f>tipo_preparacoes!$B$2:$B$12</xm:f>
          </x14:formula1>
          <xm:sqref>C2:C410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6F52F-7A0A-4BA3-AE15-488BD9A81329}">
  <dimension ref="A1:B12"/>
  <sheetViews>
    <sheetView workbookViewId="0"/>
  </sheetViews>
  <sheetFormatPr defaultRowHeight="12.75" x14ac:dyDescent="0.2"/>
  <cols>
    <col min="2" max="2" width="19.85546875" bestFit="1" customWidth="1"/>
  </cols>
  <sheetData>
    <row r="1" spans="1:2" x14ac:dyDescent="0.2">
      <c r="A1" t="s">
        <v>594</v>
      </c>
      <c r="B1" t="s">
        <v>595</v>
      </c>
    </row>
    <row r="2" spans="1:2" x14ac:dyDescent="0.2">
      <c r="A2">
        <v>1</v>
      </c>
      <c r="B2" s="184" t="s">
        <v>739</v>
      </c>
    </row>
    <row r="3" spans="1:2" x14ac:dyDescent="0.2">
      <c r="A3">
        <v>2</v>
      </c>
      <c r="B3" t="s">
        <v>740</v>
      </c>
    </row>
    <row r="4" spans="1:2" x14ac:dyDescent="0.2">
      <c r="A4">
        <v>3</v>
      </c>
      <c r="B4" s="184" t="s">
        <v>741</v>
      </c>
    </row>
    <row r="5" spans="1:2" x14ac:dyDescent="0.2">
      <c r="A5">
        <v>4</v>
      </c>
      <c r="B5" s="184" t="s">
        <v>742</v>
      </c>
    </row>
    <row r="6" spans="1:2" x14ac:dyDescent="0.2">
      <c r="A6">
        <v>5</v>
      </c>
      <c r="B6" s="184" t="s">
        <v>743</v>
      </c>
    </row>
    <row r="7" spans="1:2" x14ac:dyDescent="0.2">
      <c r="A7">
        <v>6</v>
      </c>
      <c r="B7" s="184" t="s">
        <v>744</v>
      </c>
    </row>
    <row r="8" spans="1:2" x14ac:dyDescent="0.2">
      <c r="A8">
        <v>7</v>
      </c>
      <c r="B8" s="184" t="s">
        <v>745</v>
      </c>
    </row>
    <row r="9" spans="1:2" x14ac:dyDescent="0.2">
      <c r="A9">
        <v>8</v>
      </c>
      <c r="B9" t="s">
        <v>746</v>
      </c>
    </row>
    <row r="10" spans="1:2" x14ac:dyDescent="0.2">
      <c r="A10">
        <v>9</v>
      </c>
      <c r="B10" s="184" t="s">
        <v>747</v>
      </c>
    </row>
    <row r="11" spans="1:2" x14ac:dyDescent="0.2">
      <c r="A11">
        <v>10</v>
      </c>
      <c r="B11" s="184" t="s">
        <v>748</v>
      </c>
    </row>
    <row r="12" spans="1:2" x14ac:dyDescent="0.2">
      <c r="A12">
        <v>11</v>
      </c>
      <c r="B12" t="s">
        <v>749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plan1</vt:lpstr>
      <vt:lpstr>plan1 (2)</vt:lpstr>
      <vt:lpstr>check_pratos</vt:lpstr>
      <vt:lpstr>composicao_pratos</vt:lpstr>
      <vt:lpstr>Planilha5</vt:lpstr>
      <vt:lpstr>pratos</vt:lpstr>
      <vt:lpstr>ingredientes</vt:lpstr>
      <vt:lpstr>pratos_hospital</vt:lpstr>
      <vt:lpstr>tamanho_porcoes</vt:lpstr>
      <vt:lpstr>tipo_preparacoes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2026-07-25T20:19:34Z</dcterms:created>
  <dcterms:modified xsi:type="dcterms:W3CDTF">2026-07-26T19:32:27Z</dcterms:modified>
</cp:coreProperties>
</file>